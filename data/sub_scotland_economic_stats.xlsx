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s0177a\datashare\OCEA\Business_Enterprise\SSESG\SSESD - Dec 2025\"/>
    </mc:Choice>
  </mc:AlternateContent>
  <xr:revisionPtr revIDLastSave="0" documentId="13_ncr:1_{14CC7198-DDDD-4376-B17E-14D83200754A}" xr6:coauthVersionLast="47" xr6:coauthVersionMax="47" xr10:uidLastSave="{00000000-0000-0000-0000-000000000000}"/>
  <bookViews>
    <workbookView xWindow="-120" yWindow="-120" windowWidth="29040" windowHeight="15720" tabRatio="685" xr2:uid="{00000000-000D-0000-FFFF-FFFF00000000}"/>
  </bookViews>
  <sheets>
    <sheet name="Cover Sheet" sheetId="118" r:id="rId1"/>
    <sheet name="Contents" sheetId="93" r:id="rId2"/>
    <sheet name="Notes" sheetId="161" r:id="rId3"/>
    <sheet name="Table 1" sheetId="172" r:id="rId4"/>
    <sheet name="Table 2" sheetId="134" r:id="rId5"/>
    <sheet name="Table 3" sheetId="165" r:id="rId6"/>
    <sheet name="Table 4" sheetId="136" r:id="rId7"/>
    <sheet name="Table 5" sheetId="137" r:id="rId8"/>
    <sheet name="Table 6" sheetId="138" r:id="rId9"/>
    <sheet name="Table 7" sheetId="139" r:id="rId10"/>
    <sheet name="Table 8" sheetId="140" r:id="rId11"/>
    <sheet name="Table 9" sheetId="141" r:id="rId12"/>
    <sheet name="Table 10" sheetId="149" r:id="rId13"/>
    <sheet name="Table 11" sheetId="150" r:id="rId14"/>
    <sheet name="Table 12" sheetId="158" r:id="rId15"/>
    <sheet name="Table 13" sheetId="151" r:id="rId16"/>
    <sheet name="Table 14" sheetId="152" r:id="rId17"/>
    <sheet name="Table 15" sheetId="153" r:id="rId18"/>
    <sheet name="Table 16" sheetId="156" r:id="rId19"/>
    <sheet name="Table 17" sheetId="159" r:id="rId20"/>
    <sheet name="Table 18" sheetId="144" r:id="rId21"/>
    <sheet name="Table 19" sheetId="145" r:id="rId22"/>
    <sheet name="Table 20" sheetId="146" r:id="rId23"/>
    <sheet name="Table 21" sheetId="168" r:id="rId24"/>
    <sheet name="Table 22" sheetId="169" r:id="rId25"/>
    <sheet name="Table 23" sheetId="170" r:id="rId26"/>
    <sheet name="Table 24" sheetId="171"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72" l="1"/>
  <c r="D17" i="172"/>
  <c r="E17" i="172"/>
  <c r="F17" i="172"/>
  <c r="G17" i="172"/>
  <c r="H17" i="172"/>
  <c r="I17" i="172"/>
  <c r="J17" i="172"/>
  <c r="K17" i="172"/>
  <c r="L17" i="172"/>
  <c r="M17" i="172"/>
  <c r="N17" i="172"/>
  <c r="O17" i="172"/>
  <c r="P17" i="172"/>
  <c r="Q17" i="172"/>
  <c r="R17" i="172"/>
  <c r="S17" i="172"/>
  <c r="T17" i="172"/>
  <c r="U17" i="172"/>
  <c r="V17" i="172"/>
  <c r="W17" i="172"/>
  <c r="X17" i="172"/>
  <c r="Y17" i="172"/>
  <c r="Z17" i="172"/>
  <c r="AA17" i="172"/>
  <c r="AB17" i="172"/>
  <c r="C18" i="172"/>
  <c r="D18" i="172"/>
  <c r="E18" i="172"/>
  <c r="F18" i="172"/>
  <c r="G18" i="172"/>
  <c r="H18" i="172"/>
  <c r="I18" i="172"/>
  <c r="J18" i="172"/>
  <c r="K18" i="172"/>
  <c r="L18" i="172"/>
  <c r="M18" i="172"/>
  <c r="N18" i="172"/>
  <c r="O18" i="172"/>
  <c r="P18" i="172"/>
  <c r="Q18" i="172"/>
  <c r="R18" i="172"/>
  <c r="S18" i="172"/>
  <c r="T18" i="172"/>
  <c r="U18" i="172"/>
  <c r="V18" i="172"/>
  <c r="W18" i="172"/>
  <c r="X18" i="172"/>
  <c r="Y18" i="172"/>
  <c r="Z18" i="172"/>
  <c r="AA18" i="172"/>
  <c r="AB18" i="172"/>
  <c r="C19" i="172"/>
  <c r="D19" i="172"/>
  <c r="E19" i="172"/>
  <c r="F19" i="172"/>
  <c r="G19" i="172"/>
  <c r="H19" i="172"/>
  <c r="I19" i="172"/>
  <c r="J19" i="172"/>
  <c r="K19" i="172"/>
  <c r="L19" i="172"/>
  <c r="M19" i="172"/>
  <c r="N19" i="172"/>
  <c r="O19" i="172"/>
  <c r="P19" i="172"/>
  <c r="Q19" i="172"/>
  <c r="R19" i="172"/>
  <c r="S19" i="172"/>
  <c r="T19" i="172"/>
  <c r="U19" i="172"/>
  <c r="V19" i="172"/>
  <c r="W19" i="172"/>
  <c r="X19" i="172"/>
  <c r="Y19" i="172"/>
  <c r="Z19" i="172"/>
  <c r="AA19" i="172"/>
  <c r="AB19" i="172"/>
  <c r="C20" i="172"/>
  <c r="D20" i="172"/>
  <c r="E20" i="172"/>
  <c r="F20" i="172"/>
  <c r="G20" i="172"/>
  <c r="H20" i="172"/>
  <c r="I20" i="172"/>
  <c r="J20" i="172"/>
  <c r="K20" i="172"/>
  <c r="L20" i="172"/>
  <c r="M20" i="172"/>
  <c r="N20" i="172"/>
  <c r="O20" i="172"/>
  <c r="P20" i="172"/>
  <c r="Q20" i="172"/>
  <c r="R20" i="172"/>
  <c r="S20" i="172"/>
  <c r="T20" i="172"/>
  <c r="U20" i="172"/>
  <c r="V20" i="172"/>
  <c r="W20" i="172"/>
  <c r="X20" i="172"/>
  <c r="Y20" i="172"/>
  <c r="Z20" i="172"/>
  <c r="AA20" i="172"/>
  <c r="AB20" i="172"/>
  <c r="C21" i="172"/>
  <c r="D21" i="172"/>
  <c r="E21" i="172"/>
  <c r="F21" i="172"/>
  <c r="G21" i="172"/>
  <c r="H21" i="172"/>
  <c r="I21" i="172"/>
  <c r="J21" i="172"/>
  <c r="K21" i="172"/>
  <c r="L21" i="172"/>
  <c r="M21" i="172"/>
  <c r="N21" i="172"/>
  <c r="O21" i="172"/>
  <c r="P21" i="172"/>
  <c r="Q21" i="172"/>
  <c r="R21" i="172"/>
  <c r="S21" i="172"/>
  <c r="T21" i="172"/>
  <c r="U21" i="172"/>
  <c r="V21" i="172"/>
  <c r="W21" i="172"/>
  <c r="X21" i="172"/>
  <c r="Y21" i="172"/>
  <c r="Z21" i="172"/>
  <c r="AA21" i="172"/>
  <c r="AB21" i="172"/>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C24" i="172"/>
  <c r="C30" i="172" s="1"/>
  <c r="D24" i="172"/>
  <c r="D30" i="172" s="1"/>
  <c r="E24" i="172"/>
  <c r="E30" i="172" s="1"/>
  <c r="F24" i="172"/>
  <c r="F30" i="172" s="1"/>
  <c r="G24" i="172"/>
  <c r="H24" i="172"/>
  <c r="H30" i="172" s="1"/>
  <c r="I24" i="172"/>
  <c r="I30" i="172" s="1"/>
  <c r="J24" i="172"/>
  <c r="K24" i="172"/>
  <c r="K30" i="172" s="1"/>
  <c r="L24" i="172"/>
  <c r="L30" i="172" s="1"/>
  <c r="M24" i="172"/>
  <c r="M30" i="172" s="1"/>
  <c r="M31" i="172" s="1"/>
  <c r="N24" i="172"/>
  <c r="N30" i="172" s="1"/>
  <c r="O24" i="172"/>
  <c r="P24" i="172"/>
  <c r="P30" i="172" s="1"/>
  <c r="Q24" i="172"/>
  <c r="Q30" i="172" s="1"/>
  <c r="R24" i="172"/>
  <c r="S24" i="172"/>
  <c r="S30" i="172" s="1"/>
  <c r="T24" i="172"/>
  <c r="T30" i="172" s="1"/>
  <c r="U24" i="172"/>
  <c r="U30" i="172" s="1"/>
  <c r="U31" i="172" s="1"/>
  <c r="V24" i="172"/>
  <c r="V30" i="172" s="1"/>
  <c r="W24" i="172"/>
  <c r="X24" i="172"/>
  <c r="X30" i="172" s="1"/>
  <c r="Y24" i="172"/>
  <c r="Y30" i="172" s="1"/>
  <c r="Z24" i="172"/>
  <c r="Z30" i="172" s="1"/>
  <c r="AA24" i="172"/>
  <c r="AA30" i="172" s="1"/>
  <c r="AB24" i="172"/>
  <c r="AB30" i="172" s="1"/>
  <c r="C25" i="172"/>
  <c r="D25" i="172"/>
  <c r="E25" i="172"/>
  <c r="F25" i="172"/>
  <c r="G25" i="172"/>
  <c r="H25" i="172"/>
  <c r="I25" i="172"/>
  <c r="J25" i="172"/>
  <c r="K25" i="172"/>
  <c r="L25" i="172"/>
  <c r="M25" i="172"/>
  <c r="N25" i="172"/>
  <c r="O25" i="172"/>
  <c r="P25" i="172"/>
  <c r="Q25" i="172"/>
  <c r="R25" i="172"/>
  <c r="S25" i="172"/>
  <c r="T25" i="172"/>
  <c r="U25" i="172"/>
  <c r="V25" i="172"/>
  <c r="W25" i="172"/>
  <c r="X25" i="172"/>
  <c r="Y25" i="172"/>
  <c r="Z25" i="172"/>
  <c r="AA25" i="172"/>
  <c r="AB25" i="172"/>
  <c r="C26" i="172"/>
  <c r="D26" i="172"/>
  <c r="E26" i="172"/>
  <c r="F26" i="172"/>
  <c r="G26" i="172"/>
  <c r="H26" i="172"/>
  <c r="I26" i="172"/>
  <c r="J26" i="172"/>
  <c r="K26" i="172"/>
  <c r="L26" i="172"/>
  <c r="M26" i="172"/>
  <c r="N26" i="172"/>
  <c r="O26" i="172"/>
  <c r="P26" i="172"/>
  <c r="Q26" i="172"/>
  <c r="R26" i="172"/>
  <c r="S26" i="172"/>
  <c r="T26" i="172"/>
  <c r="U26" i="172"/>
  <c r="V26" i="172"/>
  <c r="W26" i="172"/>
  <c r="X26" i="172"/>
  <c r="Y26" i="172"/>
  <c r="Z26" i="172"/>
  <c r="AA26" i="172"/>
  <c r="AB26" i="172"/>
  <c r="C27" i="172"/>
  <c r="D27" i="172"/>
  <c r="E27" i="172"/>
  <c r="F27" i="172"/>
  <c r="G27" i="172"/>
  <c r="H27" i="172"/>
  <c r="I27" i="172"/>
  <c r="J27" i="172"/>
  <c r="K27" i="172"/>
  <c r="L27" i="172"/>
  <c r="M27" i="172"/>
  <c r="N27" i="172"/>
  <c r="O27" i="172"/>
  <c r="P27" i="172"/>
  <c r="Q27" i="172"/>
  <c r="R27" i="172"/>
  <c r="S27" i="172"/>
  <c r="T27" i="172"/>
  <c r="U27" i="172"/>
  <c r="V27" i="172"/>
  <c r="W27" i="172"/>
  <c r="X27" i="172"/>
  <c r="Y27" i="172"/>
  <c r="Z27" i="172"/>
  <c r="AA27" i="172"/>
  <c r="AB27" i="172"/>
  <c r="C28" i="172"/>
  <c r="D28" i="172"/>
  <c r="E28" i="172"/>
  <c r="F28" i="172"/>
  <c r="G28" i="172"/>
  <c r="H28" i="172"/>
  <c r="I28" i="172"/>
  <c r="J28" i="172"/>
  <c r="K28" i="172"/>
  <c r="L28" i="172"/>
  <c r="M28" i="172"/>
  <c r="N28" i="172"/>
  <c r="O28" i="172"/>
  <c r="P28" i="172"/>
  <c r="Q28" i="172"/>
  <c r="R28" i="172"/>
  <c r="S28" i="172"/>
  <c r="T28" i="172"/>
  <c r="U28" i="172"/>
  <c r="V28" i="172"/>
  <c r="W28" i="172"/>
  <c r="X28" i="172"/>
  <c r="Y28" i="172"/>
  <c r="Z28" i="172"/>
  <c r="AA28" i="172"/>
  <c r="AB28" i="172"/>
  <c r="C29" i="172"/>
  <c r="C22" i="172" s="1"/>
  <c r="D29" i="172"/>
  <c r="D22" i="172" s="1"/>
  <c r="E29" i="172"/>
  <c r="E22" i="172" s="1"/>
  <c r="F29" i="172"/>
  <c r="F22" i="172" s="1"/>
  <c r="G29" i="172"/>
  <c r="G22" i="172" s="1"/>
  <c r="H29" i="172"/>
  <c r="H22" i="172" s="1"/>
  <c r="I29" i="172"/>
  <c r="I22" i="172" s="1"/>
  <c r="J29" i="172"/>
  <c r="J22" i="172" s="1"/>
  <c r="K29" i="172"/>
  <c r="K22" i="172" s="1"/>
  <c r="L29" i="172"/>
  <c r="L22" i="172" s="1"/>
  <c r="M29" i="172"/>
  <c r="M22" i="172" s="1"/>
  <c r="N29" i="172"/>
  <c r="N22" i="172" s="1"/>
  <c r="O29" i="172"/>
  <c r="O22" i="172" s="1"/>
  <c r="P29" i="172"/>
  <c r="P22" i="172" s="1"/>
  <c r="Q29" i="172"/>
  <c r="Q22" i="172" s="1"/>
  <c r="R29" i="172"/>
  <c r="R22" i="172" s="1"/>
  <c r="S29" i="172"/>
  <c r="S22" i="172" s="1"/>
  <c r="T29" i="172"/>
  <c r="T22" i="172" s="1"/>
  <c r="U29" i="172"/>
  <c r="U22" i="172" s="1"/>
  <c r="V29" i="172"/>
  <c r="V22" i="172" s="1"/>
  <c r="W29" i="172"/>
  <c r="W22" i="172" s="1"/>
  <c r="X29" i="172"/>
  <c r="X22" i="172" s="1"/>
  <c r="Y29" i="172"/>
  <c r="Y22" i="172" s="1"/>
  <c r="Z29" i="172"/>
  <c r="Z22" i="172" s="1"/>
  <c r="AA29" i="172"/>
  <c r="AA22" i="172" s="1"/>
  <c r="AB29" i="172"/>
  <c r="AB22" i="172" s="1"/>
  <c r="G30" i="172"/>
  <c r="J30" i="172"/>
  <c r="O30" i="172"/>
  <c r="R30" i="172"/>
  <c r="W30" i="172"/>
  <c r="G31" i="172" l="1"/>
  <c r="H31" i="172"/>
  <c r="V31" i="172"/>
  <c r="N31" i="172"/>
  <c r="AB31" i="172"/>
  <c r="W31" i="172"/>
  <c r="F31" i="172"/>
  <c r="O31" i="172"/>
  <c r="K31" i="172"/>
  <c r="E31" i="172"/>
  <c r="S31" i="172"/>
  <c r="C31" i="172"/>
  <c r="P31" i="172"/>
  <c r="AA31" i="172"/>
  <c r="X31" i="172"/>
  <c r="T31" i="172"/>
  <c r="L31" i="172"/>
  <c r="D31" i="172"/>
  <c r="Z31" i="172"/>
  <c r="R31" i="172"/>
  <c r="J31" i="172"/>
  <c r="Y31" i="172"/>
  <c r="Q31" i="172"/>
  <c r="I31" i="172"/>
  <c r="J26" i="170" l="1"/>
  <c r="I26" i="170"/>
  <c r="H26" i="170"/>
  <c r="G26" i="170"/>
  <c r="F26" i="170"/>
  <c r="E26" i="170"/>
  <c r="D26" i="170"/>
  <c r="D19" i="170" s="1"/>
  <c r="C26" i="170"/>
  <c r="C19" i="170" s="1"/>
  <c r="J25" i="170"/>
  <c r="I25" i="170"/>
  <c r="H25" i="170"/>
  <c r="G25" i="170"/>
  <c r="F25" i="170"/>
  <c r="E25" i="170"/>
  <c r="D25" i="170"/>
  <c r="C25" i="170"/>
  <c r="J24" i="170"/>
  <c r="I24" i="170"/>
  <c r="H24" i="170"/>
  <c r="G24" i="170"/>
  <c r="F24" i="170"/>
  <c r="E24" i="170"/>
  <c r="D24" i="170"/>
  <c r="C24" i="170"/>
  <c r="J23" i="170"/>
  <c r="I23" i="170"/>
  <c r="H23" i="170"/>
  <c r="G23" i="170"/>
  <c r="F23" i="170"/>
  <c r="E23" i="170"/>
  <c r="D23" i="170"/>
  <c r="C23" i="170"/>
  <c r="J22" i="170"/>
  <c r="I22" i="170"/>
  <c r="H22" i="170"/>
  <c r="G22" i="170"/>
  <c r="F22" i="170"/>
  <c r="E22" i="170"/>
  <c r="D22" i="170"/>
  <c r="C22" i="170"/>
  <c r="J21" i="170"/>
  <c r="J27" i="170" s="1"/>
  <c r="I21" i="170"/>
  <c r="I27" i="170" s="1"/>
  <c r="H21" i="170"/>
  <c r="H27" i="170" s="1"/>
  <c r="G21" i="170"/>
  <c r="G27" i="170" s="1"/>
  <c r="F21" i="170"/>
  <c r="F27" i="170" s="1"/>
  <c r="E21" i="170"/>
  <c r="E27" i="170" s="1"/>
  <c r="D21" i="170"/>
  <c r="C21" i="170"/>
  <c r="C27" i="170" s="1"/>
  <c r="J20" i="170"/>
  <c r="I20" i="170"/>
  <c r="H20" i="170"/>
  <c r="G20" i="170"/>
  <c r="F20" i="170"/>
  <c r="E20" i="170"/>
  <c r="D20" i="170"/>
  <c r="C20" i="170"/>
  <c r="J19" i="170"/>
  <c r="I19" i="170"/>
  <c r="H19" i="170"/>
  <c r="G19" i="170"/>
  <c r="F19" i="170"/>
  <c r="E19" i="170"/>
  <c r="J18" i="170"/>
  <c r="I18" i="170"/>
  <c r="H18" i="170"/>
  <c r="G18" i="170"/>
  <c r="F18" i="170"/>
  <c r="E18" i="170"/>
  <c r="D18" i="170"/>
  <c r="C18" i="170"/>
  <c r="J17" i="170"/>
  <c r="I17" i="170"/>
  <c r="H17" i="170"/>
  <c r="G17" i="170"/>
  <c r="F17" i="170"/>
  <c r="E17" i="170"/>
  <c r="D17" i="170"/>
  <c r="C17" i="170"/>
  <c r="J16" i="170"/>
  <c r="I16" i="170"/>
  <c r="H16" i="170"/>
  <c r="G16" i="170"/>
  <c r="F16" i="170"/>
  <c r="E16" i="170"/>
  <c r="D16" i="170"/>
  <c r="C16" i="170"/>
  <c r="J15" i="170"/>
  <c r="I15" i="170"/>
  <c r="H15" i="170"/>
  <c r="G15" i="170"/>
  <c r="F15" i="170"/>
  <c r="E15" i="170"/>
  <c r="D15" i="170"/>
  <c r="C15" i="170"/>
  <c r="J14" i="170"/>
  <c r="I14" i="170"/>
  <c r="H14" i="170"/>
  <c r="G14" i="170"/>
  <c r="F14" i="170"/>
  <c r="E14" i="170"/>
  <c r="D14" i="170"/>
  <c r="C14" i="170"/>
  <c r="J26" i="168"/>
  <c r="I26" i="168"/>
  <c r="H26" i="168"/>
  <c r="G26" i="168"/>
  <c r="F26" i="168"/>
  <c r="E26" i="168"/>
  <c r="D26" i="168"/>
  <c r="C26" i="168"/>
  <c r="J25" i="168"/>
  <c r="I25" i="168"/>
  <c r="H25" i="168"/>
  <c r="G25" i="168"/>
  <c r="F25" i="168"/>
  <c r="E25" i="168"/>
  <c r="D25" i="168"/>
  <c r="C25" i="168"/>
  <c r="J24" i="168"/>
  <c r="I24" i="168"/>
  <c r="H24" i="168"/>
  <c r="G24" i="168"/>
  <c r="F24" i="168"/>
  <c r="E24" i="168"/>
  <c r="D24" i="168"/>
  <c r="C24" i="168"/>
  <c r="J23" i="168"/>
  <c r="I23" i="168"/>
  <c r="H23" i="168"/>
  <c r="G23" i="168"/>
  <c r="F23" i="168"/>
  <c r="E23" i="168"/>
  <c r="D23" i="168"/>
  <c r="C23" i="168"/>
  <c r="J22" i="168"/>
  <c r="I22" i="168"/>
  <c r="H22" i="168"/>
  <c r="G22" i="168"/>
  <c r="F22" i="168"/>
  <c r="E22" i="168"/>
  <c r="D22" i="168"/>
  <c r="C22" i="168"/>
  <c r="J21" i="168"/>
  <c r="J27" i="168" s="1"/>
  <c r="I21" i="168"/>
  <c r="I27" i="168" s="1"/>
  <c r="H21" i="168"/>
  <c r="H27" i="168" s="1"/>
  <c r="G21" i="168"/>
  <c r="G27" i="168" s="1"/>
  <c r="F21" i="168"/>
  <c r="F27" i="168" s="1"/>
  <c r="E21" i="168"/>
  <c r="E27" i="168" s="1"/>
  <c r="D21" i="168"/>
  <c r="C21" i="168"/>
  <c r="C27" i="168" s="1"/>
  <c r="J20" i="168"/>
  <c r="I20" i="168"/>
  <c r="H20" i="168"/>
  <c r="G20" i="168"/>
  <c r="F20" i="168"/>
  <c r="E20" i="168"/>
  <c r="D20" i="168"/>
  <c r="C20" i="168"/>
  <c r="J19" i="168"/>
  <c r="I19" i="168"/>
  <c r="H19" i="168"/>
  <c r="G19" i="168"/>
  <c r="F19" i="168"/>
  <c r="E19" i="168"/>
  <c r="D19" i="168"/>
  <c r="C19" i="168"/>
  <c r="J18" i="168"/>
  <c r="I18" i="168"/>
  <c r="H18" i="168"/>
  <c r="G18" i="168"/>
  <c r="F18" i="168"/>
  <c r="E18" i="168"/>
  <c r="D18" i="168"/>
  <c r="C18" i="168"/>
  <c r="J17" i="168"/>
  <c r="I17" i="168"/>
  <c r="H17" i="168"/>
  <c r="G17" i="168"/>
  <c r="F17" i="168"/>
  <c r="E17" i="168"/>
  <c r="D17" i="168"/>
  <c r="C17" i="168"/>
  <c r="J16" i="168"/>
  <c r="I16" i="168"/>
  <c r="H16" i="168"/>
  <c r="G16" i="168"/>
  <c r="F16" i="168"/>
  <c r="E16" i="168"/>
  <c r="D16" i="168"/>
  <c r="C16" i="168"/>
  <c r="J15" i="168"/>
  <c r="I15" i="168"/>
  <c r="H15" i="168"/>
  <c r="G15" i="168"/>
  <c r="F15" i="168"/>
  <c r="E15" i="168"/>
  <c r="D15" i="168"/>
  <c r="C15" i="168"/>
  <c r="J14" i="168"/>
  <c r="I14" i="168"/>
  <c r="H14" i="168"/>
  <c r="G14" i="168"/>
  <c r="F14" i="168"/>
  <c r="E14" i="168"/>
  <c r="D14" i="168"/>
  <c r="C14" i="168"/>
  <c r="C28" i="170" l="1"/>
  <c r="E28" i="170"/>
  <c r="F28" i="170"/>
  <c r="G28" i="170"/>
  <c r="H28" i="170"/>
  <c r="I28" i="170"/>
  <c r="J28" i="170"/>
  <c r="D27" i="170"/>
  <c r="D28" i="170" s="1"/>
  <c r="C28" i="168"/>
  <c r="E28" i="168"/>
  <c r="F28" i="168"/>
  <c r="G28" i="168"/>
  <c r="H28" i="168"/>
  <c r="I28" i="168"/>
  <c r="J28" i="168"/>
  <c r="D27" i="168"/>
  <c r="D28" i="168" s="1"/>
  <c r="W31" i="146"/>
  <c r="X31" i="146"/>
  <c r="Y31" i="146"/>
  <c r="Z31" i="146"/>
  <c r="AA31" i="146"/>
  <c r="AB31" i="146"/>
  <c r="AC31" i="146"/>
  <c r="AD31" i="146"/>
  <c r="AE31" i="146"/>
  <c r="AF31" i="146"/>
  <c r="AG31" i="146"/>
  <c r="W32" i="146"/>
  <c r="X32" i="146"/>
  <c r="Y32" i="146"/>
  <c r="Z32" i="146"/>
  <c r="AA32" i="146"/>
  <c r="AB32" i="146"/>
  <c r="AC32" i="146"/>
  <c r="AD32" i="146"/>
  <c r="AE32" i="146"/>
  <c r="AF32" i="146"/>
  <c r="AG32" i="146"/>
  <c r="W31" i="145"/>
  <c r="X31" i="145"/>
  <c r="Y31" i="145"/>
  <c r="Z31" i="145"/>
  <c r="AA31" i="145"/>
  <c r="AB31" i="145"/>
  <c r="AC31" i="145"/>
  <c r="AD31" i="145"/>
  <c r="AE31" i="145"/>
  <c r="AF31" i="145"/>
  <c r="AG31" i="145"/>
  <c r="W32" i="145"/>
  <c r="X32" i="145"/>
  <c r="Y32" i="145"/>
  <c r="Z32" i="145"/>
  <c r="AA32" i="145"/>
  <c r="AB32" i="145"/>
  <c r="AC32" i="145"/>
  <c r="AD32" i="145"/>
  <c r="AE32" i="145"/>
  <c r="AF32" i="145"/>
  <c r="AG32" i="145"/>
  <c r="X31" i="144" l="1"/>
  <c r="Y31" i="144"/>
  <c r="Z31" i="144"/>
  <c r="AA31" i="144"/>
  <c r="AB31" i="144"/>
  <c r="AC31" i="144"/>
  <c r="AD31" i="144"/>
  <c r="AE31" i="144"/>
  <c r="AF31" i="144"/>
  <c r="AG31" i="144"/>
  <c r="X32" i="144"/>
  <c r="Y32" i="144"/>
  <c r="Z32" i="144"/>
  <c r="AA32" i="144"/>
  <c r="AB32" i="144"/>
  <c r="AC32" i="144"/>
  <c r="AD32" i="144"/>
  <c r="AE32" i="144"/>
  <c r="AF32" i="144"/>
  <c r="AG32" i="144"/>
  <c r="U29" i="153"/>
  <c r="T29" i="153"/>
  <c r="S29" i="153"/>
  <c r="R29" i="153"/>
  <c r="Q29" i="153"/>
  <c r="P29" i="153"/>
  <c r="O29" i="153"/>
  <c r="N29" i="153"/>
  <c r="M29" i="153"/>
  <c r="L29" i="153"/>
  <c r="K29" i="153"/>
  <c r="J29" i="153"/>
  <c r="I29" i="153"/>
  <c r="H29" i="153"/>
  <c r="G29" i="153"/>
  <c r="F29" i="153"/>
  <c r="E29" i="153"/>
  <c r="D29" i="153"/>
  <c r="C29" i="153"/>
  <c r="U28" i="153"/>
  <c r="T28" i="153"/>
  <c r="S28" i="153"/>
  <c r="R28" i="153"/>
  <c r="Q28" i="153"/>
  <c r="P28" i="153"/>
  <c r="O28" i="153"/>
  <c r="N28" i="153"/>
  <c r="M28" i="153"/>
  <c r="L28" i="153"/>
  <c r="K28" i="153"/>
  <c r="J28" i="153"/>
  <c r="I28" i="153"/>
  <c r="H28" i="153"/>
  <c r="G28" i="153"/>
  <c r="F28" i="153"/>
  <c r="E28" i="153"/>
  <c r="D28" i="153"/>
  <c r="C28" i="153"/>
  <c r="T29" i="151"/>
  <c r="T28" i="151"/>
  <c r="V149" i="152" l="1"/>
  <c r="V150" i="152"/>
  <c r="V27" i="152"/>
  <c r="V28" i="152"/>
  <c r="U28" i="151"/>
  <c r="U29" i="151"/>
  <c r="V149" i="158"/>
  <c r="V150" i="158"/>
  <c r="V27" i="158"/>
  <c r="V28" i="158"/>
  <c r="V149" i="150"/>
  <c r="V150" i="150"/>
  <c r="V27" i="150"/>
  <c r="V28" i="150"/>
  <c r="U16" i="149" l="1"/>
  <c r="U17" i="149"/>
  <c r="U18" i="149"/>
  <c r="U19" i="149"/>
  <c r="U20" i="149"/>
  <c r="U22" i="149"/>
  <c r="U23" i="149"/>
  <c r="U29" i="149" s="1"/>
  <c r="U24" i="149"/>
  <c r="U25" i="149"/>
  <c r="U26" i="149"/>
  <c r="U27" i="149"/>
  <c r="U28" i="149"/>
  <c r="U21" i="149" s="1"/>
  <c r="E149" i="156"/>
  <c r="F149" i="156"/>
  <c r="G149" i="156"/>
  <c r="H149" i="156"/>
  <c r="I149" i="156"/>
  <c r="J149" i="156"/>
  <c r="K149" i="156"/>
  <c r="L149" i="156"/>
  <c r="M149" i="156"/>
  <c r="N149" i="156"/>
  <c r="O149" i="156"/>
  <c r="P149" i="156"/>
  <c r="Q149" i="156"/>
  <c r="R149" i="156"/>
  <c r="S149" i="156"/>
  <c r="T149" i="156"/>
  <c r="U149" i="156"/>
  <c r="E150" i="156"/>
  <c r="F150" i="156"/>
  <c r="G150" i="156"/>
  <c r="H150" i="156"/>
  <c r="I150" i="156"/>
  <c r="J150" i="156"/>
  <c r="K150" i="156"/>
  <c r="L150" i="156"/>
  <c r="M150" i="156"/>
  <c r="N150" i="156"/>
  <c r="O150" i="156"/>
  <c r="P150" i="156"/>
  <c r="Q150" i="156"/>
  <c r="R150" i="156"/>
  <c r="S150" i="156"/>
  <c r="T150" i="156"/>
  <c r="U150" i="156"/>
  <c r="D150" i="156"/>
  <c r="D149" i="156"/>
  <c r="E27" i="156"/>
  <c r="F27" i="156"/>
  <c r="G27" i="156"/>
  <c r="H27" i="156"/>
  <c r="I27" i="156"/>
  <c r="J27" i="156"/>
  <c r="K27" i="156"/>
  <c r="L27" i="156"/>
  <c r="M27" i="156"/>
  <c r="N27" i="156"/>
  <c r="O27" i="156"/>
  <c r="P27" i="156"/>
  <c r="Q27" i="156"/>
  <c r="R27" i="156"/>
  <c r="S27" i="156"/>
  <c r="T27" i="156"/>
  <c r="U27" i="156"/>
  <c r="E28" i="156"/>
  <c r="F28" i="156"/>
  <c r="G28" i="156"/>
  <c r="H28" i="156"/>
  <c r="I28" i="156"/>
  <c r="J28" i="156"/>
  <c r="K28" i="156"/>
  <c r="L28" i="156"/>
  <c r="M28" i="156"/>
  <c r="N28" i="156"/>
  <c r="O28" i="156"/>
  <c r="P28" i="156"/>
  <c r="Q28" i="156"/>
  <c r="R28" i="156"/>
  <c r="S28" i="156"/>
  <c r="T28" i="156"/>
  <c r="U28" i="156"/>
  <c r="D28" i="156"/>
  <c r="D27" i="156"/>
  <c r="U30" i="149" l="1"/>
  <c r="D32" i="145"/>
  <c r="E32" i="145"/>
  <c r="F32" i="145"/>
  <c r="G32" i="145"/>
  <c r="H32" i="145"/>
  <c r="I32" i="145"/>
  <c r="J32" i="145"/>
  <c r="K32" i="145"/>
  <c r="L32" i="145"/>
  <c r="M32" i="145"/>
  <c r="N32" i="145"/>
  <c r="O32" i="145"/>
  <c r="P32" i="145"/>
  <c r="Q32" i="145"/>
  <c r="R32" i="145"/>
  <c r="S32" i="145"/>
  <c r="T32" i="145"/>
  <c r="U32" i="145"/>
  <c r="V32" i="145"/>
  <c r="C32" i="145"/>
  <c r="D31" i="145"/>
  <c r="E31" i="145"/>
  <c r="F31" i="145"/>
  <c r="G31" i="145"/>
  <c r="H31" i="145"/>
  <c r="I31" i="145"/>
  <c r="J31" i="145"/>
  <c r="K31" i="145"/>
  <c r="L31" i="145"/>
  <c r="M31" i="145"/>
  <c r="N31" i="145"/>
  <c r="O31" i="145"/>
  <c r="P31" i="145"/>
  <c r="Q31" i="145"/>
  <c r="R31" i="145"/>
  <c r="S31" i="145"/>
  <c r="T31" i="145"/>
  <c r="U31" i="145"/>
  <c r="V31" i="145"/>
  <c r="C31" i="145"/>
  <c r="D32" i="146"/>
  <c r="E32" i="146"/>
  <c r="F32" i="146"/>
  <c r="G32" i="146"/>
  <c r="H32" i="146"/>
  <c r="I32" i="146"/>
  <c r="J32" i="146"/>
  <c r="K32" i="146"/>
  <c r="L32" i="146"/>
  <c r="M32" i="146"/>
  <c r="N32" i="146"/>
  <c r="O32" i="146"/>
  <c r="P32" i="146"/>
  <c r="Q32" i="146"/>
  <c r="R32" i="146"/>
  <c r="S32" i="146"/>
  <c r="T32" i="146"/>
  <c r="U32" i="146"/>
  <c r="V32" i="146"/>
  <c r="C32" i="146"/>
  <c r="D31" i="146"/>
  <c r="E31" i="146"/>
  <c r="F31" i="146"/>
  <c r="G31" i="146"/>
  <c r="H31" i="146"/>
  <c r="I31" i="146"/>
  <c r="J31" i="146"/>
  <c r="K31" i="146"/>
  <c r="L31" i="146"/>
  <c r="M31" i="146"/>
  <c r="N31" i="146"/>
  <c r="O31" i="146"/>
  <c r="P31" i="146"/>
  <c r="Q31" i="146"/>
  <c r="R31" i="146"/>
  <c r="S31" i="146"/>
  <c r="T31" i="146"/>
  <c r="U31" i="146"/>
  <c r="V31" i="146"/>
  <c r="C31" i="146"/>
  <c r="D32" i="144"/>
  <c r="E32" i="144"/>
  <c r="F32" i="144"/>
  <c r="G32" i="144"/>
  <c r="H32" i="144"/>
  <c r="I32" i="144"/>
  <c r="J32" i="144"/>
  <c r="K32" i="144"/>
  <c r="L32" i="144"/>
  <c r="M32" i="144"/>
  <c r="N32" i="144"/>
  <c r="O32" i="144"/>
  <c r="P32" i="144"/>
  <c r="Q32" i="144"/>
  <c r="R32" i="144"/>
  <c r="S32" i="144"/>
  <c r="T32" i="144"/>
  <c r="U32" i="144"/>
  <c r="V32" i="144"/>
  <c r="W32" i="144"/>
  <c r="C32" i="144"/>
  <c r="D31" i="144"/>
  <c r="E31" i="144"/>
  <c r="F31" i="144"/>
  <c r="G31" i="144"/>
  <c r="H31" i="144"/>
  <c r="I31" i="144"/>
  <c r="J31" i="144"/>
  <c r="K31" i="144"/>
  <c r="L31" i="144"/>
  <c r="M31" i="144"/>
  <c r="N31" i="144"/>
  <c r="O31" i="144"/>
  <c r="P31" i="144"/>
  <c r="Q31" i="144"/>
  <c r="R31" i="144"/>
  <c r="S31" i="144"/>
  <c r="T31" i="144"/>
  <c r="U31" i="144"/>
  <c r="V31" i="144"/>
  <c r="W31" i="144"/>
  <c r="C31" i="144"/>
  <c r="E150" i="159"/>
  <c r="F150" i="159"/>
  <c r="G150" i="159"/>
  <c r="H150" i="159"/>
  <c r="I150" i="159"/>
  <c r="J150" i="159"/>
  <c r="K150" i="159"/>
  <c r="L150" i="159"/>
  <c r="M150" i="159"/>
  <c r="N150" i="159"/>
  <c r="O150" i="159"/>
  <c r="P150" i="159"/>
  <c r="Q150" i="159"/>
  <c r="R150" i="159"/>
  <c r="S150" i="159"/>
  <c r="T150" i="159"/>
  <c r="D150" i="159"/>
  <c r="E149" i="159"/>
  <c r="F149" i="159"/>
  <c r="G149" i="159"/>
  <c r="H149" i="159"/>
  <c r="I149" i="159"/>
  <c r="J149" i="159"/>
  <c r="K149" i="159"/>
  <c r="L149" i="159"/>
  <c r="M149" i="159"/>
  <c r="N149" i="159"/>
  <c r="O149" i="159"/>
  <c r="P149" i="159"/>
  <c r="Q149" i="159"/>
  <c r="R149" i="159"/>
  <c r="S149" i="159"/>
  <c r="T149" i="159"/>
  <c r="D149" i="159"/>
  <c r="E28" i="159"/>
  <c r="F28" i="159"/>
  <c r="G28" i="159"/>
  <c r="H28" i="159"/>
  <c r="I28" i="159"/>
  <c r="J28" i="159"/>
  <c r="K28" i="159"/>
  <c r="L28" i="159"/>
  <c r="M28" i="159"/>
  <c r="N28" i="159"/>
  <c r="O28" i="159"/>
  <c r="P28" i="159"/>
  <c r="Q28" i="159"/>
  <c r="R28" i="159"/>
  <c r="S28" i="159"/>
  <c r="T28" i="159"/>
  <c r="D28" i="159"/>
  <c r="E27" i="159"/>
  <c r="F27" i="159"/>
  <c r="G27" i="159"/>
  <c r="H27" i="159"/>
  <c r="I27" i="159"/>
  <c r="J27" i="159"/>
  <c r="K27" i="159"/>
  <c r="L27" i="159"/>
  <c r="M27" i="159"/>
  <c r="N27" i="159"/>
  <c r="O27" i="159"/>
  <c r="P27" i="159"/>
  <c r="Q27" i="159"/>
  <c r="R27" i="159"/>
  <c r="S27" i="159"/>
  <c r="T27" i="159"/>
  <c r="D27" i="159"/>
  <c r="C28" i="151"/>
  <c r="C29" i="151"/>
  <c r="E149" i="152" l="1"/>
  <c r="F149" i="152"/>
  <c r="G149" i="152"/>
  <c r="H149" i="152"/>
  <c r="I149" i="152"/>
  <c r="J149" i="152"/>
  <c r="K149" i="152"/>
  <c r="L149" i="152"/>
  <c r="M149" i="152"/>
  <c r="N149" i="152"/>
  <c r="O149" i="152"/>
  <c r="P149" i="152"/>
  <c r="Q149" i="152"/>
  <c r="R149" i="152"/>
  <c r="S149" i="152"/>
  <c r="T149" i="152"/>
  <c r="U149" i="152"/>
  <c r="E150" i="152"/>
  <c r="F150" i="152"/>
  <c r="G150" i="152"/>
  <c r="H150" i="152"/>
  <c r="I150" i="152"/>
  <c r="J150" i="152"/>
  <c r="K150" i="152"/>
  <c r="L150" i="152"/>
  <c r="M150" i="152"/>
  <c r="N150" i="152"/>
  <c r="O150" i="152"/>
  <c r="P150" i="152"/>
  <c r="Q150" i="152"/>
  <c r="R150" i="152"/>
  <c r="S150" i="152"/>
  <c r="T150" i="152"/>
  <c r="U150" i="152"/>
  <c r="D150" i="152"/>
  <c r="D149" i="152"/>
  <c r="E27" i="152"/>
  <c r="F27" i="152"/>
  <c r="G27" i="152"/>
  <c r="H27" i="152"/>
  <c r="I27" i="152"/>
  <c r="J27" i="152"/>
  <c r="K27" i="152"/>
  <c r="L27" i="152"/>
  <c r="M27" i="152"/>
  <c r="N27" i="152"/>
  <c r="O27" i="152"/>
  <c r="P27" i="152"/>
  <c r="Q27" i="152"/>
  <c r="R27" i="152"/>
  <c r="S27" i="152"/>
  <c r="T27" i="152"/>
  <c r="U27" i="152"/>
  <c r="E28" i="152"/>
  <c r="F28" i="152"/>
  <c r="G28" i="152"/>
  <c r="H28" i="152"/>
  <c r="I28" i="152"/>
  <c r="J28" i="152"/>
  <c r="K28" i="152"/>
  <c r="L28" i="152"/>
  <c r="M28" i="152"/>
  <c r="N28" i="152"/>
  <c r="O28" i="152"/>
  <c r="P28" i="152"/>
  <c r="Q28" i="152"/>
  <c r="R28" i="152"/>
  <c r="S28" i="152"/>
  <c r="T28" i="152"/>
  <c r="U28" i="152"/>
  <c r="D28" i="152"/>
  <c r="D27" i="152"/>
  <c r="D29" i="151"/>
  <c r="E29" i="151"/>
  <c r="F29" i="151"/>
  <c r="G29" i="151"/>
  <c r="H29" i="151"/>
  <c r="I29" i="151"/>
  <c r="J29" i="151"/>
  <c r="K29" i="151"/>
  <c r="L29" i="151"/>
  <c r="M29" i="151"/>
  <c r="N29" i="151"/>
  <c r="O29" i="151"/>
  <c r="P29" i="151"/>
  <c r="Q29" i="151"/>
  <c r="R29" i="151"/>
  <c r="S29" i="151"/>
  <c r="D28" i="151"/>
  <c r="E28" i="151"/>
  <c r="F28" i="151"/>
  <c r="G28" i="151"/>
  <c r="H28" i="151"/>
  <c r="I28" i="151"/>
  <c r="J28" i="151"/>
  <c r="K28" i="151"/>
  <c r="L28" i="151"/>
  <c r="M28" i="151"/>
  <c r="N28" i="151"/>
  <c r="O28" i="151"/>
  <c r="P28" i="151"/>
  <c r="Q28" i="151"/>
  <c r="R28" i="151"/>
  <c r="S28" i="151"/>
  <c r="E150" i="158"/>
  <c r="F150" i="158"/>
  <c r="G150" i="158"/>
  <c r="H150" i="158"/>
  <c r="I150" i="158"/>
  <c r="J150" i="158"/>
  <c r="K150" i="158"/>
  <c r="L150" i="158"/>
  <c r="M150" i="158"/>
  <c r="N150" i="158"/>
  <c r="O150" i="158"/>
  <c r="P150" i="158"/>
  <c r="Q150" i="158"/>
  <c r="R150" i="158"/>
  <c r="S150" i="158"/>
  <c r="T150" i="158"/>
  <c r="U150" i="158"/>
  <c r="D150" i="158"/>
  <c r="E149" i="158"/>
  <c r="F149" i="158"/>
  <c r="G149" i="158"/>
  <c r="H149" i="158"/>
  <c r="I149" i="158"/>
  <c r="J149" i="158"/>
  <c r="K149" i="158"/>
  <c r="L149" i="158"/>
  <c r="M149" i="158"/>
  <c r="N149" i="158"/>
  <c r="O149" i="158"/>
  <c r="P149" i="158"/>
  <c r="Q149" i="158"/>
  <c r="R149" i="158"/>
  <c r="S149" i="158"/>
  <c r="T149" i="158"/>
  <c r="U149" i="158"/>
  <c r="D149" i="158"/>
  <c r="E28" i="158"/>
  <c r="F28" i="158"/>
  <c r="G28" i="158"/>
  <c r="H28" i="158"/>
  <c r="I28" i="158"/>
  <c r="J28" i="158"/>
  <c r="K28" i="158"/>
  <c r="L28" i="158"/>
  <c r="M28" i="158"/>
  <c r="N28" i="158"/>
  <c r="O28" i="158"/>
  <c r="P28" i="158"/>
  <c r="Q28" i="158"/>
  <c r="R28" i="158"/>
  <c r="S28" i="158"/>
  <c r="T28" i="158"/>
  <c r="U28" i="158"/>
  <c r="D28" i="158"/>
  <c r="E27" i="158"/>
  <c r="F27" i="158"/>
  <c r="G27" i="158"/>
  <c r="H27" i="158"/>
  <c r="I27" i="158"/>
  <c r="J27" i="158"/>
  <c r="K27" i="158"/>
  <c r="L27" i="158"/>
  <c r="M27" i="158"/>
  <c r="N27" i="158"/>
  <c r="O27" i="158"/>
  <c r="P27" i="158"/>
  <c r="Q27" i="158"/>
  <c r="R27" i="158"/>
  <c r="S27" i="158"/>
  <c r="T27" i="158"/>
  <c r="U27" i="158"/>
  <c r="D27" i="158"/>
  <c r="E150" i="150"/>
  <c r="F150" i="150"/>
  <c r="G150" i="150"/>
  <c r="H150" i="150"/>
  <c r="I150" i="150"/>
  <c r="J150" i="150"/>
  <c r="K150" i="150"/>
  <c r="L150" i="150"/>
  <c r="M150" i="150"/>
  <c r="N150" i="150"/>
  <c r="O150" i="150"/>
  <c r="P150" i="150"/>
  <c r="Q150" i="150"/>
  <c r="R150" i="150"/>
  <c r="S150" i="150"/>
  <c r="T150" i="150"/>
  <c r="U150" i="150"/>
  <c r="D150" i="150"/>
  <c r="E149" i="150"/>
  <c r="F149" i="150"/>
  <c r="G149" i="150"/>
  <c r="H149" i="150"/>
  <c r="I149" i="150"/>
  <c r="J149" i="150"/>
  <c r="K149" i="150"/>
  <c r="L149" i="150"/>
  <c r="M149" i="150"/>
  <c r="N149" i="150"/>
  <c r="O149" i="150"/>
  <c r="P149" i="150"/>
  <c r="Q149" i="150"/>
  <c r="R149" i="150"/>
  <c r="S149" i="150"/>
  <c r="T149" i="150"/>
  <c r="U149" i="150"/>
  <c r="D149" i="150"/>
  <c r="E28" i="150"/>
  <c r="F28" i="150"/>
  <c r="G28" i="150"/>
  <c r="H28" i="150"/>
  <c r="I28" i="150"/>
  <c r="J28" i="150"/>
  <c r="K28" i="150"/>
  <c r="L28" i="150"/>
  <c r="M28" i="150"/>
  <c r="N28" i="150"/>
  <c r="O28" i="150"/>
  <c r="P28" i="150"/>
  <c r="Q28" i="150"/>
  <c r="R28" i="150"/>
  <c r="S28" i="150"/>
  <c r="T28" i="150"/>
  <c r="U28" i="150"/>
  <c r="D28" i="150"/>
  <c r="E27" i="150"/>
  <c r="F27" i="150"/>
  <c r="G27" i="150"/>
  <c r="H27" i="150"/>
  <c r="I27" i="150"/>
  <c r="J27" i="150"/>
  <c r="K27" i="150"/>
  <c r="L27" i="150"/>
  <c r="M27" i="150"/>
  <c r="N27" i="150"/>
  <c r="O27" i="150"/>
  <c r="P27" i="150"/>
  <c r="Q27" i="150"/>
  <c r="R27" i="150"/>
  <c r="S27" i="150"/>
  <c r="T27" i="150"/>
  <c r="U27" i="150"/>
  <c r="D27" i="150"/>
  <c r="T16" i="149"/>
  <c r="T17" i="149"/>
  <c r="T18" i="149"/>
  <c r="T19" i="149"/>
  <c r="T20" i="149"/>
  <c r="T22" i="149"/>
  <c r="T23" i="149"/>
  <c r="T29" i="149" s="1"/>
  <c r="T24" i="149"/>
  <c r="T25" i="149"/>
  <c r="T26" i="149"/>
  <c r="T27" i="149"/>
  <c r="T28" i="149"/>
  <c r="T21" i="149" s="1"/>
  <c r="T30" i="149" l="1"/>
  <c r="M121" i="146" l="1"/>
  <c r="N121" i="146"/>
  <c r="O121" i="146"/>
  <c r="P121" i="146"/>
  <c r="Q121" i="146"/>
  <c r="R121" i="146"/>
  <c r="S121" i="146"/>
  <c r="T121" i="146"/>
  <c r="U121" i="146"/>
  <c r="V121" i="146"/>
  <c r="M121" i="145"/>
  <c r="N121" i="145"/>
  <c r="O121" i="145"/>
  <c r="P121" i="145"/>
  <c r="Q121" i="145"/>
  <c r="R121" i="145"/>
  <c r="S121" i="145"/>
  <c r="T121" i="145"/>
  <c r="U121" i="145"/>
  <c r="V121" i="145"/>
  <c r="M121" i="144"/>
  <c r="N121" i="144"/>
  <c r="O121" i="144"/>
  <c r="P121" i="144"/>
  <c r="Q121" i="144"/>
  <c r="R121" i="144"/>
  <c r="S121" i="144"/>
  <c r="T121" i="144"/>
  <c r="U121" i="144"/>
  <c r="V121" i="144"/>
  <c r="S28" i="149" l="1"/>
  <c r="R28" i="149"/>
  <c r="Q28" i="149"/>
  <c r="P28" i="149"/>
  <c r="P21" i="149" s="1"/>
  <c r="O28" i="149"/>
  <c r="O21" i="149" s="1"/>
  <c r="S27" i="149"/>
  <c r="R27" i="149"/>
  <c r="Q27" i="149"/>
  <c r="P27" i="149"/>
  <c r="O27" i="149"/>
  <c r="S26" i="149"/>
  <c r="R26" i="149"/>
  <c r="Q26" i="149"/>
  <c r="P26" i="149"/>
  <c r="O26" i="149"/>
  <c r="S25" i="149"/>
  <c r="R25" i="149"/>
  <c r="Q25" i="149"/>
  <c r="P25" i="149"/>
  <c r="O25" i="149"/>
  <c r="S24" i="149"/>
  <c r="R24" i="149"/>
  <c r="Q24" i="149"/>
  <c r="P24" i="149"/>
  <c r="O24" i="149"/>
  <c r="S23" i="149"/>
  <c r="R23" i="149"/>
  <c r="Q23" i="149"/>
  <c r="P23" i="149"/>
  <c r="P29" i="149" s="1"/>
  <c r="O23" i="149"/>
  <c r="O29" i="149" s="1"/>
  <c r="S22" i="149"/>
  <c r="R22" i="149"/>
  <c r="Q22" i="149"/>
  <c r="P22" i="149"/>
  <c r="O22" i="149"/>
  <c r="S20" i="149"/>
  <c r="R20" i="149"/>
  <c r="Q20" i="149"/>
  <c r="P20" i="149"/>
  <c r="O20" i="149"/>
  <c r="S19" i="149"/>
  <c r="R19" i="149"/>
  <c r="Q19" i="149"/>
  <c r="P19" i="149"/>
  <c r="O19" i="149"/>
  <c r="S18" i="149"/>
  <c r="R18" i="149"/>
  <c r="Q18" i="149"/>
  <c r="P18" i="149"/>
  <c r="O18" i="149"/>
  <c r="S17" i="149"/>
  <c r="R17" i="149"/>
  <c r="Q17" i="149"/>
  <c r="P17" i="149"/>
  <c r="O17" i="149"/>
  <c r="S16" i="149"/>
  <c r="R16" i="149"/>
  <c r="Q16" i="149"/>
  <c r="P16" i="149"/>
  <c r="O16" i="149"/>
  <c r="N28" i="149"/>
  <c r="N21" i="149" s="1"/>
  <c r="M28" i="149"/>
  <c r="M21" i="149" s="1"/>
  <c r="L28" i="149"/>
  <c r="L21" i="149" s="1"/>
  <c r="K28" i="149"/>
  <c r="K21" i="149" s="1"/>
  <c r="J28" i="149"/>
  <c r="J21" i="149" s="1"/>
  <c r="I28" i="149"/>
  <c r="I21" i="149" s="1"/>
  <c r="H28" i="149"/>
  <c r="H21" i="149" s="1"/>
  <c r="G28" i="149"/>
  <c r="G21" i="149" s="1"/>
  <c r="F28" i="149"/>
  <c r="F21" i="149" s="1"/>
  <c r="E28" i="149"/>
  <c r="E21" i="149" s="1"/>
  <c r="D28" i="149"/>
  <c r="D21" i="149" s="1"/>
  <c r="C28" i="149"/>
  <c r="C21" i="149" s="1"/>
  <c r="N27" i="149"/>
  <c r="M27" i="149"/>
  <c r="L27" i="149"/>
  <c r="K27" i="149"/>
  <c r="J27" i="149"/>
  <c r="I27" i="149"/>
  <c r="H27" i="149"/>
  <c r="G27" i="149"/>
  <c r="F27" i="149"/>
  <c r="E27" i="149"/>
  <c r="D27" i="149"/>
  <c r="C27" i="149"/>
  <c r="N26" i="149"/>
  <c r="M26" i="149"/>
  <c r="L26" i="149"/>
  <c r="K26" i="149"/>
  <c r="J26" i="149"/>
  <c r="I26" i="149"/>
  <c r="H26" i="149"/>
  <c r="G26" i="149"/>
  <c r="F26" i="149"/>
  <c r="E26" i="149"/>
  <c r="D26" i="149"/>
  <c r="C26" i="149"/>
  <c r="N25" i="149"/>
  <c r="M25" i="149"/>
  <c r="L25" i="149"/>
  <c r="K25" i="149"/>
  <c r="J25" i="149"/>
  <c r="I25" i="149"/>
  <c r="H25" i="149"/>
  <c r="G25" i="149"/>
  <c r="F25" i="149"/>
  <c r="E25" i="149"/>
  <c r="D25" i="149"/>
  <c r="C25" i="149"/>
  <c r="N24" i="149"/>
  <c r="M24" i="149"/>
  <c r="L24" i="149"/>
  <c r="K24" i="149"/>
  <c r="J24" i="149"/>
  <c r="I24" i="149"/>
  <c r="H24" i="149"/>
  <c r="G24" i="149"/>
  <c r="F24" i="149"/>
  <c r="E24" i="149"/>
  <c r="D24" i="149"/>
  <c r="C24" i="149"/>
  <c r="N23" i="149"/>
  <c r="N29" i="149" s="1"/>
  <c r="M23" i="149"/>
  <c r="M29" i="149" s="1"/>
  <c r="L23" i="149"/>
  <c r="L29" i="149" s="1"/>
  <c r="K23" i="149"/>
  <c r="K29" i="149" s="1"/>
  <c r="J23" i="149"/>
  <c r="J29" i="149" s="1"/>
  <c r="I23" i="149"/>
  <c r="I29" i="149" s="1"/>
  <c r="H23" i="149"/>
  <c r="H29" i="149" s="1"/>
  <c r="G23" i="149"/>
  <c r="G29" i="149" s="1"/>
  <c r="F23" i="149"/>
  <c r="F29" i="149" s="1"/>
  <c r="E23" i="149"/>
  <c r="E29" i="149" s="1"/>
  <c r="D23" i="149"/>
  <c r="D29" i="149" s="1"/>
  <c r="C23" i="149"/>
  <c r="C29" i="149" s="1"/>
  <c r="N22" i="149"/>
  <c r="M22" i="149"/>
  <c r="L22" i="149"/>
  <c r="K22" i="149"/>
  <c r="J22" i="149"/>
  <c r="I22" i="149"/>
  <c r="H22" i="149"/>
  <c r="G22" i="149"/>
  <c r="F22" i="149"/>
  <c r="E22" i="149"/>
  <c r="D22" i="149"/>
  <c r="C22" i="149"/>
  <c r="N20" i="149"/>
  <c r="M20" i="149"/>
  <c r="L20" i="149"/>
  <c r="K20" i="149"/>
  <c r="J20" i="149"/>
  <c r="I20" i="149"/>
  <c r="H20" i="149"/>
  <c r="G20" i="149"/>
  <c r="F20" i="149"/>
  <c r="E20" i="149"/>
  <c r="D20" i="149"/>
  <c r="C20" i="149"/>
  <c r="N19" i="149"/>
  <c r="M19" i="149"/>
  <c r="L19" i="149"/>
  <c r="K19" i="149"/>
  <c r="J19" i="149"/>
  <c r="I19" i="149"/>
  <c r="H19" i="149"/>
  <c r="G19" i="149"/>
  <c r="F19" i="149"/>
  <c r="E19" i="149"/>
  <c r="D19" i="149"/>
  <c r="C19" i="149"/>
  <c r="N18" i="149"/>
  <c r="M18" i="149"/>
  <c r="L18" i="149"/>
  <c r="K18" i="149"/>
  <c r="J18" i="149"/>
  <c r="I18" i="149"/>
  <c r="H18" i="149"/>
  <c r="G18" i="149"/>
  <c r="F18" i="149"/>
  <c r="E18" i="149"/>
  <c r="D18" i="149"/>
  <c r="C18" i="149"/>
  <c r="N17" i="149"/>
  <c r="M17" i="149"/>
  <c r="L17" i="149"/>
  <c r="K17" i="149"/>
  <c r="J17" i="149"/>
  <c r="I17" i="149"/>
  <c r="H17" i="149"/>
  <c r="G17" i="149"/>
  <c r="F17" i="149"/>
  <c r="E17" i="149"/>
  <c r="D17" i="149"/>
  <c r="C17" i="149"/>
  <c r="N16" i="149"/>
  <c r="M16" i="149"/>
  <c r="L16" i="149"/>
  <c r="K16" i="149"/>
  <c r="J16" i="149"/>
  <c r="I16" i="149"/>
  <c r="H16" i="149"/>
  <c r="G16" i="149"/>
  <c r="F16" i="149"/>
  <c r="E16" i="149"/>
  <c r="D16" i="149"/>
  <c r="C16" i="149"/>
  <c r="Q29" i="149" l="1"/>
  <c r="R29" i="149"/>
  <c r="R30" i="149" s="1"/>
  <c r="Q21" i="149"/>
  <c r="S29" i="149"/>
  <c r="R21" i="149"/>
  <c r="S21" i="149"/>
  <c r="O30" i="149"/>
  <c r="P30" i="149"/>
  <c r="K30" i="149"/>
  <c r="G30" i="149"/>
  <c r="D30" i="149"/>
  <c r="H30" i="149"/>
  <c r="L30" i="149"/>
  <c r="E30" i="149"/>
  <c r="I30" i="149"/>
  <c r="M30" i="149"/>
  <c r="C30" i="149"/>
  <c r="F30" i="149"/>
  <c r="J30" i="149"/>
  <c r="N30" i="149"/>
  <c r="S30" i="149" l="1"/>
  <c r="Q30" i="149"/>
</calcChain>
</file>

<file path=xl/sharedStrings.xml><?xml version="1.0" encoding="utf-8"?>
<sst xmlns="http://schemas.openxmlformats.org/spreadsheetml/2006/main" count="28386" uniqueCount="387">
  <si>
    <t xml:space="preserve"> </t>
  </si>
  <si>
    <t>Scotland</t>
  </si>
  <si>
    <t>Clackmannanshire</t>
  </si>
  <si>
    <t>Dumfries and Galloway</t>
  </si>
  <si>
    <t>East Ayrshire</t>
  </si>
  <si>
    <t>East Lothian</t>
  </si>
  <si>
    <t>East Renfrewshire</t>
  </si>
  <si>
    <t>Na h-Eileanan Siar</t>
  </si>
  <si>
    <t>Falkirk</t>
  </si>
  <si>
    <t>Fife</t>
  </si>
  <si>
    <t>Highland</t>
  </si>
  <si>
    <t>Inverclyde</t>
  </si>
  <si>
    <t>Midlothian</t>
  </si>
  <si>
    <t>Moray</t>
  </si>
  <si>
    <t>North Ayrshire</t>
  </si>
  <si>
    <t>Orkney Islands</t>
  </si>
  <si>
    <t>Perth and Kinross</t>
  </si>
  <si>
    <t>Scottish Borders</t>
  </si>
  <si>
    <t>Shetland Islands</t>
  </si>
  <si>
    <t>South Ayrshire</t>
  </si>
  <si>
    <t>South Lanarkshire</t>
  </si>
  <si>
    <t>Stirling</t>
  </si>
  <si>
    <t>Aberdeen City</t>
  </si>
  <si>
    <t>Aberdeenshire</t>
  </si>
  <si>
    <t>Argyll and Bute</t>
  </si>
  <si>
    <t>City of Edinburgh</t>
  </si>
  <si>
    <t>Renfrewshire</t>
  </si>
  <si>
    <t>West Dunbartonshire</t>
  </si>
  <si>
    <t>West Lothian</t>
  </si>
  <si>
    <t>Angus</t>
  </si>
  <si>
    <t>Dundee City</t>
  </si>
  <si>
    <t>North Lanarkshire</t>
  </si>
  <si>
    <t>East Dunbartonshire</t>
  </si>
  <si>
    <t>Glasgow City</t>
  </si>
  <si>
    <t>Table 13</t>
  </si>
  <si>
    <t>Aberdeen City Region</t>
  </si>
  <si>
    <t>Glasgow City Region</t>
  </si>
  <si>
    <t>Edinburgh and South East Scotland City Region</t>
  </si>
  <si>
    <t>Tay Cities Region</t>
  </si>
  <si>
    <t>Ayrshires</t>
  </si>
  <si>
    <t>South of Scotland</t>
  </si>
  <si>
    <t>Islands &amp; Remote Rural</t>
  </si>
  <si>
    <t>Mainly Rural</t>
  </si>
  <si>
    <t>Urban with Substantial Rural areas</t>
  </si>
  <si>
    <t>Larger Cities</t>
  </si>
  <si>
    <t>Highlands and Islands Enterprise</t>
  </si>
  <si>
    <t>Scottish Enterprise</t>
  </si>
  <si>
    <t>Local Authority Areas</t>
  </si>
  <si>
    <t>UK</t>
  </si>
  <si>
    <t>Table 9</t>
  </si>
  <si>
    <t>Table 10</t>
  </si>
  <si>
    <t>Table 11</t>
  </si>
  <si>
    <t>Table 12</t>
  </si>
  <si>
    <t>Glasgow</t>
  </si>
  <si>
    <t>Aberdeen</t>
  </si>
  <si>
    <t>Alness and Invergordon</t>
  </si>
  <si>
    <t>Arbroath and Montrose</t>
  </si>
  <si>
    <t>Aviemore and Grantown-on-Spey</t>
  </si>
  <si>
    <t>Ayr</t>
  </si>
  <si>
    <t>Broadford and Kyle of Lochalsh</t>
  </si>
  <si>
    <t>Campbeltown</t>
  </si>
  <si>
    <t>Dalbeattie and Castle Douglas</t>
  </si>
  <si>
    <t>Dumbarton and Helensburgh</t>
  </si>
  <si>
    <t>Dumfries</t>
  </si>
  <si>
    <t>Dundee</t>
  </si>
  <si>
    <t>Dunfermline and Kirkcaldy</t>
  </si>
  <si>
    <t>Dunoon and Rothesay</t>
  </si>
  <si>
    <t>Edinburgh</t>
  </si>
  <si>
    <t>Elgin</t>
  </si>
  <si>
    <t>Falkirk and Stirling</t>
  </si>
  <si>
    <t>Fort William</t>
  </si>
  <si>
    <t>Fraserburgh</t>
  </si>
  <si>
    <t>Galashiels and Peebles</t>
  </si>
  <si>
    <t>Girvan</t>
  </si>
  <si>
    <t>Golspie and Brora</t>
  </si>
  <si>
    <t>Greenock</t>
  </si>
  <si>
    <t>Hawick and Kelso</t>
  </si>
  <si>
    <t>Inverness</t>
  </si>
  <si>
    <t>Kilmarnock and Irvine</t>
  </si>
  <si>
    <t>Livingston</t>
  </si>
  <si>
    <t>Lochgilphead</t>
  </si>
  <si>
    <t>Motherwell and Airdrie</t>
  </si>
  <si>
    <t>Mull and Islay</t>
  </si>
  <si>
    <t>Newton Stewart</t>
  </si>
  <si>
    <t>Oban</t>
  </si>
  <si>
    <t>Perth</t>
  </si>
  <si>
    <t>Peterhead</t>
  </si>
  <si>
    <t>Pitlochry and Aberfeldy</t>
  </si>
  <si>
    <t>Portree</t>
  </si>
  <si>
    <t>St Andrews and Cupar</t>
  </si>
  <si>
    <t>Stranraer</t>
  </si>
  <si>
    <t>Thurso</t>
  </si>
  <si>
    <t>Turriff and Banff</t>
  </si>
  <si>
    <t>Ullapool</t>
  </si>
  <si>
    <t>Western Isles</t>
  </si>
  <si>
    <t>Wick</t>
  </si>
  <si>
    <t>Berwick</t>
  </si>
  <si>
    <t>Carlisle</t>
  </si>
  <si>
    <t>2010-2013</t>
  </si>
  <si>
    <t>2011-2014</t>
  </si>
  <si>
    <t>2012-2015</t>
  </si>
  <si>
    <t>2013-2016</t>
  </si>
  <si>
    <t>2014-2017</t>
  </si>
  <si>
    <t>2015-2018</t>
  </si>
  <si>
    <t>2016-2019</t>
  </si>
  <si>
    <t>Number of people in employment (aged 16+) (residence based)</t>
  </si>
  <si>
    <t>Working age employment rate (residence based)</t>
  </si>
  <si>
    <t>Number of people aged 16+ in employment who are self-employed</t>
  </si>
  <si>
    <t>Percentage of people aged 16+ in employment who are self-employed</t>
  </si>
  <si>
    <t>Number of females aged 16+ in employment who are self-employed</t>
  </si>
  <si>
    <t xml:space="preserve">Unemployment Rate (Percentage of economically active people aged 16+  who are unemployed) </t>
  </si>
  <si>
    <t>Clyde Gateway</t>
  </si>
  <si>
    <t>Argyll and the Islands</t>
  </si>
  <si>
    <t>Caithness and Sutherland</t>
  </si>
  <si>
    <t>Inner Moray Firth</t>
  </si>
  <si>
    <t>Lochaber, Skye and Wester Ross</t>
  </si>
  <si>
    <t>Orkney</t>
  </si>
  <si>
    <t>Outer Hebrides</t>
  </si>
  <si>
    <t>Shetland</t>
  </si>
  <si>
    <t>Sub-Scotland Economic Statistics Database</t>
  </si>
  <si>
    <t>South of Scotland Enterprise</t>
  </si>
  <si>
    <t>Highlands and Islands</t>
  </si>
  <si>
    <t>2017-2020</t>
  </si>
  <si>
    <t>2018</t>
  </si>
  <si>
    <t>G2 8LU</t>
  </si>
  <si>
    <t>150 Broomielaw</t>
  </si>
  <si>
    <t>5 Atlantic Quay</t>
  </si>
  <si>
    <t>5th Floor</t>
  </si>
  <si>
    <t>Business and Innovation Statistics</t>
  </si>
  <si>
    <t>Scottish Government</t>
  </si>
  <si>
    <t>industrystatistics@gov.scot</t>
  </si>
  <si>
    <t>We welcome your feedback on these statistics, if you have any enquiries relating to these statistics then please contact us at:</t>
  </si>
  <si>
    <t>Feedback/Contacts</t>
  </si>
  <si>
    <t>Revisions will be made in line with the revision policy for each underlying source.</t>
  </si>
  <si>
    <t>Revisions</t>
  </si>
  <si>
    <t xml:space="preserve">If you would like to be notified when data are updated, please register your interest in "Economy" via the ScotStat register: </t>
  </si>
  <si>
    <t>The statistics will be updated as soon as possible after the source data are published - each spreadsheet provides information on the next update.</t>
  </si>
  <si>
    <t>Timeliness</t>
  </si>
  <si>
    <r>
      <t>Scottish Enterprise</t>
    </r>
    <r>
      <rPr>
        <sz val="12"/>
        <rFont val="Arial"/>
        <family val="2"/>
      </rPr>
      <t xml:space="preserve"> - Aberdeen City, Aberdeenshire, Glasgow City, North Lanarkshire, South Lanarkshire, East Dunbartonshire, West Dunbartonshire, Renfrewshire, East Renfrewshire, Inverclyde, Edinburgh, East Lothian, </t>
    </r>
  </si>
  <si>
    <r>
      <t xml:space="preserve">South of Scotland Enterprise </t>
    </r>
    <r>
      <rPr>
        <sz val="12"/>
        <rFont val="Arial"/>
        <family val="2"/>
      </rPr>
      <t xml:space="preserve">- Scottish Borders &amp; Dumfries &amp; Galloway  </t>
    </r>
  </si>
  <si>
    <r>
      <t>Highlands and Islands Enterprise</t>
    </r>
    <r>
      <rPr>
        <sz val="12"/>
        <rFont val="Arial"/>
        <family val="2"/>
      </rPr>
      <t xml:space="preserve"> – Highland, Moray, Argyll &amp; Bute,  Na h-Eileanan Siar, Shetland Islands &amp; Orkney Islands</t>
    </r>
  </si>
  <si>
    <t>Enterprise Regions:</t>
  </si>
  <si>
    <t>Rural / Urban Economy Areas (Using Scottish Government Fourfold RESAS Classification 2018):</t>
  </si>
  <si>
    <r>
      <t>South of Scotland:</t>
    </r>
    <r>
      <rPr>
        <sz val="12"/>
        <rFont val="Arial"/>
        <family val="2"/>
      </rPr>
      <t xml:space="preserve"> Scottish Borders &amp; Dumfries &amp; Galloway </t>
    </r>
  </si>
  <si>
    <r>
      <t>Ayrshires:</t>
    </r>
    <r>
      <rPr>
        <sz val="12"/>
        <rFont val="Arial"/>
        <family val="2"/>
      </rPr>
      <t xml:space="preserve"> East Ayrshire, North Ayrshire &amp; South Ayrshire </t>
    </r>
  </si>
  <si>
    <r>
      <t>Tay Cities Region:</t>
    </r>
    <r>
      <rPr>
        <sz val="12"/>
        <rFont val="Arial"/>
        <family val="2"/>
      </rPr>
      <t xml:space="preserve"> Dundee, Angus, Perth &amp; Kinross, Fife</t>
    </r>
  </si>
  <si>
    <r>
      <t>Aberdeen City Region:</t>
    </r>
    <r>
      <rPr>
        <sz val="12"/>
        <rFont val="Arial"/>
        <family val="2"/>
      </rPr>
      <t xml:space="preserve"> Aberdeen City &amp; Aberdeenshire</t>
    </r>
  </si>
  <si>
    <t>Regional Economic Partnerships:</t>
  </si>
  <si>
    <t>Area Definitions</t>
  </si>
  <si>
    <t>Mid Lothian, West Lothian, Fife, Stirling, Clackmannanshire, Dundee, Angus, Perth &amp; Kinross, East Ayrshire, North Ayrshire, South Ayrshire, Falkirk</t>
  </si>
  <si>
    <t>2019</t>
  </si>
  <si>
    <t>Clyde River</t>
  </si>
  <si>
    <t>This worksheet contains one table. Some cells refer to notes which can be found on the Notes worksheet.</t>
  </si>
  <si>
    <t>Components may not sum to totals as a result of rounding.</t>
  </si>
  <si>
    <t>Next Update: TBC</t>
  </si>
  <si>
    <t>Source: Gross value added (balanced) - Office for National Statistics</t>
  </si>
  <si>
    <t>Geography</t>
  </si>
  <si>
    <t>Region</t>
  </si>
  <si>
    <t>1998</t>
  </si>
  <si>
    <t>1999</t>
  </si>
  <si>
    <t>2000</t>
  </si>
  <si>
    <t>2001</t>
  </si>
  <si>
    <t>2002</t>
  </si>
  <si>
    <t>2003</t>
  </si>
  <si>
    <t>2004</t>
  </si>
  <si>
    <t>2005</t>
  </si>
  <si>
    <t>2006</t>
  </si>
  <si>
    <t>2007</t>
  </si>
  <si>
    <t>2008</t>
  </si>
  <si>
    <t>2009</t>
  </si>
  <si>
    <t>2010</t>
  </si>
  <si>
    <t>2011</t>
  </si>
  <si>
    <t>2012</t>
  </si>
  <si>
    <t>2013</t>
  </si>
  <si>
    <t>2014</t>
  </si>
  <si>
    <t>2015</t>
  </si>
  <si>
    <t>2016</t>
  </si>
  <si>
    <t>2017</t>
  </si>
  <si>
    <t>Country</t>
  </si>
  <si>
    <t>Regional Economic Partnership</t>
  </si>
  <si>
    <t>Rural / Urban Economy Areas</t>
  </si>
  <si>
    <t>Enterprise Region Areas</t>
  </si>
  <si>
    <t>Travel to work areas</t>
  </si>
  <si>
    <t>Highlands and Islands Enterprise Region Area Offices</t>
  </si>
  <si>
    <t>Highlands and Islands Enterprise Total</t>
  </si>
  <si>
    <t xml:space="preserve">Clyde </t>
  </si>
  <si>
    <t xml:space="preserve">Clyde Mission </t>
  </si>
  <si>
    <t>2020</t>
  </si>
  <si>
    <t>2018-2021</t>
  </si>
  <si>
    <t>2021</t>
  </si>
  <si>
    <t>[x]</t>
  </si>
  <si>
    <t>Data for areas built from 2011 Scottish Datazones are not available prior to 2015</t>
  </si>
  <si>
    <t>[c]</t>
  </si>
  <si>
    <t>Variable</t>
  </si>
  <si>
    <t>[u]</t>
  </si>
  <si>
    <t>Components may not sum to totals as a result of rounding</t>
  </si>
  <si>
    <t>Source: Midyear (30 June) estimates of population, NRS</t>
  </si>
  <si>
    <t>1991</t>
  </si>
  <si>
    <t>1992</t>
  </si>
  <si>
    <t>1993</t>
  </si>
  <si>
    <t>1994</t>
  </si>
  <si>
    <t>1995</t>
  </si>
  <si>
    <t>1996</t>
  </si>
  <si>
    <t>1997</t>
  </si>
  <si>
    <t>Source: Annual Population Survey (Jan to Dec)</t>
  </si>
  <si>
    <t>Table 14</t>
  </si>
  <si>
    <t>Working age employment rate</t>
  </si>
  <si>
    <t>95% confidence interval</t>
  </si>
  <si>
    <t>[x1]</t>
  </si>
  <si>
    <t>Percentage who are self-employed</t>
  </si>
  <si>
    <t>Unemployment rate</t>
  </si>
  <si>
    <t>Employment rate</t>
  </si>
  <si>
    <t>Economic inactivity rate</t>
  </si>
  <si>
    <t>Notes</t>
  </si>
  <si>
    <t xml:space="preserve">This worksheet contains one table. </t>
  </si>
  <si>
    <t>Note Number</t>
  </si>
  <si>
    <t>Note Text</t>
  </si>
  <si>
    <t xml:space="preserve">Estimates of workplace based GVA allocate values to the region in which the economic activity takes place. </t>
  </si>
  <si>
    <t>Estimates for the UK include Extra-Regio - Extra-Regio comprises activity that has not been assigned to regions (and has not been assigned to Scotland here).</t>
  </si>
  <si>
    <t>Excludes central and local government.  Private sector here includes: Companies, Sole proprietors, Partnerships, Public corporations and Non-profit making bodies</t>
  </si>
  <si>
    <t>The IDBR uses data provided by Dun &amp; Bradstreet to identify enterprise groups with foreign ownership and/or subsidiaries.</t>
  </si>
  <si>
    <t>Employment levels cover those aged 16 and over</t>
  </si>
  <si>
    <t>Levels are rounded to the nearest 100</t>
  </si>
  <si>
    <t>Employment rates cover those aged 16 to 64</t>
  </si>
  <si>
    <t>Employment rate - people aged 16-24</t>
  </si>
  <si>
    <t xml:space="preserve">Economic inactivity rates for population aged 16 to 64 </t>
  </si>
  <si>
    <t>Table 19</t>
  </si>
  <si>
    <t>Table 15</t>
  </si>
  <si>
    <t>This worksheet contains one table of contents for this document. The table names and hyperlinks to each table are contained in column A, and the table descriptions are contained in column B.</t>
  </si>
  <si>
    <t>Table name</t>
  </si>
  <si>
    <t>Table description</t>
  </si>
  <si>
    <t>Table of Contents</t>
  </si>
  <si>
    <t>This cell contains a hyperlink to the Table of Contents</t>
  </si>
  <si>
    <t>Some shorthand is used in this table: [x] = not available</t>
  </si>
  <si>
    <t>Some shorthand is used in this table: [x] = not available, [c] = disclosive figure</t>
  </si>
  <si>
    <t>Some shorthand is used in this table, [x] = not available</t>
  </si>
  <si>
    <t>Forth Valley Region</t>
  </si>
  <si>
    <r>
      <t>Forth Valley Region:</t>
    </r>
    <r>
      <rPr>
        <sz val="12"/>
        <rFont val="Arial"/>
        <family val="2"/>
      </rPr>
      <t xml:space="preserve"> Stirling, Clackmannanshire &amp; Falkirk</t>
    </r>
  </si>
  <si>
    <t>The Sub-Scotland Economic Statistics Database provides economic, business, labour market and population data for Scotland, and areas within Scotland. Data are provided for a range of geographical areas within Scotland</t>
  </si>
  <si>
    <t>Table 2</t>
  </si>
  <si>
    <t>Table 3</t>
  </si>
  <si>
    <t>Table 4</t>
  </si>
  <si>
    <t>Table 5</t>
  </si>
  <si>
    <t>Table 6</t>
  </si>
  <si>
    <t>Table 7</t>
  </si>
  <si>
    <t>Table 16</t>
  </si>
  <si>
    <t>Table 8</t>
  </si>
  <si>
    <t>Table 17</t>
  </si>
  <si>
    <t>Table 18</t>
  </si>
  <si>
    <t>Some local authority areas are included under multiple Combined Authority Regions.</t>
  </si>
  <si>
    <r>
      <rPr>
        <b/>
        <sz val="12"/>
        <rFont val="Arial"/>
        <family val="2"/>
      </rPr>
      <t xml:space="preserve">Islands &amp; Remote Rural: </t>
    </r>
    <r>
      <rPr>
        <sz val="12"/>
        <rFont val="Arial"/>
        <family val="2"/>
      </rPr>
      <t xml:space="preserve">Na h-Eileanan Siar, Shetland Islands, Orkney Islands, Argyll &amp; Bute  </t>
    </r>
  </si>
  <si>
    <r>
      <rPr>
        <b/>
        <sz val="12"/>
        <rFont val="Arial"/>
        <family val="2"/>
      </rPr>
      <t>Mainly Rural:</t>
    </r>
    <r>
      <rPr>
        <sz val="12"/>
        <rFont val="Arial"/>
        <family val="2"/>
      </rPr>
      <t xml:space="preserve"> Aberdeenshire, Angus, Clackmannanshire, Dumfries &amp; Galloway, East Ayrshire, East Lothian, Highland, Moray, Perth &amp; Kinross, Scottish Borders, South Ayrshire  </t>
    </r>
  </si>
  <si>
    <r>
      <rPr>
        <b/>
        <sz val="12"/>
        <rFont val="Arial"/>
        <family val="2"/>
      </rPr>
      <t>Urban with Substantial Rural areas:</t>
    </r>
    <r>
      <rPr>
        <sz val="12"/>
        <rFont val="Arial"/>
        <family val="2"/>
      </rPr>
      <t xml:space="preserve"> East Dunbartonshire, East Renfrewshire, Falkirk, Fife, Inverclyde, Midlothian, North Ayrshire, North Lanarkshire, Renfrewshire, South Lanarkshire, Stirling, West Dunbartonshire, West Lothian</t>
    </r>
  </si>
  <si>
    <r>
      <rPr>
        <b/>
        <sz val="12"/>
        <rFont val="Arial"/>
        <family val="2"/>
      </rPr>
      <t xml:space="preserve">Larger Cities: </t>
    </r>
    <r>
      <rPr>
        <sz val="12"/>
        <rFont val="Arial"/>
        <family val="2"/>
      </rPr>
      <t xml:space="preserve">Dundee City, Aberdeen City, City of Edinburgh, Glasgow City </t>
    </r>
  </si>
  <si>
    <t xml:space="preserve">This cell contains a hyperlink to the Scottish Government research paper Understanding the Scottish Rural Economy </t>
  </si>
  <si>
    <t>This cell contains a hyperlink to the ScotStat Register</t>
  </si>
  <si>
    <t>[x2]</t>
  </si>
  <si>
    <t>2022</t>
  </si>
  <si>
    <t>Some shorthand is used in this table: [x] = not available, [x1] = not available since the group sample size is zero or disclosive (0-2), [x2] = not available since the group sample size is small (3-9)</t>
  </si>
  <si>
    <t>Some shorthand is used in this table, [x] = not available, [x1] = not available since the group sample size is zero or disclosive (0-2), [x2] = not available since the group sample size is small (3-9)</t>
  </si>
  <si>
    <t>Source: Annual Population Survey estimates of unemployment, January to December, Office for National Statistics</t>
  </si>
  <si>
    <t>Some shorthand is used in this table, [x] = not available, [x1] = estimate not available since the group sample size is zero or disclosive (0-2), [x2] = not available since the group sample size is small (3-9)</t>
  </si>
  <si>
    <t>2019-2022</t>
  </si>
  <si>
    <t>Scottish Index of Multiple Deprivation</t>
  </si>
  <si>
    <t>Quintile 2</t>
  </si>
  <si>
    <t>Quintile 3</t>
  </si>
  <si>
    <t>Quintile 4</t>
  </si>
  <si>
    <t>Each business is counted once in each area it operates in. The sum of the local authority area business counts do not equal the overall Scotland / associated region totals because each business is only counted once in the Scotland / associated region totals.</t>
  </si>
  <si>
    <t>Sizeband is based on the number of employees that the business employs across the UK.</t>
  </si>
  <si>
    <t>High growth business is defined as a business with 10+ employees in the base year (x-3) exhibiting an average of 20% growth over three years in terms of turnover. In practice, average annualised growth of 20% per annum over three years would be equal to 72.8% growth from year x-3 to year x.
Businesses are classified by total Scottish turnover.
On the IDBR, turnover for the majority of registered businesses is based on VAT returns for a 12 month period. For 2020 these relate to a 12 month period ending in December 2018, or January/February 2018, depending on the reporting pattern of the trader.
High growth excludes Financial and Insurance Activities (SIC2007) businesses since turnover are not available on a comparable basis.</t>
  </si>
  <si>
    <t>Scottish Island Regions</t>
  </si>
  <si>
    <t>Argyll Islands</t>
  </si>
  <si>
    <t>Arran, Bute and the Cumbraes</t>
  </si>
  <si>
    <t>Highland Islands</t>
  </si>
  <si>
    <t>Lewis and Harris, Great Bernera and Scalpay</t>
  </si>
  <si>
    <t>Orkney - Mainland and connected</t>
  </si>
  <si>
    <t>Orkney - Outer islands</t>
  </si>
  <si>
    <t>Shetland - Mainland and connected</t>
  </si>
  <si>
    <t>Shetland - Outer islands</t>
  </si>
  <si>
    <t>The Uists and Barra islands</t>
  </si>
  <si>
    <t>Quintile 1 - Most Deprived</t>
  </si>
  <si>
    <t>Quintile 5 - Least Deprived</t>
  </si>
  <si>
    <t>Number of Small (0-49 employees) VAT and/or PAYE registered private sector businesses (as at March each year)</t>
  </si>
  <si>
    <t>Number of VAT and/or PAYE registered private sector businesses (as at March each year)</t>
  </si>
  <si>
    <t>Small (0-49 employees) business share of private sector jobs (as at March each year)</t>
  </si>
  <si>
    <t>Number of abroad-owned registered private sector businesses (as at March each year)</t>
  </si>
  <si>
    <t>Number of EU abroad-owned registered private sector businesses (as at March each year)</t>
  </si>
  <si>
    <t>Abroad-owned business share of private sector jobs (as at March each year)</t>
  </si>
  <si>
    <t>EU abroad-owned business share of private sector jobs (as at March each year)</t>
  </si>
  <si>
    <t>Number of high growth registered private sector businesses (as at March each year)</t>
  </si>
  <si>
    <t>Table 20</t>
  </si>
  <si>
    <t>Some shorthand is used in this table, [u] = suppressed as statistically unreliable, [c] = confidential as estimate is less than 500, [x] = not available, [x1] = estimate not available since the group sample size is zero or disclosive (0-2), [c1] = supressed due to confidentiality</t>
  </si>
  <si>
    <t>Table 3 - Number of Small (0-49 employees) VAT and/or PAYE registered private sector businesses (as at March each year) [note 6] [note 7] [note 8]</t>
  </si>
  <si>
    <t xml:space="preserve">Table 4 - Small (0-49 employees) business share of private sector jobs (as at March each year) [note 6] [note 8] </t>
  </si>
  <si>
    <t>Table 5 - Number of abroad-owned registered private sector businesses (as at March each year) [note 6] [note 7] [note 9]</t>
  </si>
  <si>
    <t>Table 6 - Number of EU abroad-owned registered private sector businesses (as at March each year) [note 6] [note 7] [note 9]</t>
  </si>
  <si>
    <t>[c1]</t>
  </si>
  <si>
    <t>Regional Economic Partnerships, Rural / Urban Economy Areas, and Enterprise Region Areas are defined by combined local authority areas</t>
  </si>
  <si>
    <r>
      <t>Highlands and Islands:</t>
    </r>
    <r>
      <rPr>
        <sz val="12"/>
        <rFont val="Arial"/>
        <family val="2"/>
      </rPr>
      <t xml:space="preserve"> Highland, Moray, Argyll &amp; Bute, Na h-Eileanan Siar, Shetland Islands &amp; Orkney Islands</t>
    </r>
  </si>
  <si>
    <r>
      <t>Glasgow City Region:</t>
    </r>
    <r>
      <rPr>
        <sz val="12"/>
        <rFont val="Arial"/>
        <family val="2"/>
      </rPr>
      <t xml:space="preserve"> Glasgow City, North Lanarkshire, South Lanarkshire, East Dunbartonshire, West Dunbartonshire, Renfrewshire, East Renfrewshire &amp; Inverclyde</t>
    </r>
  </si>
  <si>
    <r>
      <t>Edinburgh and South East Scotland City Region:</t>
    </r>
    <r>
      <rPr>
        <sz val="12"/>
        <rFont val="Arial"/>
        <family val="2"/>
      </rPr>
      <t xml:space="preserve"> Edinburgh, East Lothian, Mid Lothian, West Lothian, Fife &amp; Scottish Borders</t>
    </r>
  </si>
  <si>
    <t xml:space="preserve">Regional Economic Partnerships, Rural / Urban Economy Areas, and Enterprise Region Areas are defined by combined local authority areas </t>
  </si>
  <si>
    <t>Travel to work areas, Highlands and Islands Enterprise Region Area Offices, Clyde regions, Scottish Island Regions and Scottish Index of Multiple Deprivation (SIMD) 2020 quantiles are defined using 2011 Scottish Data Zones [note 3] [note 4] [note 5]</t>
  </si>
  <si>
    <t>Table 2 - Number of VAT and/or PAYE registered private sector businesses (as at March each year) [note 6] [note 7]</t>
  </si>
  <si>
    <t xml:space="preserve">Table 7 - Abroad-owned business share of private sector jobs (as at March each year) [note 6] [note 9] </t>
  </si>
  <si>
    <t xml:space="preserve">Table 8 - EU abroad-owned business share of private sector jobs (as at March each year) [note 6] [note 9] </t>
  </si>
  <si>
    <t>Table 9 - Number of high growth registered private sector businesses (as at March each year) [note 6] [note 7] [note 10]</t>
  </si>
  <si>
    <t>For the Scottish Island Regions - One Data Zone (S01007320) has been excluded as the vast majority of its population is on the mainland, despite its centroid falling on one of the islands within the geography. This is a slight deviation from the Government Geography Policy which states that Data Zones should be ‘best-fitted’ to a higher geography based on the locations of the population weighted centroids.</t>
  </si>
  <si>
    <t>For the Scottish Island Regions - Approximately 15% of the population of the 'Shetland – Outer islands' Scottish Island Region is missing. This is because the island of Bressay is included in a Data Zone (S01012397) which also includes part of Lerwick. This entire Data Zone is assigned to the 'Shetland – Mainland and connected' Scottish Island Region due to the position of its population weighted centroid.</t>
  </si>
  <si>
    <t>APS responses for periods April 2019 to March 2020 to July 2020 to June 2021 have been reweighted using updated HM Revenue and Customs (HMRC) Real Time Information data. Estimates for January 2020 to December 2020 may differ from those previously published. The ONS have written an article which provides further information on the reweighting exercise: https://www.ons.gov.uk/employmentandlabourmarket/peopleinwork/employmentandemployeetypes/articles/impactofreweightingonlabourforcesurveykeyindicators/2022</t>
  </si>
  <si>
    <r>
      <rPr>
        <sz val="12"/>
        <rFont val="Arial"/>
        <family val="2"/>
      </rPr>
      <t xml:space="preserve">Source link: </t>
    </r>
    <r>
      <rPr>
        <u/>
        <sz val="12"/>
        <color theme="10"/>
        <rFont val="Arial"/>
        <family val="2"/>
      </rPr>
      <t>Nomis - Official Census and Labour Market Statistics. This link opens in a new window.</t>
    </r>
  </si>
  <si>
    <t>Further data available by industry sector, and chained volume measures/implied deflators available from the Office for National Statistics.  This link opens in a new window.</t>
  </si>
  <si>
    <t>Further data available by gender, age, work pattern, employment type, broad industrial group and qualification from Nomis. This link opens in a new window.</t>
  </si>
  <si>
    <t>Further data available from Nomis. This link opens in a new window.</t>
  </si>
  <si>
    <t>Further data available by gender from Nomis. This link opens in a new window.</t>
  </si>
  <si>
    <t>Further data available by age and sex from Nomis. This link opens in a new window.</t>
  </si>
  <si>
    <t>2023</t>
  </si>
  <si>
    <t>Source: Businesses in Scotland 2023 - Scottish Government</t>
  </si>
  <si>
    <t>Further data available by industry and enterprise size from Businesses in Scotland 2023  - The Scottish Government. This link opens in a new window.</t>
  </si>
  <si>
    <r>
      <rPr>
        <u/>
        <sz val="12"/>
        <rFont val="Arial"/>
        <family val="2"/>
      </rPr>
      <t xml:space="preserve">Source link: </t>
    </r>
    <r>
      <rPr>
        <u/>
        <sz val="12"/>
        <color theme="10"/>
        <rFont val="Arial"/>
        <family val="2"/>
      </rPr>
      <t>Businesses in Scotland 2023 - The Scottish Government. This link opens in a new window.</t>
    </r>
  </si>
  <si>
    <t>2020-2023</t>
  </si>
  <si>
    <t>Data have been revised back to 1998</t>
  </si>
  <si>
    <t>Some shorthand is used in this table: [x] = not available, [x1] = not available since the group sample size is zero or disclosive (0-2), [u] = suppressed as statistically unreliable, [c] = confidential as estimate is less than 500, [c1] = supressed due to confidentiality</t>
  </si>
  <si>
    <t>Data for areas built from 2011 Scottish Data Zones are not available prior to 2012</t>
  </si>
  <si>
    <t>Table 10 - Number of people in employment (aged 16+) (residence based) [note 11] [note 12] [note 13] [note 14]</t>
  </si>
  <si>
    <t>Table 13 - Number of people aged 16+ in employment who are self-employed [note 11] [note 12] [note 13] [note 14]</t>
  </si>
  <si>
    <t>Table 15 - Number of females aged 16+ in employment who are self-employed [note 11] [note 12] [note 13] [note 14]</t>
  </si>
  <si>
    <t>Table 16 - Unemployment Rate (Percentage of economically active people aged 16+  who are unemployed) and 95% confidence interval of percentage of unemployment rate [note 13] [note 14] [note 16]</t>
  </si>
  <si>
    <t>For some areas the rate is available but the associated confidence interval has been suppressed or is marked as unavailable. In these cases, the rate should be treated with caution.</t>
  </si>
  <si>
    <t>Table 11 - Working age employment rate (residence based) and 95% confidence interval of percentage of working age employment rate [note 13] [note 14] [note 15] [note 16]</t>
  </si>
  <si>
    <t>Table 12 - Employment rate - people aged 16-24 and 95% confidence interval of percentage of employment rate [note 13] [note 14] [note 16]</t>
  </si>
  <si>
    <t>Table 14 - Percentage of people aged 16+ in employment who are self-employed and 95% confidence interval of percentage of people aged 16+ in employment who are self-employed [note 13] [note 14] [note 16]</t>
  </si>
  <si>
    <t>Table 17 - Economic inactivity rates for population aged 16 to 64 and 95% confidence interval of Economic inactivity rates for population aged 16 to 64 [note 13] [note 14] [note 16]</t>
  </si>
  <si>
    <t>Travel to work areas, Highlands and Islands Enterprise Region Area Offices, Clyde regions, Scottish Island Regions and Scottish Index of Multiple Deprivation (SIMD) 2020 quintiles are defined using 2011 Scottish Data Zones [note 3] [note 4] [note 5]</t>
  </si>
  <si>
    <r>
      <rPr>
        <sz val="12"/>
        <rFont val="Arial"/>
        <family val="2"/>
      </rPr>
      <t xml:space="preserve">Source link 1: </t>
    </r>
    <r>
      <rPr>
        <u/>
        <sz val="12"/>
        <color theme="10"/>
        <rFont val="Arial"/>
        <family val="2"/>
      </rPr>
      <t>Regional gross domestic product: all ITL regions - Office for National Statistics. This link opens in a new window.</t>
    </r>
  </si>
  <si>
    <t xml:space="preserve">The data for Berwick and Carlisle TTWAs are for the Scottish Data Zones within the TTWAs. </t>
  </si>
  <si>
    <r>
      <t xml:space="preserve">Source link 2: </t>
    </r>
    <r>
      <rPr>
        <u/>
        <sz val="12"/>
        <color rgb="FF0563C1"/>
        <rFont val="Arial"/>
        <family val="2"/>
      </rPr>
      <t>Regional gross domestic product: local authorities - Office for National Statistics. This link opens in a new window</t>
    </r>
    <r>
      <rPr>
        <sz val="12"/>
        <rFont val="Arial"/>
        <family val="2"/>
      </rPr>
      <t>.</t>
    </r>
  </si>
  <si>
    <t>2024</t>
  </si>
  <si>
    <t>Next Update: January 2026</t>
  </si>
  <si>
    <t>Source: Businesses in Scotland 2024 - Scottish Government</t>
  </si>
  <si>
    <t>Source link: Businesses in Scotland 2024 - The Scottish Government. This link opens in a new window.</t>
  </si>
  <si>
    <t>Further data available by industry and enterprise size from Businesses in Scotland 2024  - The Scottish Government. This link opens in a new window.</t>
  </si>
  <si>
    <t>2021-2024</t>
  </si>
  <si>
    <r>
      <rPr>
        <sz val="12"/>
        <rFont val="Arial"/>
        <family val="2"/>
      </rPr>
      <t xml:space="preserve">Source link 2022 areas built up from Data Zones: </t>
    </r>
    <r>
      <rPr>
        <u/>
        <sz val="12"/>
        <color theme="10"/>
        <rFont val="Arial"/>
        <family val="2"/>
      </rPr>
      <t>Small Area Population Estimates: mid-2022 - National Records of Scotland. This link opens in a new window.</t>
    </r>
  </si>
  <si>
    <t>[x][see note 14]</t>
  </si>
  <si>
    <r>
      <rPr>
        <sz val="12"/>
        <rFont val="Arial"/>
        <family val="2"/>
      </rPr>
      <t xml:space="preserve">Source link 2001-2010 areas built up from Data Zones: </t>
    </r>
    <r>
      <rPr>
        <u/>
        <sz val="12"/>
        <color theme="10"/>
        <rFont val="Arial"/>
        <family val="2"/>
      </rPr>
      <t>Small Area Population Estimates - National Records of Scotland. This link opens in a new window.</t>
    </r>
  </si>
  <si>
    <t>The mid-year population estimates for 2022 onwards are based on the results of the 2022 Census in Scotland (and the 2021 Censuses in the rest of the UK). Estimates for 2012 to 2021 have been rebased using the results of the 2021/2022 Censuses. These statistics replace the previously published mid-year population estimates and form the new official estimates for the population of Scotland and the UK from 2012 to 2021.</t>
  </si>
  <si>
    <r>
      <rPr>
        <sz val="12"/>
        <rFont val="Arial"/>
        <family val="2"/>
      </rPr>
      <t xml:space="preserve">Source link 2011-2021 areas built up from Data Zones: </t>
    </r>
    <r>
      <rPr>
        <u/>
        <sz val="12"/>
        <color theme="10"/>
        <rFont val="Arial"/>
        <family val="2"/>
      </rPr>
      <t>Rebased small area population estimates for 2011 to 2021 (2011 Data Zones) - National Records of Scotland. This link opens in a new window</t>
    </r>
    <r>
      <rPr>
        <sz val="12"/>
        <color theme="10"/>
        <rFont val="Arial"/>
        <family val="2"/>
      </rPr>
      <t>.</t>
    </r>
  </si>
  <si>
    <t>ONS have recently conducted analysis to assess the impact of falling sample sizes over recent years on the quality of APS estimates. ONS state that although the APS estimates are robust at National and headline regional level, there are concerns with the quality of estimates for smaller groups of the population, for example local authority level estimates. As a result, APS estimates below Scotland level for 2023 and 2024 are not included in this table. Users are advised to note the increased uncertainty around estimates below Scotland level in the most recent years that are included. In November 2024 Scotland's Chief Statistician published a statement on the APS response rates, available at: https://blogs.gov.scot/statistics/2024/11/14/challenges-in-gathering-scotlands-data-how-response-rates-are-impacting-the-annual-population-survey/. In April 2025 the Scottish Government published its quality assessment of Labour Force Survey (LFS) and APS data for Scotland, available at: https://www.gov.scot/publications/quality-assessment-of-labour-market-data-sources-phase-1/</t>
  </si>
  <si>
    <t>Source: Business Demography, Office for National Statistics</t>
  </si>
  <si>
    <t>Next Update: March 2026</t>
  </si>
  <si>
    <r>
      <rPr>
        <sz val="12"/>
        <rFont val="Arial"/>
        <family val="2"/>
      </rPr>
      <t xml:space="preserve">Source link: </t>
    </r>
    <r>
      <rPr>
        <u/>
        <sz val="12"/>
        <color theme="10"/>
        <rFont val="Arial"/>
        <family val="2"/>
      </rPr>
      <t>Business Demography - Office for National Statistics. This link opens in a new window.</t>
    </r>
  </si>
  <si>
    <r>
      <rPr>
        <sz val="12"/>
        <rFont val="Arial"/>
        <family val="2"/>
      </rPr>
      <t xml:space="preserve">Source for areas built up from Data Zones: </t>
    </r>
    <r>
      <rPr>
        <u/>
        <sz val="12"/>
        <color theme="10"/>
        <rFont val="Arial"/>
        <family val="2"/>
      </rPr>
      <t>Business Demography Request. This link opens in a new window.</t>
    </r>
  </si>
  <si>
    <t>VAT/PAYE registration figures, or business births, are the official business start-up figures.  These figures do not represent a complete picture of business activity as only businesses that are registered for VAT and/or operate a PAYE scheme are included.  The figures consequently exclude around half of all firms – these excluded unregistered firms contribute an estimated 2% of economic activity in Scotland.</t>
  </si>
  <si>
    <t>Excludes Agriculture (SIC 01) and Fishing (SIC 03) enterprises.</t>
  </si>
  <si>
    <t>Table 21</t>
  </si>
  <si>
    <t>Table 22</t>
  </si>
  <si>
    <t>Table 23</t>
  </si>
  <si>
    <t>Table 24</t>
  </si>
  <si>
    <t>Data for areas built from 2011 Scottish Data Zones are not available prior to 2001, or for 2023-2024</t>
  </si>
  <si>
    <r>
      <rPr>
        <sz val="12"/>
        <rFont val="Arial"/>
        <family val="2"/>
      </rPr>
      <t xml:space="preserve">Source link 1991 to 2024: </t>
    </r>
    <r>
      <rPr>
        <u/>
        <sz val="12"/>
        <color theme="10"/>
        <rFont val="Arial"/>
        <family val="2"/>
      </rPr>
      <t>Population Estimates Time Series Data - National Records of Scotland. This link opens in a new window.</t>
    </r>
  </si>
  <si>
    <t>Total population estimates</t>
  </si>
  <si>
    <t>Population estimates - aged 16+</t>
  </si>
  <si>
    <t>Population estimates - working age (16-64)</t>
  </si>
  <si>
    <t xml:space="preserve">Business Births </t>
  </si>
  <si>
    <t>Business Birth Rates</t>
  </si>
  <si>
    <t>Business Deaths</t>
  </si>
  <si>
    <t>Business Death Rates</t>
  </si>
  <si>
    <t>The business birth rate is business births as a proportion of the active business population, with active businesses defined as those businesses that had either turnover or employment at any time during the reference year.</t>
  </si>
  <si>
    <t>The business death rate is business deaths as a proportion of the active business population, with active businesses defined as those businesses that had either turnover or employment at any time during the reference year.</t>
  </si>
  <si>
    <t>VAT/PAYE de-registration figures, or business deaths, are the official figures for businesses that have ceased trading.  These figures do not represent a complete picture of business activity as only businesses that are registered for VAT and/or operate a PAYE scheme are included. The figures consequently exclude around half of all firms – these excluded unregistered firms contribute an estimated 2% of economic activity in Scotland.</t>
  </si>
  <si>
    <t>Data are rounded to the nearest five. Components may not sum to totals as a result of rounding</t>
  </si>
  <si>
    <t>Table 1</t>
  </si>
  <si>
    <t>Regional Gross Value Added (balanced), Current Prices (£ millions)</t>
  </si>
  <si>
    <t xml:space="preserve">Table 1: Regional Gross Value Added (balanced), Current Prices in £ millions [note 1] [note 2] </t>
  </si>
  <si>
    <t>Next Update: May 2026</t>
  </si>
  <si>
    <r>
      <t xml:space="preserve">Source link 3: </t>
    </r>
    <r>
      <rPr>
        <u/>
        <sz val="12"/>
        <color rgb="FF0070C0"/>
        <rFont val="Arial"/>
        <family val="2"/>
      </rPr>
      <t>UK small area gross value added (GVA) estimates - Office for National Statistics.  This link opens in a new window</t>
    </r>
    <r>
      <rPr>
        <sz val="12"/>
        <rFont val="Arial"/>
        <family val="2"/>
      </rPr>
      <t>.</t>
    </r>
  </si>
  <si>
    <t>Clyde</t>
  </si>
  <si>
    <t>Clyde Mission</t>
  </si>
  <si>
    <t>This table incorporates the latest population estimates available as at 18 December 2025.</t>
  </si>
  <si>
    <t>Table 18 - Total population estimates (1991-2024) [note 17] [note 18]</t>
  </si>
  <si>
    <t>Table 19 - Population estimates (1991-2024) - aged 16+ [note 17] [note 18]</t>
  </si>
  <si>
    <t>Table 20 - Population estimates (1991-2024) - working age (16-64) [note 17] [note 18]</t>
  </si>
  <si>
    <t>Table 21 - Business Births - Count of VAT and/or PAYE Enterprise Births - (2016-2023) [note 19] [note 20]</t>
  </si>
  <si>
    <t>Table 22 - Business birth rates - Rate of VAT and/or PAYE Enterprise Births - (2016-2023) [note 19] [note 20] [note 21]</t>
  </si>
  <si>
    <t>Table 23 - Business Deaths - Count of VAT and/or PAYE Enterprise Deaths - (2016-2023) [note 20] [note 22]</t>
  </si>
  <si>
    <t>Table 24 - Business death rates - Rate of VAT and/or PAYE Enterprise Deaths - (2016-2023) [note 20] [note 22] [note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</si>
</sst>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 #,##0_-;_-* &quot;-&quot;??_-;_-@_-"/>
    <numFmt numFmtId="166" formatCode="0.0%"/>
    <numFmt numFmtId="167" formatCode="_(* #,##0_);_(* \(#,##0\);_(* &quot;-&quot;??_);_(@_)"/>
  </numFmts>
  <fonts count="84" x14ac:knownFonts="1">
    <font>
      <sz val="11"/>
      <color theme="1"/>
      <name val="Calibri"/>
      <family val="2"/>
      <scheme val="minor"/>
    </font>
    <font>
      <sz val="12"/>
      <color theme="1"/>
      <name val="Arial"/>
      <family val="2"/>
    </font>
    <font>
      <sz val="12"/>
      <color theme="1"/>
      <name val="Arial"/>
      <family val="2"/>
    </font>
    <font>
      <sz val="10"/>
      <name val="Arial"/>
      <family val="2"/>
    </font>
    <font>
      <sz val="10"/>
      <name val="MS Sans Serif"/>
      <family val="2"/>
    </font>
    <font>
      <b/>
      <sz val="10"/>
      <name val="Arial"/>
      <family val="2"/>
    </font>
    <font>
      <sz val="8"/>
      <name val="Arial"/>
      <family val="2"/>
    </font>
    <font>
      <u/>
      <sz val="10"/>
      <color indexed="12"/>
      <name val="MS Sans Serif"/>
      <family val="2"/>
    </font>
    <font>
      <u/>
      <sz val="10"/>
      <color indexed="12"/>
      <name val="Arial"/>
      <family val="2"/>
    </font>
    <font>
      <sz val="11"/>
      <color theme="1"/>
      <name val="Calibri"/>
      <family val="2"/>
      <scheme val="minor"/>
    </font>
    <font>
      <sz val="11"/>
      <color indexed="8"/>
      <name val="Calibri"/>
      <family val="2"/>
      <scheme val="minor"/>
    </font>
    <font>
      <u/>
      <sz val="11"/>
      <color theme="10"/>
      <name val="Calibri"/>
      <family val="2"/>
      <scheme val="minor"/>
    </font>
    <font>
      <sz val="10"/>
      <color theme="1"/>
      <name val="Arial"/>
      <family val="2"/>
    </font>
    <font>
      <u/>
      <sz val="10"/>
      <color theme="10"/>
      <name val="Arial"/>
      <family val="2"/>
    </font>
    <font>
      <sz val="10"/>
      <name val="Arial"/>
      <family val="2"/>
    </font>
    <font>
      <sz val="10"/>
      <name val="Arial"/>
      <family val="2"/>
    </font>
    <font>
      <u/>
      <sz val="9.35"/>
      <color theme="10"/>
      <name val="Calibri"/>
      <family val="2"/>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8"/>
      <color indexed="12"/>
      <name val="Arial"/>
      <family val="2"/>
    </font>
    <font>
      <u/>
      <sz val="11"/>
      <color rgb="FF800080"/>
      <name val="Calibri"/>
      <family val="2"/>
      <scheme val="minor"/>
    </font>
    <font>
      <u/>
      <sz val="11"/>
      <color rgb="FF0000FF"/>
      <name val="Calibri"/>
      <family val="2"/>
      <scheme val="minor"/>
    </font>
    <font>
      <b/>
      <sz val="18"/>
      <color theme="3"/>
      <name val="Calibri Light"/>
      <family val="2"/>
      <scheme val="major"/>
    </font>
    <font>
      <b/>
      <sz val="12"/>
      <name val="Arial"/>
      <family val="2"/>
    </font>
    <font>
      <sz val="12"/>
      <name val="Arial"/>
      <family val="2"/>
    </font>
    <font>
      <sz val="12"/>
      <color theme="1"/>
      <name val="Arial"/>
      <family val="2"/>
    </font>
    <font>
      <u/>
      <sz val="12"/>
      <color theme="10"/>
      <name val="Arial"/>
      <family val="2"/>
    </font>
    <font>
      <b/>
      <u/>
      <sz val="12"/>
      <name val="Arial"/>
      <family val="2"/>
    </font>
    <font>
      <b/>
      <sz val="10"/>
      <color rgb="FF000000"/>
      <name val="Arial"/>
      <family val="2"/>
    </font>
    <font>
      <b/>
      <sz val="16"/>
      <name val="Arial"/>
      <family val="2"/>
    </font>
    <font>
      <sz val="12"/>
      <name val="Arial"/>
      <family val="2"/>
    </font>
    <font>
      <sz val="12"/>
      <color rgb="FFFF0000"/>
      <name val="Arial"/>
      <family val="2"/>
    </font>
    <font>
      <sz val="8"/>
      <name val="Calibri"/>
      <family val="2"/>
      <scheme val="minor"/>
    </font>
    <font>
      <sz val="10"/>
      <color rgb="FFFF0000"/>
      <name val="Arial"/>
      <family val="2"/>
    </font>
    <font>
      <b/>
      <sz val="12"/>
      <name val="Arial"/>
      <family val="2"/>
    </font>
    <font>
      <b/>
      <sz val="12"/>
      <name val="Arial"/>
      <family val="2"/>
    </font>
    <font>
      <sz val="12"/>
      <name val="Arial"/>
      <family val="2"/>
    </font>
    <font>
      <sz val="12"/>
      <name val="Arial"/>
      <family val="2"/>
    </font>
    <font>
      <sz val="12"/>
      <color theme="1"/>
      <name val="Arial"/>
      <family val="2"/>
    </font>
    <font>
      <sz val="12"/>
      <name val="Arial"/>
      <family val="2"/>
    </font>
    <font>
      <sz val="12"/>
      <name val="Arial"/>
      <family val="2"/>
    </font>
    <font>
      <sz val="18"/>
      <color theme="3"/>
      <name val="Calibri Light"/>
      <family val="2"/>
      <scheme val="major"/>
    </font>
    <font>
      <sz val="10"/>
      <name val="Arial"/>
      <family val="2"/>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b/>
      <sz val="12"/>
      <color theme="1"/>
      <name val="Arial"/>
      <family val="2"/>
    </font>
    <font>
      <sz val="12"/>
      <color theme="0"/>
      <name val="Arial"/>
      <family val="2"/>
    </font>
    <font>
      <u/>
      <sz val="12"/>
      <color theme="8"/>
      <name val="Arial"/>
      <family val="2"/>
    </font>
    <font>
      <b/>
      <sz val="12"/>
      <name val="Arial"/>
      <family val="2"/>
    </font>
    <font>
      <u/>
      <sz val="12"/>
      <name val="Arial"/>
      <family val="2"/>
    </font>
    <font>
      <sz val="12"/>
      <name val="Arial"/>
      <family val="2"/>
    </font>
    <font>
      <sz val="12"/>
      <color indexed="8"/>
      <name val="Arial"/>
      <family val="2"/>
    </font>
    <font>
      <sz val="12"/>
      <name val="Arial"/>
      <family val="2"/>
    </font>
    <font>
      <b/>
      <sz val="12"/>
      <name val="Arial"/>
      <family val="2"/>
    </font>
    <font>
      <u/>
      <sz val="12"/>
      <color rgb="FF0563C1"/>
      <name val="Arial"/>
      <family val="2"/>
    </font>
    <font>
      <sz val="10"/>
      <name val="Arial"/>
      <family val="2"/>
    </font>
    <font>
      <sz val="12"/>
      <color theme="10"/>
      <name val="Arial"/>
      <family val="2"/>
    </font>
    <font>
      <b/>
      <sz val="12"/>
      <name val="Arial"/>
      <family val="2"/>
    </font>
    <font>
      <sz val="12"/>
      <name val="Arial"/>
      <family val="2"/>
    </font>
    <font>
      <sz val="12"/>
      <color theme="1"/>
      <name val="Arial"/>
      <family val="2"/>
    </font>
    <font>
      <sz val="10"/>
      <name val="Arial"/>
      <family val="2"/>
    </font>
    <font>
      <u/>
      <sz val="12"/>
      <color rgb="FF0070C0"/>
      <name val="Arial"/>
      <family val="2"/>
    </font>
  </fonts>
  <fills count="3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0"/>
      </patternFill>
    </fill>
  </fills>
  <borders count="11">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4"/>
      </bottom>
      <diagonal/>
    </border>
    <border>
      <left/>
      <right/>
      <top/>
      <bottom style="thin">
        <color rgb="FF000000"/>
      </bottom>
      <diagonal/>
    </border>
  </borders>
  <cellStyleXfs count="254">
    <xf numFmtId="0" fontId="0" fillId="0" borderId="0"/>
    <xf numFmtId="0" fontId="3" fillId="0" borderId="0"/>
    <xf numFmtId="0" fontId="7" fillId="0" borderId="0" applyNumberFormat="0" applyFill="0" applyBorder="0" applyAlignment="0" applyProtection="0"/>
    <xf numFmtId="0" fontId="4" fillId="0" borderId="0"/>
    <xf numFmtId="164" fontId="9" fillId="0" borderId="0" applyFont="0" applyFill="0" applyBorder="0" applyAlignment="0" applyProtection="0"/>
    <xf numFmtId="0" fontId="10" fillId="0" borderId="0"/>
    <xf numFmtId="0" fontId="11" fillId="0" borderId="0" applyNumberFormat="0" applyFill="0" applyBorder="0" applyAlignment="0" applyProtection="0"/>
    <xf numFmtId="0" fontId="12" fillId="0" borderId="0"/>
    <xf numFmtId="9" fontId="3" fillId="0" borderId="0" applyFont="0" applyFill="0" applyBorder="0" applyAlignment="0" applyProtection="0"/>
    <xf numFmtId="0" fontId="13" fillId="0" borderId="0" applyNumberFormat="0" applyFill="0" applyBorder="0" applyAlignment="0" applyProtection="0"/>
    <xf numFmtId="0" fontId="8" fillId="0" borderId="0" applyNumberFormat="0" applyFill="0" applyBorder="0" applyAlignment="0" applyProtection="0">
      <alignment vertical="top"/>
      <protection locked="0"/>
    </xf>
    <xf numFmtId="0" fontId="14" fillId="0" borderId="0"/>
    <xf numFmtId="9" fontId="9" fillId="0" borderId="0" applyFont="0" applyFill="0" applyBorder="0" applyAlignment="0" applyProtection="0"/>
    <xf numFmtId="0" fontId="3" fillId="0" borderId="0"/>
    <xf numFmtId="0" fontId="3" fillId="0" borderId="0"/>
    <xf numFmtId="0" fontId="3" fillId="0" borderId="0"/>
    <xf numFmtId="0" fontId="15" fillId="0" borderId="0"/>
    <xf numFmtId="0" fontId="16" fillId="0" borderId="0" applyNumberFormat="0" applyFill="0" applyBorder="0" applyAlignment="0" applyProtection="0">
      <alignment vertical="top"/>
      <protection locked="0"/>
    </xf>
    <xf numFmtId="0" fontId="9" fillId="0" borderId="0"/>
    <xf numFmtId="0" fontId="41" fillId="0" borderId="0" applyNumberFormat="0" applyAlignment="0" applyProtection="0"/>
    <xf numFmtId="0" fontId="17" fillId="0" borderId="1" applyNumberFormat="0" applyFill="0" applyAlignment="0" applyProtection="0"/>
    <xf numFmtId="0" fontId="18" fillId="0" borderId="2" applyNumberFormat="0" applyFill="0" applyAlignment="0" applyProtection="0"/>
    <xf numFmtId="0" fontId="18" fillId="0" borderId="0" applyNumberFormat="0" applyFill="0" applyBorder="0" applyAlignment="0" applyProtection="0"/>
    <xf numFmtId="0" fontId="19" fillId="4" borderId="0" applyNumberFormat="0" applyBorder="0" applyAlignment="0" applyProtection="0"/>
    <xf numFmtId="0" fontId="20" fillId="5" borderId="0" applyNumberFormat="0" applyBorder="0" applyAlignment="0" applyProtection="0"/>
    <xf numFmtId="0" fontId="21" fillId="6" borderId="0" applyNumberFormat="0" applyBorder="0" applyAlignment="0" applyProtection="0"/>
    <xf numFmtId="0" fontId="22" fillId="7" borderId="3" applyNumberFormat="0" applyAlignment="0" applyProtection="0"/>
    <xf numFmtId="0" fontId="23" fillId="8" borderId="4" applyNumberFormat="0" applyAlignment="0" applyProtection="0"/>
    <xf numFmtId="0" fontId="24" fillId="8" borderId="3" applyNumberFormat="0" applyAlignment="0" applyProtection="0"/>
    <xf numFmtId="0" fontId="25" fillId="0" borderId="5" applyNumberFormat="0" applyFill="0" applyAlignment="0" applyProtection="0"/>
    <xf numFmtId="0" fontId="26" fillId="9" borderId="6" applyNumberFormat="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8" applyNumberFormat="0" applyFill="0" applyAlignment="0" applyProtection="0"/>
    <xf numFmtId="0" fontId="30"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30" fillId="22" borderId="0" applyNumberFormat="0" applyBorder="0" applyAlignment="0" applyProtection="0"/>
    <xf numFmtId="0" fontId="30"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30" fillId="26" borderId="0" applyNumberFormat="0" applyBorder="0" applyAlignment="0" applyProtection="0"/>
    <xf numFmtId="0" fontId="30"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0" fillId="34" borderId="0" applyNumberFormat="0" applyBorder="0" applyAlignment="0" applyProtection="0"/>
    <xf numFmtId="0" fontId="6" fillId="0" borderId="0">
      <alignment vertical="top"/>
      <protection locked="0"/>
    </xf>
    <xf numFmtId="0" fontId="32" fillId="0" borderId="0" applyNumberFormat="0" applyFill="0" applyBorder="0" applyAlignment="0" applyProtection="0"/>
    <xf numFmtId="0" fontId="31" fillId="0" borderId="0" applyNumberFormat="0" applyFill="0" applyBorder="0" applyAlignment="0" applyProtection="0">
      <alignment vertical="top"/>
      <protection locked="0"/>
    </xf>
    <xf numFmtId="0" fontId="33" fillId="0" borderId="0" applyNumberFormat="0" applyFill="0" applyBorder="0" applyAlignment="0" applyProtection="0"/>
    <xf numFmtId="0" fontId="3" fillId="0" borderId="0"/>
    <xf numFmtId="0" fontId="9" fillId="0" borderId="0"/>
    <xf numFmtId="0" fontId="9" fillId="10" borderId="7" applyNumberFormat="0" applyFont="0" applyAlignment="0" applyProtection="0"/>
    <xf numFmtId="0" fontId="34" fillId="0" borderId="0" applyNumberFormat="0" applyFill="0" applyBorder="0" applyAlignment="0" applyProtection="0"/>
    <xf numFmtId="0" fontId="4" fillId="0" borderId="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9" fillId="12" borderId="0" applyNumberFormat="0" applyBorder="0" applyAlignment="0" applyProtection="0"/>
    <xf numFmtId="0" fontId="9" fillId="16" borderId="0" applyNumberFormat="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0" borderId="0"/>
    <xf numFmtId="0" fontId="9" fillId="10" borderId="7" applyNumberFormat="0" applyFont="0" applyAlignment="0" applyProtection="0"/>
    <xf numFmtId="0" fontId="6" fillId="0" borderId="0">
      <alignment vertical="top"/>
      <protection locked="0"/>
    </xf>
    <xf numFmtId="164" fontId="6" fillId="0" borderId="0" applyFont="0" applyFill="0" applyBorder="0" applyAlignment="0" applyProtection="0"/>
    <xf numFmtId="164" fontId="6"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37" fillId="0" borderId="0"/>
    <xf numFmtId="0" fontId="40" fillId="0" borderId="0" applyNumberFormat="0" applyBorder="0" applyProtection="0"/>
    <xf numFmtId="0" fontId="53" fillId="0" borderId="0" applyNumberFormat="0" applyFill="0" applyBorder="0" applyAlignment="0" applyProtection="0"/>
    <xf numFmtId="0" fontId="54" fillId="0" borderId="0"/>
    <xf numFmtId="0" fontId="55" fillId="0" borderId="9" applyNumberFormat="0" applyFill="0" applyAlignment="0" applyProtection="0"/>
    <xf numFmtId="0" fontId="56" fillId="0" borderId="1" applyNumberFormat="0" applyFill="0" applyAlignment="0" applyProtection="0"/>
    <xf numFmtId="0" fontId="57" fillId="0" borderId="2" applyNumberFormat="0" applyFill="0" applyAlignment="0" applyProtection="0"/>
    <xf numFmtId="0" fontId="57" fillId="0" borderId="0" applyNumberFormat="0" applyFill="0" applyBorder="0" applyAlignment="0" applyProtection="0"/>
    <xf numFmtId="0" fontId="58" fillId="4" borderId="0" applyNumberFormat="0" applyBorder="0" applyAlignment="0" applyProtection="0"/>
    <xf numFmtId="0" fontId="59" fillId="5" borderId="0" applyNumberFormat="0" applyBorder="0" applyAlignment="0" applyProtection="0"/>
    <xf numFmtId="0" fontId="60" fillId="6" borderId="0" applyNumberFormat="0" applyBorder="0" applyAlignment="0" applyProtection="0"/>
    <xf numFmtId="0" fontId="61" fillId="7" borderId="3" applyNumberFormat="0" applyAlignment="0" applyProtection="0"/>
    <xf numFmtId="0" fontId="62" fillId="8" borderId="4" applyNumberFormat="0" applyAlignment="0" applyProtection="0"/>
    <xf numFmtId="0" fontId="63" fillId="8" borderId="3" applyNumberFormat="0" applyAlignment="0" applyProtection="0"/>
    <xf numFmtId="0" fontId="64" fillId="0" borderId="5" applyNumberFormat="0" applyFill="0" applyAlignment="0" applyProtection="0"/>
    <xf numFmtId="0" fontId="65" fillId="9" borderId="6" applyNumberFormat="0" applyAlignment="0" applyProtection="0"/>
    <xf numFmtId="0" fontId="43" fillId="0" borderId="0" applyNumberFormat="0" applyFill="0" applyBorder="0" applyAlignment="0" applyProtection="0"/>
    <xf numFmtId="0" fontId="37" fillId="10" borderId="7" applyNumberFormat="0" applyFont="0" applyAlignment="0" applyProtection="0"/>
    <xf numFmtId="0" fontId="66" fillId="0" borderId="0" applyNumberFormat="0" applyFill="0" applyBorder="0" applyAlignment="0" applyProtection="0"/>
    <xf numFmtId="0" fontId="67" fillId="0" borderId="8" applyNumberFormat="0" applyFill="0" applyAlignment="0" applyProtection="0"/>
    <xf numFmtId="0" fontId="68" fillId="11" borderId="0" applyNumberFormat="0" applyBorder="0" applyAlignment="0" applyProtection="0"/>
    <xf numFmtId="0" fontId="37" fillId="12"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68" fillId="15" borderId="0" applyNumberFormat="0" applyBorder="0" applyAlignment="0" applyProtection="0"/>
    <xf numFmtId="0" fontId="37" fillId="16" borderId="0" applyNumberFormat="0" applyBorder="0" applyAlignment="0" applyProtection="0"/>
    <xf numFmtId="0" fontId="37" fillId="17" borderId="0" applyNumberFormat="0" applyBorder="0" applyAlignment="0" applyProtection="0"/>
    <xf numFmtId="0" fontId="37" fillId="18" borderId="0" applyNumberFormat="0" applyBorder="0" applyAlignment="0" applyProtection="0"/>
    <xf numFmtId="0" fontId="68" fillId="19" borderId="0" applyNumberFormat="0" applyBorder="0" applyAlignment="0" applyProtection="0"/>
    <xf numFmtId="0" fontId="37" fillId="20" borderId="0" applyNumberFormat="0" applyBorder="0" applyAlignment="0" applyProtection="0"/>
    <xf numFmtId="0" fontId="37" fillId="21" borderId="0" applyNumberFormat="0" applyBorder="0" applyAlignment="0" applyProtection="0"/>
    <xf numFmtId="0" fontId="37" fillId="22" borderId="0" applyNumberFormat="0" applyBorder="0" applyAlignment="0" applyProtection="0"/>
    <xf numFmtId="0" fontId="68" fillId="23" borderId="0" applyNumberFormat="0" applyBorder="0" applyAlignment="0" applyProtection="0"/>
    <xf numFmtId="0" fontId="37" fillId="24" borderId="0" applyNumberFormat="0" applyBorder="0" applyAlignment="0" applyProtection="0"/>
    <xf numFmtId="0" fontId="37" fillId="25" borderId="0" applyNumberFormat="0" applyBorder="0" applyAlignment="0" applyProtection="0"/>
    <xf numFmtId="0" fontId="37" fillId="26" borderId="0" applyNumberFormat="0" applyBorder="0" applyAlignment="0" applyProtection="0"/>
    <xf numFmtId="0" fontId="68" fillId="27" borderId="0" applyNumberFormat="0" applyBorder="0" applyAlignment="0" applyProtection="0"/>
    <xf numFmtId="0" fontId="37" fillId="28"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68" fillId="31" borderId="0" applyNumberFormat="0" applyBorder="0" applyAlignment="0" applyProtection="0"/>
    <xf numFmtId="0" fontId="37" fillId="32" borderId="0" applyNumberFormat="0" applyBorder="0" applyAlignment="0" applyProtection="0"/>
    <xf numFmtId="0" fontId="37" fillId="33" borderId="0" applyNumberFormat="0" applyBorder="0" applyAlignment="0" applyProtection="0"/>
    <xf numFmtId="0" fontId="37" fillId="34" borderId="0" applyNumberFormat="0" applyBorder="0" applyAlignment="0" applyProtection="0"/>
    <xf numFmtId="0" fontId="37" fillId="0" borderId="0"/>
    <xf numFmtId="0" fontId="13" fillId="0" borderId="0" applyNumberFormat="0" applyFill="0" applyBorder="0" applyAlignment="0" applyProtection="0"/>
    <xf numFmtId="0" fontId="38" fillId="0" borderId="0" applyNumberFormat="0" applyFill="0" applyBorder="0" applyAlignment="0" applyProtection="0"/>
    <xf numFmtId="0" fontId="37" fillId="0" borderId="0"/>
    <xf numFmtId="43" fontId="9" fillId="0" borderId="0" applyFont="0" applyFill="0" applyBorder="0" applyAlignment="0" applyProtection="0"/>
    <xf numFmtId="0" fontId="11" fillId="0" borderId="0" applyNumberFormat="0" applyFill="0" applyBorder="0" applyAlignment="0" applyProtection="0"/>
    <xf numFmtId="0" fontId="41" fillId="0" borderId="0" applyNumberFormat="0" applyAlignment="0" applyProtection="0"/>
    <xf numFmtId="0" fontId="12" fillId="0" borderId="0"/>
    <xf numFmtId="43" fontId="12" fillId="0" borderId="0" applyFont="0" applyFill="0" applyBorder="0" applyAlignment="0" applyProtection="0"/>
    <xf numFmtId="9" fontId="12" fillId="0" borderId="0" applyFont="0" applyFill="0" applyBorder="0" applyAlignment="0" applyProtection="0"/>
    <xf numFmtId="9" fontId="3" fillId="0" borderId="0" applyFont="0" applyFill="0" applyBorder="0" applyAlignment="0" applyProtection="0"/>
    <xf numFmtId="0" fontId="6" fillId="0" borderId="0">
      <alignment vertical="top"/>
      <protection locked="0"/>
    </xf>
  </cellStyleXfs>
  <cellXfs count="166">
    <xf numFmtId="0" fontId="0" fillId="0" borderId="0" xfId="0"/>
    <xf numFmtId="0" fontId="35" fillId="0" borderId="0" xfId="0" applyFont="1"/>
    <xf numFmtId="0" fontId="37" fillId="0" borderId="0" xfId="0" applyFont="1"/>
    <xf numFmtId="0" fontId="38" fillId="0" borderId="0" xfId="6" applyFont="1"/>
    <xf numFmtId="0" fontId="37" fillId="2" borderId="0" xfId="0" applyFont="1" applyFill="1"/>
    <xf numFmtId="0" fontId="37" fillId="2" borderId="0" xfId="7" applyFont="1" applyFill="1"/>
    <xf numFmtId="0" fontId="36" fillId="2" borderId="0" xfId="3" applyFont="1" applyFill="1"/>
    <xf numFmtId="0" fontId="36" fillId="0" borderId="0" xfId="5" applyFont="1" applyAlignment="1">
      <alignment horizontal="left" vertical="top"/>
    </xf>
    <xf numFmtId="0" fontId="0" fillId="2" borderId="0" xfId="0" applyFill="1"/>
    <xf numFmtId="0" fontId="36" fillId="0" borderId="0" xfId="0" applyFont="1"/>
    <xf numFmtId="0" fontId="36" fillId="3" borderId="0" xfId="0" applyFont="1" applyFill="1"/>
    <xf numFmtId="0" fontId="39" fillId="3" borderId="0" xfId="0" applyFont="1" applyFill="1"/>
    <xf numFmtId="0" fontId="35" fillId="0" borderId="0" xfId="0" applyFont="1" applyAlignment="1">
      <alignment vertical="center"/>
    </xf>
    <xf numFmtId="0" fontId="3" fillId="0" borderId="0" xfId="0" applyFont="1"/>
    <xf numFmtId="0" fontId="3" fillId="0" borderId="0" xfId="0" applyFont="1" applyAlignment="1">
      <alignment horizontal="right"/>
    </xf>
    <xf numFmtId="3" fontId="3" fillId="0" borderId="0" xfId="0" applyNumberFormat="1" applyFont="1" applyAlignment="1">
      <alignment horizontal="right"/>
    </xf>
    <xf numFmtId="0" fontId="36" fillId="0" borderId="0" xfId="0" applyFont="1" applyAlignment="1">
      <alignment horizontal="left" vertical="center"/>
    </xf>
    <xf numFmtId="0" fontId="36" fillId="0" borderId="0" xfId="0" applyFont="1" applyAlignment="1">
      <alignment horizontal="left"/>
    </xf>
    <xf numFmtId="3" fontId="36" fillId="0" borderId="0" xfId="0" applyNumberFormat="1" applyFont="1" applyAlignment="1">
      <alignment horizontal="right"/>
    </xf>
    <xf numFmtId="165" fontId="36" fillId="0" borderId="0" xfId="196" applyNumberFormat="1" applyFont="1" applyFill="1" applyBorder="1" applyAlignment="1">
      <alignment horizontal="right"/>
    </xf>
    <xf numFmtId="167" fontId="36" fillId="0" borderId="0" xfId="196" applyNumberFormat="1" applyFont="1" applyFill="1" applyBorder="1" applyAlignment="1">
      <alignment horizontal="right"/>
    </xf>
    <xf numFmtId="3" fontId="36" fillId="0" borderId="0" xfId="196" applyNumberFormat="1" applyFont="1" applyFill="1" applyBorder="1" applyAlignment="1">
      <alignment horizontal="right"/>
    </xf>
    <xf numFmtId="0" fontId="41" fillId="0" borderId="0" xfId="19"/>
    <xf numFmtId="0" fontId="35" fillId="0" borderId="0" xfId="0" applyFont="1" applyAlignment="1">
      <alignment horizontal="left"/>
    </xf>
    <xf numFmtId="0" fontId="35" fillId="0" borderId="0" xfId="0" applyFont="1" applyAlignment="1">
      <alignment horizontal="right"/>
    </xf>
    <xf numFmtId="49" fontId="35" fillId="0" borderId="0" xfId="0" applyNumberFormat="1" applyFont="1" applyAlignment="1">
      <alignment horizontal="right"/>
    </xf>
    <xf numFmtId="0" fontId="36" fillId="0" borderId="0" xfId="0" applyFont="1" applyAlignment="1">
      <alignment vertical="top"/>
    </xf>
    <xf numFmtId="0" fontId="3" fillId="0" borderId="0" xfId="0" applyFont="1" applyAlignment="1">
      <alignment vertical="top"/>
    </xf>
    <xf numFmtId="0" fontId="3" fillId="0" borderId="0" xfId="0" applyFont="1" applyAlignment="1">
      <alignment horizontal="right" vertical="top"/>
    </xf>
    <xf numFmtId="166" fontId="36" fillId="0" borderId="0" xfId="12" applyNumberFormat="1" applyFont="1" applyFill="1" applyBorder="1" applyAlignment="1">
      <alignment horizontal="right"/>
    </xf>
    <xf numFmtId="0" fontId="36" fillId="0" borderId="0" xfId="4" applyNumberFormat="1" applyFont="1" applyFill="1" applyBorder="1" applyAlignment="1">
      <alignment horizontal="left"/>
    </xf>
    <xf numFmtId="3" fontId="36" fillId="0" borderId="0" xfId="0" applyNumberFormat="1" applyFont="1" applyAlignment="1">
      <alignment horizontal="right" vertical="center"/>
    </xf>
    <xf numFmtId="0" fontId="36" fillId="0" borderId="0" xfId="0" applyFont="1" applyAlignment="1">
      <alignment horizontal="right"/>
    </xf>
    <xf numFmtId="166" fontId="36" fillId="0" borderId="0" xfId="12" applyNumberFormat="1" applyFont="1" applyFill="1" applyBorder="1" applyAlignment="1">
      <alignment horizontal="right" vertical="center"/>
    </xf>
    <xf numFmtId="0" fontId="39" fillId="35" borderId="0" xfId="0" applyFont="1" applyFill="1" applyProtection="1">
      <protection locked="0"/>
    </xf>
    <xf numFmtId="0" fontId="38" fillId="0" borderId="0" xfId="6" applyFont="1" applyFill="1" applyAlignment="1">
      <alignment vertical="center"/>
    </xf>
    <xf numFmtId="0" fontId="37" fillId="0" borderId="0" xfId="0" applyFont="1" applyAlignment="1">
      <alignment vertical="top"/>
    </xf>
    <xf numFmtId="0" fontId="35" fillId="0" borderId="0" xfId="18" applyFont="1"/>
    <xf numFmtId="0" fontId="36" fillId="0" borderId="0" xfId="18" applyFont="1"/>
    <xf numFmtId="3" fontId="3" fillId="0" borderId="0" xfId="0" applyNumberFormat="1" applyFont="1" applyAlignment="1">
      <alignment horizontal="right" vertical="top"/>
    </xf>
    <xf numFmtId="0" fontId="3" fillId="2" borderId="0" xfId="0" applyFont="1" applyFill="1"/>
    <xf numFmtId="0" fontId="3" fillId="2" borderId="0" xfId="0" applyFont="1" applyFill="1" applyAlignment="1">
      <alignment horizontal="right"/>
    </xf>
    <xf numFmtId="0" fontId="36" fillId="2" borderId="0" xfId="0" applyFont="1" applyFill="1"/>
    <xf numFmtId="0" fontId="3" fillId="2" borderId="0" xfId="0" applyFont="1" applyFill="1" applyAlignment="1">
      <alignment vertical="top"/>
    </xf>
    <xf numFmtId="0" fontId="3" fillId="2" borderId="0" xfId="0" applyFont="1" applyFill="1" applyAlignment="1">
      <alignment horizontal="right" vertical="top"/>
    </xf>
    <xf numFmtId="0" fontId="38" fillId="2" borderId="0" xfId="6" applyFont="1" applyFill="1" applyAlignment="1">
      <alignment vertical="center"/>
    </xf>
    <xf numFmtId="0" fontId="35" fillId="2" borderId="0" xfId="0" applyFont="1" applyFill="1" applyAlignment="1">
      <alignment horizontal="right"/>
    </xf>
    <xf numFmtId="49" fontId="35" fillId="2" borderId="0" xfId="0" applyNumberFormat="1" applyFont="1" applyFill="1" applyAlignment="1">
      <alignment horizontal="right"/>
    </xf>
    <xf numFmtId="166" fontId="36" fillId="2" borderId="0" xfId="12" applyNumberFormat="1" applyFont="1" applyFill="1" applyBorder="1" applyAlignment="1">
      <alignment horizontal="right"/>
    </xf>
    <xf numFmtId="166" fontId="42" fillId="2" borderId="0" xfId="12" applyNumberFormat="1" applyFont="1" applyFill="1" applyAlignment="1">
      <alignment horizontal="right" vertical="center"/>
    </xf>
    <xf numFmtId="166" fontId="42" fillId="2" borderId="0" xfId="12" applyNumberFormat="1" applyFont="1" applyFill="1" applyAlignment="1">
      <alignment horizontal="right"/>
    </xf>
    <xf numFmtId="166" fontId="42" fillId="2" borderId="0" xfId="12" applyNumberFormat="1" applyFont="1" applyFill="1" applyBorder="1" applyAlignment="1">
      <alignment horizontal="right"/>
    </xf>
    <xf numFmtId="0" fontId="5" fillId="2" borderId="0" xfId="0" applyFont="1" applyFill="1" applyAlignment="1">
      <alignment horizontal="right"/>
    </xf>
    <xf numFmtId="3" fontId="3" fillId="2" borderId="0" xfId="0" applyNumberFormat="1" applyFont="1" applyFill="1" applyAlignment="1">
      <alignment horizontal="right"/>
    </xf>
    <xf numFmtId="0" fontId="36" fillId="2" borderId="0" xfId="0" applyFont="1" applyFill="1" applyAlignment="1">
      <alignment vertical="center"/>
    </xf>
    <xf numFmtId="0" fontId="35" fillId="2" borderId="0" xfId="0" applyFont="1" applyFill="1" applyAlignment="1">
      <alignment horizontal="left"/>
    </xf>
    <xf numFmtId="0" fontId="36" fillId="2" borderId="0" xfId="0" applyFont="1" applyFill="1" applyAlignment="1">
      <alignment horizontal="left" vertical="center"/>
    </xf>
    <xf numFmtId="0" fontId="36" fillId="2" borderId="0" xfId="0" applyFont="1" applyFill="1" applyAlignment="1">
      <alignment horizontal="left"/>
    </xf>
    <xf numFmtId="3" fontId="36" fillId="2" borderId="0" xfId="0" applyNumberFormat="1" applyFont="1" applyFill="1" applyAlignment="1">
      <alignment horizontal="right"/>
    </xf>
    <xf numFmtId="167" fontId="36" fillId="2" borderId="0" xfId="196" applyNumberFormat="1" applyFont="1" applyFill="1" applyBorder="1" applyAlignment="1">
      <alignment horizontal="right"/>
    </xf>
    <xf numFmtId="0" fontId="39" fillId="0" borderId="0" xfId="0" applyFont="1"/>
    <xf numFmtId="3" fontId="36" fillId="0" borderId="0" xfId="4" applyNumberFormat="1" applyFont="1" applyFill="1" applyAlignment="1">
      <alignment horizontal="right"/>
    </xf>
    <xf numFmtId="3" fontId="36" fillId="0" borderId="0" xfId="196" applyNumberFormat="1" applyFont="1" applyFill="1" applyAlignment="1">
      <alignment horizontal="right"/>
    </xf>
    <xf numFmtId="3" fontId="3" fillId="0" borderId="0" xfId="0" applyNumberFormat="1" applyFont="1"/>
    <xf numFmtId="3" fontId="35" fillId="0" borderId="0" xfId="0" applyNumberFormat="1" applyFont="1" applyAlignment="1">
      <alignment horizontal="right"/>
    </xf>
    <xf numFmtId="166" fontId="36" fillId="0" borderId="0" xfId="4" applyNumberFormat="1" applyFont="1" applyFill="1" applyAlignment="1">
      <alignment horizontal="right"/>
    </xf>
    <xf numFmtId="0" fontId="45" fillId="0" borderId="0" xfId="0" applyFont="1"/>
    <xf numFmtId="0" fontId="45" fillId="0" borderId="0" xfId="0" applyFont="1" applyAlignment="1">
      <alignment horizontal="right"/>
    </xf>
    <xf numFmtId="0" fontId="46" fillId="0" borderId="0" xfId="0" applyFont="1" applyAlignment="1">
      <alignment horizontal="right"/>
    </xf>
    <xf numFmtId="0" fontId="36" fillId="0" borderId="0" xfId="4" applyNumberFormat="1" applyFont="1" applyFill="1" applyAlignment="1">
      <alignment horizontal="right"/>
    </xf>
    <xf numFmtId="0" fontId="45" fillId="2" borderId="0" xfId="0" applyFont="1" applyFill="1"/>
    <xf numFmtId="0" fontId="45" fillId="2" borderId="0" xfId="0" applyFont="1" applyFill="1" applyAlignment="1">
      <alignment horizontal="right"/>
    </xf>
    <xf numFmtId="0" fontId="36" fillId="2" borderId="0" xfId="4" applyNumberFormat="1" applyFont="1" applyFill="1" applyAlignment="1">
      <alignment horizontal="right"/>
    </xf>
    <xf numFmtId="166" fontId="36" fillId="2" borderId="0" xfId="12" applyNumberFormat="1" applyFont="1" applyFill="1" applyAlignment="1">
      <alignment horizontal="right"/>
    </xf>
    <xf numFmtId="166" fontId="36" fillId="0" borderId="0" xfId="0" applyNumberFormat="1" applyFont="1" applyAlignment="1">
      <alignment horizontal="right"/>
    </xf>
    <xf numFmtId="166" fontId="42" fillId="0" borderId="0" xfId="12" applyNumberFormat="1" applyFont="1" applyFill="1" applyAlignment="1">
      <alignment horizontal="right"/>
    </xf>
    <xf numFmtId="166" fontId="42" fillId="0" borderId="0" xfId="12" applyNumberFormat="1" applyFont="1" applyFill="1" applyBorder="1" applyAlignment="1">
      <alignment horizontal="right"/>
    </xf>
    <xf numFmtId="166" fontId="43" fillId="2" borderId="0" xfId="12" applyNumberFormat="1" applyFont="1" applyFill="1" applyBorder="1" applyAlignment="1">
      <alignment horizontal="right"/>
    </xf>
    <xf numFmtId="166" fontId="42" fillId="0" borderId="0" xfId="12" applyNumberFormat="1" applyFont="1" applyFill="1" applyAlignment="1">
      <alignment horizontal="right" vertical="center"/>
    </xf>
    <xf numFmtId="166" fontId="36" fillId="0" borderId="0" xfId="12" applyNumberFormat="1" applyFont="1" applyFill="1" applyAlignment="1">
      <alignment horizontal="right"/>
    </xf>
    <xf numFmtId="0" fontId="47" fillId="0" borderId="0" xfId="0" applyFont="1" applyAlignment="1">
      <alignment horizontal="right"/>
    </xf>
    <xf numFmtId="0" fontId="48" fillId="0" borderId="0" xfId="4" applyNumberFormat="1" applyFont="1" applyFill="1" applyAlignment="1">
      <alignment horizontal="right"/>
    </xf>
    <xf numFmtId="0" fontId="48" fillId="0" borderId="0" xfId="0" applyFont="1" applyAlignment="1">
      <alignment horizontal="left"/>
    </xf>
    <xf numFmtId="3" fontId="48" fillId="0" borderId="0" xfId="196" applyNumberFormat="1" applyFont="1" applyFill="1" applyAlignment="1">
      <alignment horizontal="right"/>
    </xf>
    <xf numFmtId="166" fontId="48" fillId="0" borderId="0" xfId="12" applyNumberFormat="1" applyFont="1" applyFill="1" applyBorder="1" applyAlignment="1">
      <alignment horizontal="right" vertical="center"/>
    </xf>
    <xf numFmtId="166" fontId="48" fillId="0" borderId="0" xfId="12" applyNumberFormat="1" applyFont="1" applyFill="1" applyBorder="1" applyAlignment="1">
      <alignment horizontal="right"/>
    </xf>
    <xf numFmtId="3" fontId="36" fillId="0" borderId="0" xfId="12" applyNumberFormat="1" applyFont="1" applyFill="1" applyBorder="1" applyAlignment="1">
      <alignment horizontal="right" vertical="center"/>
    </xf>
    <xf numFmtId="3" fontId="36" fillId="0" borderId="0" xfId="12" applyNumberFormat="1" applyFont="1" applyFill="1" applyBorder="1" applyAlignment="1">
      <alignment horizontal="right"/>
    </xf>
    <xf numFmtId="166" fontId="36" fillId="2" borderId="0" xfId="12" applyNumberFormat="1" applyFont="1" applyFill="1" applyBorder="1" applyAlignment="1">
      <alignment horizontal="right" vertical="center"/>
    </xf>
    <xf numFmtId="166" fontId="36" fillId="2" borderId="0" xfId="4" applyNumberFormat="1" applyFont="1" applyFill="1" applyBorder="1" applyAlignment="1">
      <alignment horizontal="right"/>
    </xf>
    <xf numFmtId="0" fontId="47" fillId="2" borderId="0" xfId="0" applyFont="1" applyFill="1" applyAlignment="1">
      <alignment horizontal="right"/>
    </xf>
    <xf numFmtId="0" fontId="49" fillId="0" borderId="0" xfId="0" applyFont="1" applyAlignment="1">
      <alignment horizontal="left"/>
    </xf>
    <xf numFmtId="0" fontId="49" fillId="0" borderId="0" xfId="0" applyFont="1"/>
    <xf numFmtId="167" fontId="36" fillId="0" borderId="0" xfId="196" applyNumberFormat="1" applyFont="1" applyFill="1" applyAlignment="1">
      <alignment horizontal="right"/>
    </xf>
    <xf numFmtId="0" fontId="49" fillId="0" borderId="0" xfId="4" applyNumberFormat="1" applyFont="1" applyFill="1" applyAlignment="1">
      <alignment horizontal="right"/>
    </xf>
    <xf numFmtId="0" fontId="50" fillId="2" borderId="0" xfId="0" applyFont="1" applyFill="1"/>
    <xf numFmtId="0" fontId="51" fillId="0" borderId="0" xfId="0" applyFont="1" applyAlignment="1">
      <alignment horizontal="left"/>
    </xf>
    <xf numFmtId="166" fontId="48" fillId="2" borderId="0" xfId="4" applyNumberFormat="1" applyFont="1" applyFill="1" applyAlignment="1">
      <alignment horizontal="right"/>
    </xf>
    <xf numFmtId="166" fontId="36" fillId="2" borderId="0" xfId="4" applyNumberFormat="1" applyFont="1" applyFill="1" applyAlignment="1">
      <alignment horizontal="right"/>
    </xf>
    <xf numFmtId="166" fontId="51" fillId="2" borderId="0" xfId="4" applyNumberFormat="1" applyFont="1" applyFill="1" applyAlignment="1">
      <alignment horizontal="right"/>
    </xf>
    <xf numFmtId="0" fontId="51" fillId="0" borderId="0" xfId="0" applyFont="1"/>
    <xf numFmtId="3" fontId="51" fillId="0" borderId="0" xfId="0" applyNumberFormat="1" applyFont="1" applyAlignment="1">
      <alignment horizontal="right"/>
    </xf>
    <xf numFmtId="3" fontId="51" fillId="0" borderId="0" xfId="4" applyNumberFormat="1" applyFont="1" applyFill="1" applyBorder="1" applyAlignment="1">
      <alignment horizontal="right"/>
    </xf>
    <xf numFmtId="3" fontId="51" fillId="0" borderId="0" xfId="4" applyNumberFormat="1" applyFont="1" applyFill="1" applyAlignment="1">
      <alignment horizontal="right"/>
    </xf>
    <xf numFmtId="0" fontId="41" fillId="2" borderId="0" xfId="19" applyFill="1"/>
    <xf numFmtId="166" fontId="52" fillId="0" borderId="0" xfId="12" applyNumberFormat="1" applyFont="1" applyFill="1" applyAlignment="1">
      <alignment horizontal="right"/>
    </xf>
    <xf numFmtId="0" fontId="49" fillId="2" borderId="0" xfId="0" applyFont="1" applyFill="1" applyAlignment="1">
      <alignment horizontal="left"/>
    </xf>
    <xf numFmtId="0" fontId="49" fillId="2" borderId="0" xfId="0" applyFont="1" applyFill="1"/>
    <xf numFmtId="167" fontId="36" fillId="2" borderId="0" xfId="196" applyNumberFormat="1" applyFont="1" applyFill="1" applyAlignment="1">
      <alignment horizontal="right"/>
    </xf>
    <xf numFmtId="3" fontId="36" fillId="2" borderId="0" xfId="196" applyNumberFormat="1" applyFont="1" applyFill="1" applyBorder="1" applyAlignment="1">
      <alignment horizontal="right"/>
    </xf>
    <xf numFmtId="0" fontId="36" fillId="0" borderId="0" xfId="197" applyNumberFormat="1" applyFont="1" applyFill="1" applyAlignment="1">
      <alignment horizontal="right"/>
    </xf>
    <xf numFmtId="0" fontId="69" fillId="0" borderId="0" xfId="6" applyFont="1"/>
    <xf numFmtId="0" fontId="70" fillId="0" borderId="0" xfId="0" applyFont="1" applyAlignment="1">
      <alignment horizontal="right"/>
    </xf>
    <xf numFmtId="165" fontId="72" fillId="0" borderId="0" xfId="246" applyNumberFormat="1" applyFont="1" applyFill="1" applyAlignment="1">
      <alignment horizontal="right"/>
    </xf>
    <xf numFmtId="3" fontId="0" fillId="2" borderId="0" xfId="0" applyNumberFormat="1" applyFill="1"/>
    <xf numFmtId="0" fontId="38" fillId="2" borderId="0" xfId="247" applyFont="1" applyFill="1" applyAlignment="1">
      <alignment vertical="center"/>
    </xf>
    <xf numFmtId="0" fontId="41" fillId="2" borderId="0" xfId="248" applyFill="1"/>
    <xf numFmtId="3" fontId="73" fillId="0" borderId="0" xfId="0" applyNumberFormat="1" applyFont="1" applyAlignment="1">
      <alignment horizontal="right"/>
    </xf>
    <xf numFmtId="0" fontId="36" fillId="0" borderId="0" xfId="0" applyFont="1" applyAlignment="1">
      <alignment horizontal="left" vertical="top"/>
    </xf>
    <xf numFmtId="0" fontId="36" fillId="0" borderId="0" xfId="0" applyFont="1" applyAlignment="1">
      <alignment vertical="top" wrapText="1"/>
    </xf>
    <xf numFmtId="0" fontId="74" fillId="0" borderId="0" xfId="0" applyFont="1" applyAlignment="1">
      <alignment horizontal="left" vertical="top"/>
    </xf>
    <xf numFmtId="0" fontId="75" fillId="0" borderId="0" xfId="0" applyFont="1" applyAlignment="1">
      <alignment horizontal="right"/>
    </xf>
    <xf numFmtId="3" fontId="74" fillId="0" borderId="0" xfId="4" applyNumberFormat="1" applyFont="1" applyFill="1" applyAlignment="1">
      <alignment horizontal="right"/>
    </xf>
    <xf numFmtId="3" fontId="36" fillId="0" borderId="0" xfId="197" applyNumberFormat="1" applyFont="1" applyFill="1" applyAlignment="1">
      <alignment horizontal="right"/>
    </xf>
    <xf numFmtId="3" fontId="36" fillId="0" borderId="0" xfId="197" applyNumberFormat="1" applyFont="1" applyFill="1" applyBorder="1" applyAlignment="1">
      <alignment horizontal="right"/>
    </xf>
    <xf numFmtId="3" fontId="36" fillId="0" borderId="10" xfId="12" applyNumberFormat="1" applyFont="1" applyFill="1" applyBorder="1" applyAlignment="1">
      <alignment horizontal="right" vertical="center"/>
    </xf>
    <xf numFmtId="3" fontId="36" fillId="0" borderId="10" xfId="197" applyNumberFormat="1" applyFont="1" applyFill="1" applyBorder="1" applyAlignment="1">
      <alignment horizontal="right"/>
    </xf>
    <xf numFmtId="3" fontId="36" fillId="0" borderId="10" xfId="196" applyNumberFormat="1" applyFont="1" applyFill="1" applyBorder="1" applyAlignment="1">
      <alignment horizontal="right"/>
    </xf>
    <xf numFmtId="0" fontId="36" fillId="0" borderId="0" xfId="0" applyFont="1" applyAlignment="1">
      <alignment wrapText="1"/>
    </xf>
    <xf numFmtId="0" fontId="2" fillId="0" borderId="0" xfId="0" applyFont="1"/>
    <xf numFmtId="0" fontId="36" fillId="2" borderId="0" xfId="6" applyFont="1" applyFill="1"/>
    <xf numFmtId="3" fontId="77" fillId="0" borderId="0" xfId="0" applyNumberFormat="1" applyFont="1" applyAlignment="1">
      <alignment horizontal="right"/>
    </xf>
    <xf numFmtId="166" fontId="0" fillId="0" borderId="0" xfId="12" applyNumberFormat="1" applyFont="1"/>
    <xf numFmtId="166" fontId="3" fillId="0" borderId="0" xfId="0" applyNumberFormat="1" applyFont="1" applyAlignment="1">
      <alignment horizontal="right"/>
    </xf>
    <xf numFmtId="0" fontId="38" fillId="0" borderId="0" xfId="247" applyFont="1"/>
    <xf numFmtId="0" fontId="38" fillId="0" borderId="0" xfId="247" applyFont="1" applyFill="1" applyAlignment="1">
      <alignment vertical="center"/>
    </xf>
    <xf numFmtId="0" fontId="78" fillId="0" borderId="0" xfId="6" applyFont="1"/>
    <xf numFmtId="0" fontId="79" fillId="0" borderId="0" xfId="0" applyFont="1" applyAlignment="1">
      <alignment horizontal="right"/>
    </xf>
    <xf numFmtId="167" fontId="80" fillId="0" borderId="0" xfId="4" applyNumberFormat="1" applyFont="1" applyFill="1" applyAlignment="1">
      <alignment horizontal="right"/>
    </xf>
    <xf numFmtId="167" fontId="36" fillId="0" borderId="0" xfId="4" applyNumberFormat="1" applyFont="1" applyFill="1" applyAlignment="1">
      <alignment horizontal="right"/>
    </xf>
    <xf numFmtId="0" fontId="36" fillId="2" borderId="0" xfId="18" applyFont="1" applyFill="1"/>
    <xf numFmtId="0" fontId="36" fillId="2" borderId="0" xfId="0" applyFont="1" applyFill="1" applyAlignment="1">
      <alignment vertical="top"/>
    </xf>
    <xf numFmtId="3" fontId="77" fillId="2" borderId="0" xfId="0" applyNumberFormat="1" applyFont="1" applyFill="1" applyAlignment="1">
      <alignment horizontal="right"/>
    </xf>
    <xf numFmtId="0" fontId="46" fillId="2" borderId="0" xfId="0" applyFont="1" applyFill="1" applyAlignment="1">
      <alignment horizontal="right"/>
    </xf>
    <xf numFmtId="3" fontId="36" fillId="2" borderId="0" xfId="4" applyNumberFormat="1" applyFont="1" applyFill="1" applyAlignment="1">
      <alignment horizontal="right"/>
    </xf>
    <xf numFmtId="167" fontId="36" fillId="2" borderId="0" xfId="4" applyNumberFormat="1" applyFont="1" applyFill="1" applyAlignment="1">
      <alignment horizontal="right"/>
    </xf>
    <xf numFmtId="3" fontId="51" fillId="2" borderId="0" xfId="4" applyNumberFormat="1" applyFont="1" applyFill="1" applyAlignment="1">
      <alignment horizontal="right"/>
    </xf>
    <xf numFmtId="0" fontId="51" fillId="2" borderId="0" xfId="0" applyFont="1" applyFill="1" applyAlignment="1">
      <alignment horizontal="left"/>
    </xf>
    <xf numFmtId="0" fontId="51" fillId="2" borderId="0" xfId="0" applyFont="1" applyFill="1"/>
    <xf numFmtId="0" fontId="38" fillId="2" borderId="0" xfId="6" applyFont="1" applyFill="1"/>
    <xf numFmtId="166" fontId="51" fillId="2" borderId="0" xfId="12" applyNumberFormat="1" applyFont="1" applyFill="1" applyAlignment="1">
      <alignment horizontal="right"/>
    </xf>
    <xf numFmtId="0" fontId="41" fillId="2" borderId="0" xfId="19" applyFill="1" applyAlignment="1"/>
    <xf numFmtId="0" fontId="80" fillId="0" borderId="0" xfId="0" applyFont="1" applyAlignment="1">
      <alignment wrapText="1"/>
    </xf>
    <xf numFmtId="0" fontId="81" fillId="2" borderId="0" xfId="0" applyFont="1" applyFill="1"/>
    <xf numFmtId="3" fontId="74" fillId="2" borderId="0" xfId="4" applyNumberFormat="1" applyFont="1" applyFill="1" applyAlignment="1">
      <alignment horizontal="right"/>
    </xf>
    <xf numFmtId="3" fontId="82" fillId="0" borderId="0" xfId="0" applyNumberFormat="1" applyFont="1" applyAlignment="1">
      <alignment horizontal="right"/>
    </xf>
    <xf numFmtId="3" fontId="3" fillId="0" borderId="0" xfId="0" applyNumberFormat="1" applyFont="1" applyAlignment="1">
      <alignment vertical="top"/>
    </xf>
    <xf numFmtId="167" fontId="0" fillId="0" borderId="0" xfId="4" applyNumberFormat="1" applyFont="1"/>
    <xf numFmtId="165" fontId="72" fillId="2" borderId="0" xfId="246" applyNumberFormat="1" applyFont="1" applyFill="1" applyAlignment="1">
      <alignment horizontal="right"/>
    </xf>
    <xf numFmtId="167" fontId="80" fillId="2" borderId="0" xfId="4" applyNumberFormat="1" applyFont="1" applyFill="1" applyAlignment="1">
      <alignment horizontal="right"/>
    </xf>
    <xf numFmtId="167" fontId="36" fillId="2" borderId="0" xfId="4" applyNumberFormat="1" applyFont="1" applyFill="1" applyBorder="1" applyAlignment="1">
      <alignment horizontal="right"/>
    </xf>
    <xf numFmtId="0" fontId="79" fillId="2" borderId="0" xfId="0" applyFont="1" applyFill="1" applyAlignment="1">
      <alignment horizontal="right"/>
    </xf>
    <xf numFmtId="3" fontId="3" fillId="2" borderId="0" xfId="0" applyNumberFormat="1" applyFont="1" applyFill="1"/>
    <xf numFmtId="0" fontId="1" fillId="0" borderId="0" xfId="0" applyFont="1"/>
    <xf numFmtId="0" fontId="6" fillId="3" borderId="0" xfId="13" applyFont="1" applyFill="1" applyAlignment="1">
      <alignment horizontal="left" wrapText="1"/>
    </xf>
    <xf numFmtId="0" fontId="36" fillId="2" borderId="0" xfId="0" applyFont="1" applyFill="1" applyAlignment="1">
      <alignment wrapText="1"/>
    </xf>
  </cellXfs>
  <cellStyles count="254">
    <cellStyle name="20% - Accent1" xfId="35" builtinId="30" customBuiltin="1"/>
    <cellStyle name="20% - Accent1 2" xfId="67" xr:uid="{00000000-0005-0000-0000-000001000000}"/>
    <cellStyle name="20% - Accent1 2 2" xfId="95" xr:uid="{00000000-0005-0000-0000-000002000000}"/>
    <cellStyle name="20% - Accent1 2 3" xfId="123" xr:uid="{00000000-0005-0000-0000-000003000000}"/>
    <cellStyle name="20% - Accent1 2 4" xfId="151" xr:uid="{00000000-0005-0000-0000-000004000000}"/>
    <cellStyle name="20% - Accent1 2 5" xfId="179" xr:uid="{00000000-0005-0000-0000-000005000000}"/>
    <cellStyle name="20% - Accent1 3" xfId="81" xr:uid="{00000000-0005-0000-0000-000006000000}"/>
    <cellStyle name="20% - Accent1 4" xfId="109" xr:uid="{00000000-0005-0000-0000-000007000000}"/>
    <cellStyle name="20% - Accent1 5" xfId="137" xr:uid="{00000000-0005-0000-0000-000008000000}"/>
    <cellStyle name="20% - Accent1 6" xfId="165" xr:uid="{00000000-0005-0000-0000-000009000000}"/>
    <cellStyle name="20% - Accent1 7" xfId="219" xr:uid="{EF17EE1E-1B4D-4075-AC8B-CF27B56F55EF}"/>
    <cellStyle name="20% - Accent2" xfId="39" builtinId="34" customBuiltin="1"/>
    <cellStyle name="20% - Accent2 2" xfId="68" xr:uid="{00000000-0005-0000-0000-00000B000000}"/>
    <cellStyle name="20% - Accent2 2 2" xfId="96" xr:uid="{00000000-0005-0000-0000-00000C000000}"/>
    <cellStyle name="20% - Accent2 2 3" xfId="124" xr:uid="{00000000-0005-0000-0000-00000D000000}"/>
    <cellStyle name="20% - Accent2 2 4" xfId="152" xr:uid="{00000000-0005-0000-0000-00000E000000}"/>
    <cellStyle name="20% - Accent2 2 5" xfId="180" xr:uid="{00000000-0005-0000-0000-00000F000000}"/>
    <cellStyle name="20% - Accent2 3" xfId="82" xr:uid="{00000000-0005-0000-0000-000010000000}"/>
    <cellStyle name="20% - Accent2 4" xfId="110" xr:uid="{00000000-0005-0000-0000-000011000000}"/>
    <cellStyle name="20% - Accent2 5" xfId="138" xr:uid="{00000000-0005-0000-0000-000012000000}"/>
    <cellStyle name="20% - Accent2 6" xfId="166" xr:uid="{00000000-0005-0000-0000-000013000000}"/>
    <cellStyle name="20% - Accent2 7" xfId="223" xr:uid="{71911BFB-4F93-4548-99B3-8131574F1B80}"/>
    <cellStyle name="20% - Accent3" xfId="43" builtinId="38" customBuiltin="1"/>
    <cellStyle name="20% - Accent3 2" xfId="69" xr:uid="{00000000-0005-0000-0000-000015000000}"/>
    <cellStyle name="20% - Accent3 2 2" xfId="97" xr:uid="{00000000-0005-0000-0000-000016000000}"/>
    <cellStyle name="20% - Accent3 2 3" xfId="125" xr:uid="{00000000-0005-0000-0000-000017000000}"/>
    <cellStyle name="20% - Accent3 2 4" xfId="153" xr:uid="{00000000-0005-0000-0000-000018000000}"/>
    <cellStyle name="20% - Accent3 2 5" xfId="181" xr:uid="{00000000-0005-0000-0000-000019000000}"/>
    <cellStyle name="20% - Accent3 3" xfId="83" xr:uid="{00000000-0005-0000-0000-00001A000000}"/>
    <cellStyle name="20% - Accent3 4" xfId="111" xr:uid="{00000000-0005-0000-0000-00001B000000}"/>
    <cellStyle name="20% - Accent3 5" xfId="139" xr:uid="{00000000-0005-0000-0000-00001C000000}"/>
    <cellStyle name="20% - Accent3 6" xfId="167" xr:uid="{00000000-0005-0000-0000-00001D000000}"/>
    <cellStyle name="20% - Accent3 7" xfId="227" xr:uid="{9C90974D-7962-45EF-BF78-EA4FA15E34A2}"/>
    <cellStyle name="20% - Accent4" xfId="47" builtinId="42" customBuiltin="1"/>
    <cellStyle name="20% - Accent4 2" xfId="70" xr:uid="{00000000-0005-0000-0000-00001F000000}"/>
    <cellStyle name="20% - Accent4 2 2" xfId="98" xr:uid="{00000000-0005-0000-0000-000020000000}"/>
    <cellStyle name="20% - Accent4 2 3" xfId="126" xr:uid="{00000000-0005-0000-0000-000021000000}"/>
    <cellStyle name="20% - Accent4 2 4" xfId="154" xr:uid="{00000000-0005-0000-0000-000022000000}"/>
    <cellStyle name="20% - Accent4 2 5" xfId="182" xr:uid="{00000000-0005-0000-0000-000023000000}"/>
    <cellStyle name="20% - Accent4 3" xfId="84" xr:uid="{00000000-0005-0000-0000-000024000000}"/>
    <cellStyle name="20% - Accent4 4" xfId="112" xr:uid="{00000000-0005-0000-0000-000025000000}"/>
    <cellStyle name="20% - Accent4 5" xfId="140" xr:uid="{00000000-0005-0000-0000-000026000000}"/>
    <cellStyle name="20% - Accent4 6" xfId="168" xr:uid="{00000000-0005-0000-0000-000027000000}"/>
    <cellStyle name="20% - Accent4 7" xfId="231" xr:uid="{53D17861-AF4B-43CE-80A7-F1E091F8742D}"/>
    <cellStyle name="20% - Accent5" xfId="51" builtinId="46" customBuiltin="1"/>
    <cellStyle name="20% - Accent5 2" xfId="71" xr:uid="{00000000-0005-0000-0000-000029000000}"/>
    <cellStyle name="20% - Accent5 2 2" xfId="99" xr:uid="{00000000-0005-0000-0000-00002A000000}"/>
    <cellStyle name="20% - Accent5 2 3" xfId="127" xr:uid="{00000000-0005-0000-0000-00002B000000}"/>
    <cellStyle name="20% - Accent5 2 4" xfId="155" xr:uid="{00000000-0005-0000-0000-00002C000000}"/>
    <cellStyle name="20% - Accent5 2 5" xfId="183" xr:uid="{00000000-0005-0000-0000-00002D000000}"/>
    <cellStyle name="20% - Accent5 3" xfId="85" xr:uid="{00000000-0005-0000-0000-00002E000000}"/>
    <cellStyle name="20% - Accent5 4" xfId="113" xr:uid="{00000000-0005-0000-0000-00002F000000}"/>
    <cellStyle name="20% - Accent5 5" xfId="141" xr:uid="{00000000-0005-0000-0000-000030000000}"/>
    <cellStyle name="20% - Accent5 6" xfId="169" xr:uid="{00000000-0005-0000-0000-000031000000}"/>
    <cellStyle name="20% - Accent5 7" xfId="235" xr:uid="{5DB80F98-FFA6-49F8-B2DE-08D9559DD248}"/>
    <cellStyle name="20% - Accent6" xfId="55" builtinId="50" customBuiltin="1"/>
    <cellStyle name="20% - Accent6 2" xfId="72" xr:uid="{00000000-0005-0000-0000-000033000000}"/>
    <cellStyle name="20% - Accent6 2 2" xfId="100" xr:uid="{00000000-0005-0000-0000-000034000000}"/>
    <cellStyle name="20% - Accent6 2 3" xfId="128" xr:uid="{00000000-0005-0000-0000-000035000000}"/>
    <cellStyle name="20% - Accent6 2 4" xfId="156" xr:uid="{00000000-0005-0000-0000-000036000000}"/>
    <cellStyle name="20% - Accent6 2 5" xfId="184" xr:uid="{00000000-0005-0000-0000-000037000000}"/>
    <cellStyle name="20% - Accent6 3" xfId="86" xr:uid="{00000000-0005-0000-0000-000038000000}"/>
    <cellStyle name="20% - Accent6 4" xfId="114" xr:uid="{00000000-0005-0000-0000-000039000000}"/>
    <cellStyle name="20% - Accent6 5" xfId="142" xr:uid="{00000000-0005-0000-0000-00003A000000}"/>
    <cellStyle name="20% - Accent6 6" xfId="170" xr:uid="{00000000-0005-0000-0000-00003B000000}"/>
    <cellStyle name="20% - Accent6 7" xfId="239" xr:uid="{A4662AC4-28A1-48C0-B9F9-8A0F785839BF}"/>
    <cellStyle name="40% - Accent1" xfId="36" builtinId="31" customBuiltin="1"/>
    <cellStyle name="40% - Accent1 2" xfId="73" xr:uid="{00000000-0005-0000-0000-00003D000000}"/>
    <cellStyle name="40% - Accent1 2 2" xfId="101" xr:uid="{00000000-0005-0000-0000-00003E000000}"/>
    <cellStyle name="40% - Accent1 2 3" xfId="129" xr:uid="{00000000-0005-0000-0000-00003F000000}"/>
    <cellStyle name="40% - Accent1 2 4" xfId="157" xr:uid="{00000000-0005-0000-0000-000040000000}"/>
    <cellStyle name="40% - Accent1 2 5" xfId="185" xr:uid="{00000000-0005-0000-0000-000041000000}"/>
    <cellStyle name="40% - Accent1 3" xfId="87" xr:uid="{00000000-0005-0000-0000-000042000000}"/>
    <cellStyle name="40% - Accent1 4" xfId="115" xr:uid="{00000000-0005-0000-0000-000043000000}"/>
    <cellStyle name="40% - Accent1 5" xfId="143" xr:uid="{00000000-0005-0000-0000-000044000000}"/>
    <cellStyle name="40% - Accent1 6" xfId="171" xr:uid="{00000000-0005-0000-0000-000045000000}"/>
    <cellStyle name="40% - Accent1 7" xfId="220" xr:uid="{C7622990-D091-4148-95F9-DB951C7FD3D3}"/>
    <cellStyle name="40% - Accent2" xfId="40" builtinId="35" customBuiltin="1"/>
    <cellStyle name="40% - Accent2 2" xfId="74" xr:uid="{00000000-0005-0000-0000-000047000000}"/>
    <cellStyle name="40% - Accent2 2 2" xfId="102" xr:uid="{00000000-0005-0000-0000-000048000000}"/>
    <cellStyle name="40% - Accent2 2 3" xfId="130" xr:uid="{00000000-0005-0000-0000-000049000000}"/>
    <cellStyle name="40% - Accent2 2 4" xfId="158" xr:uid="{00000000-0005-0000-0000-00004A000000}"/>
    <cellStyle name="40% - Accent2 2 5" xfId="186" xr:uid="{00000000-0005-0000-0000-00004B000000}"/>
    <cellStyle name="40% - Accent2 3" xfId="88" xr:uid="{00000000-0005-0000-0000-00004C000000}"/>
    <cellStyle name="40% - Accent2 4" xfId="116" xr:uid="{00000000-0005-0000-0000-00004D000000}"/>
    <cellStyle name="40% - Accent2 5" xfId="144" xr:uid="{00000000-0005-0000-0000-00004E000000}"/>
    <cellStyle name="40% - Accent2 6" xfId="172" xr:uid="{00000000-0005-0000-0000-00004F000000}"/>
    <cellStyle name="40% - Accent2 7" xfId="224" xr:uid="{73670C4A-0340-4652-8880-99B41A617710}"/>
    <cellStyle name="40% - Accent3" xfId="44" builtinId="39" customBuiltin="1"/>
    <cellStyle name="40% - Accent3 2" xfId="75" xr:uid="{00000000-0005-0000-0000-000051000000}"/>
    <cellStyle name="40% - Accent3 2 2" xfId="103" xr:uid="{00000000-0005-0000-0000-000052000000}"/>
    <cellStyle name="40% - Accent3 2 3" xfId="131" xr:uid="{00000000-0005-0000-0000-000053000000}"/>
    <cellStyle name="40% - Accent3 2 4" xfId="159" xr:uid="{00000000-0005-0000-0000-000054000000}"/>
    <cellStyle name="40% - Accent3 2 5" xfId="187" xr:uid="{00000000-0005-0000-0000-000055000000}"/>
    <cellStyle name="40% - Accent3 3" xfId="89" xr:uid="{00000000-0005-0000-0000-000056000000}"/>
    <cellStyle name="40% - Accent3 4" xfId="117" xr:uid="{00000000-0005-0000-0000-000057000000}"/>
    <cellStyle name="40% - Accent3 5" xfId="145" xr:uid="{00000000-0005-0000-0000-000058000000}"/>
    <cellStyle name="40% - Accent3 6" xfId="173" xr:uid="{00000000-0005-0000-0000-000059000000}"/>
    <cellStyle name="40% - Accent3 7" xfId="228" xr:uid="{AE491CD9-7EE2-4A3E-8BD5-5530E80C21A4}"/>
    <cellStyle name="40% - Accent4" xfId="48" builtinId="43" customBuiltin="1"/>
    <cellStyle name="40% - Accent4 2" xfId="76" xr:uid="{00000000-0005-0000-0000-00005B000000}"/>
    <cellStyle name="40% - Accent4 2 2" xfId="104" xr:uid="{00000000-0005-0000-0000-00005C000000}"/>
    <cellStyle name="40% - Accent4 2 3" xfId="132" xr:uid="{00000000-0005-0000-0000-00005D000000}"/>
    <cellStyle name="40% - Accent4 2 4" xfId="160" xr:uid="{00000000-0005-0000-0000-00005E000000}"/>
    <cellStyle name="40% - Accent4 2 5" xfId="188" xr:uid="{00000000-0005-0000-0000-00005F000000}"/>
    <cellStyle name="40% - Accent4 3" xfId="90" xr:uid="{00000000-0005-0000-0000-000060000000}"/>
    <cellStyle name="40% - Accent4 4" xfId="118" xr:uid="{00000000-0005-0000-0000-000061000000}"/>
    <cellStyle name="40% - Accent4 5" xfId="146" xr:uid="{00000000-0005-0000-0000-000062000000}"/>
    <cellStyle name="40% - Accent4 6" xfId="174" xr:uid="{00000000-0005-0000-0000-000063000000}"/>
    <cellStyle name="40% - Accent4 7" xfId="232" xr:uid="{7FA682AA-050A-4573-AE30-D4B2FA43D78C}"/>
    <cellStyle name="40% - Accent5" xfId="52" builtinId="47" customBuiltin="1"/>
    <cellStyle name="40% - Accent5 2" xfId="77" xr:uid="{00000000-0005-0000-0000-000065000000}"/>
    <cellStyle name="40% - Accent5 2 2" xfId="105" xr:uid="{00000000-0005-0000-0000-000066000000}"/>
    <cellStyle name="40% - Accent5 2 3" xfId="133" xr:uid="{00000000-0005-0000-0000-000067000000}"/>
    <cellStyle name="40% - Accent5 2 4" xfId="161" xr:uid="{00000000-0005-0000-0000-000068000000}"/>
    <cellStyle name="40% - Accent5 2 5" xfId="189" xr:uid="{00000000-0005-0000-0000-000069000000}"/>
    <cellStyle name="40% - Accent5 3" xfId="91" xr:uid="{00000000-0005-0000-0000-00006A000000}"/>
    <cellStyle name="40% - Accent5 4" xfId="119" xr:uid="{00000000-0005-0000-0000-00006B000000}"/>
    <cellStyle name="40% - Accent5 5" xfId="147" xr:uid="{00000000-0005-0000-0000-00006C000000}"/>
    <cellStyle name="40% - Accent5 6" xfId="175" xr:uid="{00000000-0005-0000-0000-00006D000000}"/>
    <cellStyle name="40% - Accent5 7" xfId="236" xr:uid="{2B8D9D45-F4A3-479A-9DD6-87EE968DFDF8}"/>
    <cellStyle name="40% - Accent6" xfId="56" builtinId="51" customBuiltin="1"/>
    <cellStyle name="40% - Accent6 2" xfId="78" xr:uid="{00000000-0005-0000-0000-00006F000000}"/>
    <cellStyle name="40% - Accent6 2 2" xfId="106" xr:uid="{00000000-0005-0000-0000-000070000000}"/>
    <cellStyle name="40% - Accent6 2 3" xfId="134" xr:uid="{00000000-0005-0000-0000-000071000000}"/>
    <cellStyle name="40% - Accent6 2 4" xfId="162" xr:uid="{00000000-0005-0000-0000-000072000000}"/>
    <cellStyle name="40% - Accent6 2 5" xfId="190" xr:uid="{00000000-0005-0000-0000-000073000000}"/>
    <cellStyle name="40% - Accent6 3" xfId="92" xr:uid="{00000000-0005-0000-0000-000074000000}"/>
    <cellStyle name="40% - Accent6 4" xfId="120" xr:uid="{00000000-0005-0000-0000-000075000000}"/>
    <cellStyle name="40% - Accent6 5" xfId="148" xr:uid="{00000000-0005-0000-0000-000076000000}"/>
    <cellStyle name="40% - Accent6 6" xfId="176" xr:uid="{00000000-0005-0000-0000-000077000000}"/>
    <cellStyle name="40% - Accent6 7" xfId="240" xr:uid="{405A8E8E-029F-4C89-B05D-02885CE63E13}"/>
    <cellStyle name="60% - Accent1" xfId="37" builtinId="32" customBuiltin="1"/>
    <cellStyle name="60% - Accent1 2" xfId="221" xr:uid="{6F56C1F8-C481-465E-B646-FF994B36CCD7}"/>
    <cellStyle name="60% - Accent2" xfId="41" builtinId="36" customBuiltin="1"/>
    <cellStyle name="60% - Accent2 2" xfId="225" xr:uid="{52569C0C-8B2B-4A7C-B7B0-42D76251BEAA}"/>
    <cellStyle name="60% - Accent3" xfId="45" builtinId="40" customBuiltin="1"/>
    <cellStyle name="60% - Accent3 2" xfId="229" xr:uid="{C6AD6E0C-CD08-4075-B88C-C6CA3E67DCAB}"/>
    <cellStyle name="60% - Accent4" xfId="49" builtinId="44" customBuiltin="1"/>
    <cellStyle name="60% - Accent4 2" xfId="233" xr:uid="{5A2E5574-9D1C-409E-9220-9C883710D9DD}"/>
    <cellStyle name="60% - Accent5" xfId="53" builtinId="48" customBuiltin="1"/>
    <cellStyle name="60% - Accent5 2" xfId="237" xr:uid="{4FCB9EAF-D700-43B2-948C-23ECE0385F95}"/>
    <cellStyle name="60% - Accent6" xfId="57" builtinId="52" customBuiltin="1"/>
    <cellStyle name="60% - Accent6 2" xfId="241" xr:uid="{1E33C328-D73B-45CE-B41E-54FB8DC5D6F7}"/>
    <cellStyle name="Accent1" xfId="34" builtinId="29" customBuiltin="1"/>
    <cellStyle name="Accent1 2" xfId="218" xr:uid="{22841F88-1BA1-4D34-A9B5-30DFFFA0663E}"/>
    <cellStyle name="Accent2" xfId="38" builtinId="33" customBuiltin="1"/>
    <cellStyle name="Accent2 2" xfId="222" xr:uid="{DACF767A-4CC6-41F2-92CD-38CBB622B8C1}"/>
    <cellStyle name="Accent3" xfId="42" builtinId="37" customBuiltin="1"/>
    <cellStyle name="Accent3 2" xfId="226" xr:uid="{4E98C038-FCAA-47B5-9A0B-067D0EABE59B}"/>
    <cellStyle name="Accent4" xfId="46" builtinId="41" customBuiltin="1"/>
    <cellStyle name="Accent4 2" xfId="230" xr:uid="{281B200A-7289-411C-A779-51CC061E409E}"/>
    <cellStyle name="Accent5" xfId="50" builtinId="45" customBuiltin="1"/>
    <cellStyle name="Accent5 2" xfId="234" xr:uid="{F8B04946-5DAB-4BEB-B505-EF40E343DF07}"/>
    <cellStyle name="Accent6" xfId="54" builtinId="49" customBuiltin="1"/>
    <cellStyle name="Accent6 2" xfId="238" xr:uid="{97BAAB9E-A40F-411E-90CE-95638350B46D}"/>
    <cellStyle name="Bad" xfId="24" builtinId="27" customBuiltin="1"/>
    <cellStyle name="Bad 2" xfId="207" xr:uid="{F935353C-EA0B-49F4-9DED-69C7E13C4642}"/>
    <cellStyle name="Calculation" xfId="28" builtinId="22" customBuiltin="1"/>
    <cellStyle name="Calculation 2" xfId="211" xr:uid="{73FC9294-6825-4C3A-8BBD-59C5EF5BE18C}"/>
    <cellStyle name="Check Cell" xfId="30" builtinId="23" customBuiltin="1"/>
    <cellStyle name="Check Cell 2" xfId="213" xr:uid="{9D942C2B-D88F-4F26-ACE8-C35F36B72AF4}"/>
    <cellStyle name="Comma" xfId="4" builtinId="3"/>
    <cellStyle name="Comma 2" xfId="195" xr:uid="{00000000-0005-0000-0000-000088000000}"/>
    <cellStyle name="Comma 2 2" xfId="197" xr:uid="{00000000-0005-0000-0000-000089000000}"/>
    <cellStyle name="Comma 3" xfId="194" xr:uid="{00000000-0005-0000-0000-00008A000000}"/>
    <cellStyle name="Comma 4" xfId="196" xr:uid="{00000000-0005-0000-0000-00008B000000}"/>
    <cellStyle name="Comma 4 2 2 2 4 2" xfId="250" xr:uid="{95411DF9-342C-4806-B166-639CB10F0BD0}"/>
    <cellStyle name="Comma 5" xfId="246" xr:uid="{762B3DE9-59A5-4BF8-8FC5-BCD516311A62}"/>
    <cellStyle name="Explanatory Text" xfId="32" builtinId="53" customBuiltin="1"/>
    <cellStyle name="Explanatory Text 2" xfId="216" xr:uid="{F287C4CE-73A4-4978-A72D-875BE1BF09FC}"/>
    <cellStyle name="Followed Hyperlink 2" xfId="59" xr:uid="{00000000-0005-0000-0000-00008D000000}"/>
    <cellStyle name="Good" xfId="23" builtinId="26" customBuiltin="1"/>
    <cellStyle name="Good 2" xfId="206" xr:uid="{04279174-D342-4E9D-AD07-F9501E716213}"/>
    <cellStyle name="Heading 1" xfId="19" builtinId="16" customBuiltin="1"/>
    <cellStyle name="Heading 1 2" xfId="202" xr:uid="{D128B052-A791-47C7-AFC0-E48CB055760B}"/>
    <cellStyle name="Heading 1 2 2" xfId="248" xr:uid="{B7E0DB4E-439D-4A88-B225-D3515EF79C1B}"/>
    <cellStyle name="Heading 2" xfId="20" builtinId="17" customBuiltin="1"/>
    <cellStyle name="Heading 2 2" xfId="203" xr:uid="{6133390B-4183-478D-A0DB-E933F1386C9D}"/>
    <cellStyle name="Heading 3" xfId="21" builtinId="18" customBuiltin="1"/>
    <cellStyle name="Heading 3 2" xfId="204" xr:uid="{DFFC6695-4BEF-4C3A-9F72-AFB5EDC54904}"/>
    <cellStyle name="Heading 4" xfId="22" builtinId="19" customBuiltin="1"/>
    <cellStyle name="Heading 4 2" xfId="205" xr:uid="{813E3F89-F4DA-432F-B202-493FDA50C670}"/>
    <cellStyle name="Headings" xfId="199" xr:uid="{00000000-0005-0000-0000-000093000000}"/>
    <cellStyle name="Hyperlink" xfId="6" builtinId="8"/>
    <cellStyle name="Hyperlink 2" xfId="2" xr:uid="{00000000-0005-0000-0000-000095000000}"/>
    <cellStyle name="Hyperlink 2 2" xfId="17" xr:uid="{00000000-0005-0000-0000-000096000000}"/>
    <cellStyle name="Hyperlink 2 2 2" xfId="244" xr:uid="{96224777-2B39-48C3-9C59-04444DA35B21}"/>
    <cellStyle name="Hyperlink 2 3" xfId="61" xr:uid="{00000000-0005-0000-0000-000097000000}"/>
    <cellStyle name="Hyperlink 2 4" xfId="243" xr:uid="{2E19DA2C-1BBC-4B3A-B3FE-DBCA59F0C97E}"/>
    <cellStyle name="Hyperlink 2 5" xfId="247" xr:uid="{5E6E3613-1FE3-4C82-8659-ECC7000E4E9B}"/>
    <cellStyle name="Hyperlink 3" xfId="9" xr:uid="{00000000-0005-0000-0000-000098000000}"/>
    <cellStyle name="Hyperlink 4" xfId="10" xr:uid="{00000000-0005-0000-0000-000099000000}"/>
    <cellStyle name="Hyperlink 5" xfId="60" xr:uid="{00000000-0005-0000-0000-00009A000000}"/>
    <cellStyle name="Input" xfId="26" builtinId="20" customBuiltin="1"/>
    <cellStyle name="Input 2" xfId="209" xr:uid="{43C5C9FE-D38F-4C12-8BE0-FBF4FB18728B}"/>
    <cellStyle name="Linked Cell" xfId="29" builtinId="24" customBuiltin="1"/>
    <cellStyle name="Linked Cell 2" xfId="212" xr:uid="{4CC378CC-B0FD-4940-BFA1-5AB764354039}"/>
    <cellStyle name="Neutral" xfId="25" builtinId="28" customBuiltin="1"/>
    <cellStyle name="Neutral 2" xfId="208" xr:uid="{CECE72AE-0CEF-4BBA-AE3A-E9038097BC1B}"/>
    <cellStyle name="Normal" xfId="0" builtinId="0"/>
    <cellStyle name="Normal 10" xfId="253" xr:uid="{0608D81F-1EA0-4C4B-9C66-3FF040346CB4}"/>
    <cellStyle name="Normal 10 2" xfId="14" xr:uid="{00000000-0005-0000-0000-00009F000000}"/>
    <cellStyle name="Normal 12" xfId="198" xr:uid="{00000000-0005-0000-0000-0000A0000000}"/>
    <cellStyle name="Normal 2" xfId="1" xr:uid="{00000000-0005-0000-0000-0000A1000000}"/>
    <cellStyle name="Normal 2 2" xfId="18" xr:uid="{00000000-0005-0000-0000-0000A2000000}"/>
    <cellStyle name="Normal 2 2 2 3" xfId="15" xr:uid="{00000000-0005-0000-0000-0000A3000000}"/>
    <cellStyle name="Normal 2 3" xfId="13" xr:uid="{00000000-0005-0000-0000-0000A4000000}"/>
    <cellStyle name="Normal 2 4" xfId="242" xr:uid="{2E3770E5-7D21-41C8-AC94-94FCE58B7501}"/>
    <cellStyle name="Normal 3" xfId="5" xr:uid="{00000000-0005-0000-0000-0000A5000000}"/>
    <cellStyle name="Normal 3 2" xfId="62" xr:uid="{00000000-0005-0000-0000-0000A6000000}"/>
    <cellStyle name="Normal 4" xfId="11" xr:uid="{00000000-0005-0000-0000-0000A7000000}"/>
    <cellStyle name="Normal 4 2" xfId="7" xr:uid="{00000000-0005-0000-0000-0000A8000000}"/>
    <cellStyle name="Normal 4 2 2" xfId="107" xr:uid="{00000000-0005-0000-0000-0000A9000000}"/>
    <cellStyle name="Normal 4 2 3" xfId="135" xr:uid="{00000000-0005-0000-0000-0000AA000000}"/>
    <cellStyle name="Normal 4 2 4" xfId="163" xr:uid="{00000000-0005-0000-0000-0000AB000000}"/>
    <cellStyle name="Normal 4 2 5" xfId="191" xr:uid="{00000000-0005-0000-0000-0000AC000000}"/>
    <cellStyle name="Normal 4 2 6" xfId="79" xr:uid="{00000000-0005-0000-0000-0000AD000000}"/>
    <cellStyle name="Normal 4 3" xfId="93" xr:uid="{00000000-0005-0000-0000-0000AE000000}"/>
    <cellStyle name="Normal 4 3 2 5 3" xfId="249" xr:uid="{37DDB775-7113-4632-8B12-E1E5C4A688D7}"/>
    <cellStyle name="Normal 4 4" xfId="121" xr:uid="{00000000-0005-0000-0000-0000AF000000}"/>
    <cellStyle name="Normal 4 5" xfId="149" xr:uid="{00000000-0005-0000-0000-0000B0000000}"/>
    <cellStyle name="Normal 4 6" xfId="177" xr:uid="{00000000-0005-0000-0000-0000B1000000}"/>
    <cellStyle name="Normal 4 7" xfId="63" xr:uid="{00000000-0005-0000-0000-0000B2000000}"/>
    <cellStyle name="Normal 4 8" xfId="245" xr:uid="{77BC9EC0-79BF-49A0-AD68-7355E94662CE}"/>
    <cellStyle name="Normal 5" xfId="16" xr:uid="{00000000-0005-0000-0000-0000B3000000}"/>
    <cellStyle name="Normal 5 2" xfId="66" xr:uid="{00000000-0005-0000-0000-0000B4000000}"/>
    <cellStyle name="Normal 6" xfId="193" xr:uid="{00000000-0005-0000-0000-0000B5000000}"/>
    <cellStyle name="Normal 7" xfId="58" xr:uid="{00000000-0005-0000-0000-0000B6000000}"/>
    <cellStyle name="Normal 8" xfId="201" xr:uid="{9D684BFA-5421-456A-A224-AA69A2014AF3}"/>
    <cellStyle name="Normal_Table F Nov 2001" xfId="3" xr:uid="{00000000-0005-0000-0000-0000B7000000}"/>
    <cellStyle name="Note 2" xfId="64" xr:uid="{00000000-0005-0000-0000-0000B8000000}"/>
    <cellStyle name="Note 2 2" xfId="80" xr:uid="{00000000-0005-0000-0000-0000B9000000}"/>
    <cellStyle name="Note 2 2 2" xfId="108" xr:uid="{00000000-0005-0000-0000-0000BA000000}"/>
    <cellStyle name="Note 2 2 3" xfId="136" xr:uid="{00000000-0005-0000-0000-0000BB000000}"/>
    <cellStyle name="Note 2 2 4" xfId="164" xr:uid="{00000000-0005-0000-0000-0000BC000000}"/>
    <cellStyle name="Note 2 2 5" xfId="192" xr:uid="{00000000-0005-0000-0000-0000BD000000}"/>
    <cellStyle name="Note 2 3" xfId="94" xr:uid="{00000000-0005-0000-0000-0000BE000000}"/>
    <cellStyle name="Note 2 4" xfId="122" xr:uid="{00000000-0005-0000-0000-0000BF000000}"/>
    <cellStyle name="Note 2 5" xfId="150" xr:uid="{00000000-0005-0000-0000-0000C0000000}"/>
    <cellStyle name="Note 2 6" xfId="178" xr:uid="{00000000-0005-0000-0000-0000C1000000}"/>
    <cellStyle name="Note 3" xfId="215" xr:uid="{A529E337-B4CF-4BD2-8C61-4194B68A34A7}"/>
    <cellStyle name="Output" xfId="27" builtinId="21" customBuiltin="1"/>
    <cellStyle name="Output 2" xfId="210" xr:uid="{21B99A45-CEA7-49DF-B0E5-C1A0FE34BE47}"/>
    <cellStyle name="Per cent" xfId="12" builtinId="5"/>
    <cellStyle name="Percent 16" xfId="251" xr:uid="{1E3C730C-735C-4FC2-9D50-BF9D5255F532}"/>
    <cellStyle name="Percent 2" xfId="8" xr:uid="{00000000-0005-0000-0000-0000C4000000}"/>
    <cellStyle name="Percent 2 2" xfId="252" xr:uid="{AEDC3A89-6936-4568-9D6F-6C24B2B85D66}"/>
    <cellStyle name="Title" xfId="200" builtinId="15" customBuiltin="1"/>
    <cellStyle name="Title 2" xfId="65" xr:uid="{00000000-0005-0000-0000-0000C5000000}"/>
    <cellStyle name="Total" xfId="33" builtinId="25" customBuiltin="1"/>
    <cellStyle name="Total 2" xfId="217" xr:uid="{73050068-C3C3-4110-83A7-4DE764CB4C78}"/>
    <cellStyle name="Warning Text" xfId="31" builtinId="11" customBuiltin="1"/>
    <cellStyle name="Warning Text 2" xfId="214" xr:uid="{D461EF5C-A44D-4C25-ABDB-321EE7502591}"/>
  </cellStyles>
  <dxfs count="597">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theme="0"/>
        </patternFill>
      </fill>
    </dxf>
    <dxf>
      <font>
        <b val="0"/>
        <i val="0"/>
        <strike val="0"/>
        <condense val="0"/>
        <extend val="0"/>
        <outline val="0"/>
        <shadow val="0"/>
        <u val="none"/>
        <vertAlign val="baseline"/>
        <sz val="12"/>
        <color auto="1"/>
        <name val="Arial"/>
        <scheme val="none"/>
      </font>
      <fill>
        <patternFill patternType="none">
          <fgColor indexed="64"/>
          <bgColor theme="0"/>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theme="0"/>
        </patternFill>
      </fill>
    </dxf>
    <dxf>
      <font>
        <b val="0"/>
        <i val="0"/>
        <strike val="0"/>
        <condense val="0"/>
        <extend val="0"/>
        <outline val="0"/>
        <shadow val="0"/>
        <u val="none"/>
        <vertAlign val="baseline"/>
        <sz val="12"/>
        <color auto="1"/>
        <name val="Arial"/>
        <scheme val="none"/>
      </font>
      <fill>
        <patternFill patternType="none">
          <fgColor indexed="64"/>
          <bgColor theme="0"/>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theme="0"/>
        </patternFill>
      </fill>
    </dxf>
    <dxf>
      <font>
        <b val="0"/>
        <i val="0"/>
        <strike val="0"/>
        <condense val="0"/>
        <extend val="0"/>
        <outline val="0"/>
        <shadow val="0"/>
        <u val="none"/>
        <vertAlign val="baseline"/>
        <sz val="12"/>
        <color auto="1"/>
        <name val="Arial"/>
        <scheme val="none"/>
      </font>
      <fill>
        <patternFill patternType="none">
          <fgColor indexed="64"/>
          <bgColor theme="0"/>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theme="0"/>
        </patternFill>
      </fill>
    </dxf>
    <dxf>
      <font>
        <b val="0"/>
        <i val="0"/>
        <strike val="0"/>
        <condense val="0"/>
        <extend val="0"/>
        <outline val="0"/>
        <shadow val="0"/>
        <u val="none"/>
        <vertAlign val="baseline"/>
        <sz val="12"/>
        <color auto="1"/>
        <name val="Arial"/>
        <scheme val="none"/>
      </font>
      <fill>
        <patternFill patternType="none">
          <fgColor indexed="64"/>
          <bgColor theme="0"/>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theme="0"/>
        </patternFill>
      </fill>
    </dxf>
    <dxf>
      <font>
        <b val="0"/>
        <i val="0"/>
        <strike val="0"/>
        <condense val="0"/>
        <extend val="0"/>
        <outline val="0"/>
        <shadow val="0"/>
        <u val="none"/>
        <vertAlign val="baseline"/>
        <sz val="12"/>
        <color auto="1"/>
        <name val="Arial"/>
        <scheme val="none"/>
      </font>
      <fill>
        <patternFill patternType="none">
          <fgColor indexed="64"/>
          <bgColor theme="0"/>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rgb="FFFFC0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border outline="0">
        <top style="thin">
          <color rgb="FF000000"/>
        </top>
        <bottom style="thin">
          <color rgb="FF000000"/>
        </bottom>
      </border>
    </dxf>
    <dxf>
      <font>
        <b val="0"/>
        <i val="0"/>
        <strike val="0"/>
        <condense val="0"/>
        <extend val="0"/>
        <outline val="0"/>
        <shadow val="0"/>
        <u val="none"/>
        <vertAlign val="baseline"/>
        <sz val="12"/>
        <color auto="1"/>
        <name val="Arial"/>
        <scheme val="none"/>
      </font>
      <numFmt numFmtId="0" formatCode="General"/>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_(* \(#,##0\);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theme="0"/>
        </patternFill>
      </fill>
    </dxf>
    <dxf>
      <font>
        <b val="0"/>
        <i val="0"/>
        <strike val="0"/>
        <condense val="0"/>
        <extend val="0"/>
        <outline val="0"/>
        <shadow val="0"/>
        <u val="none"/>
        <vertAlign val="baseline"/>
        <sz val="12"/>
        <color auto="1"/>
        <name val="Arial"/>
        <scheme val="none"/>
      </font>
      <fill>
        <patternFill patternType="none">
          <fgColor indexed="64"/>
          <bgColor theme="0"/>
        </patternFill>
      </fill>
      <alignment horizontal="lef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alignment horizontal="left" vertical="center" textRotation="0" wrapText="0" indent="0" justifyLastLine="0" shrinkToFit="0" readingOrder="0"/>
    </dxf>
    <dxf>
      <font>
        <b/>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ertAlign val="baseline"/>
        <sz val="12"/>
        <color theme="10"/>
        <name val="Arial"/>
        <scheme val="none"/>
      </font>
    </dxf>
  </dxfs>
  <tableStyles count="0" defaultTableStyle="TableStyleMedium2" defaultPivotStyle="PivotStyleLight16"/>
  <colors>
    <mruColors>
      <color rgb="FF0563C1"/>
      <color rgb="FFCCECFF"/>
      <color rgb="FF99CCFF"/>
      <color rgb="FFCC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00000000}" name="Table_of_Contents" displayName="Table_of_Contents" ref="A3:B28" totalsRowShown="0">
  <tableColumns count="2">
    <tableColumn id="1" xr3:uid="{00000000-0010-0000-0000-000001000000}" name="Table name" dataDxfId="596" dataCellStyle="Hyperlink"/>
    <tableColumn id="2" xr3:uid="{00000000-0010-0000-0000-000002000000}" name="Table description" dataDxfId="59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CB922E-9A92-4086-BAB6-DBD984325964}" name="Notes" displayName="Notes" ref="A4:B27" totalsRowShown="0" headerRowDxfId="594">
  <tableColumns count="2">
    <tableColumn id="1" xr3:uid="{7DE27B33-24FF-4EF5-B728-A108629A60E9}" name="Note Number" dataDxfId="593"/>
    <tableColumn id="2" xr3:uid="{7E8A6BB9-C196-4107-99C0-ADBAE05C46F5}" name="Note Text" dataDxfId="59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5CAE243-FEAC-4191-ADE0-EF7C63BD7EC7}" name="Table1_2023_Regional_GVA_Balanced" displayName="Table1_2023_Regional_GVA_Balanced" ref="A14:AB136" totalsRowShown="0" headerRowDxfId="591" dataDxfId="590" tableBorderDxfId="589" dataCellStyle="Comma">
  <tableColumns count="28">
    <tableColumn id="1" xr3:uid="{5019A920-8210-4E00-998F-A5EF0D54B69A}" name="Geography" dataDxfId="588"/>
    <tableColumn id="2" xr3:uid="{C726532E-8A33-4057-BFB7-3368FFF30B4F}" name="Region" dataDxfId="587"/>
    <tableColumn id="3" xr3:uid="{0C31A671-BF93-45B0-86E8-E24E2FC43736}" name="1998" dataDxfId="586" dataCellStyle="Comma 4"/>
    <tableColumn id="4" xr3:uid="{F9CC021D-7942-4750-8FB8-C2CC65454766}" name="1999" dataDxfId="585" dataCellStyle="Comma 4"/>
    <tableColumn id="5" xr3:uid="{897FF238-3CBA-4BE3-B361-DEF9DE9C6EA5}" name="2000" dataDxfId="584" dataCellStyle="Comma 4"/>
    <tableColumn id="6" xr3:uid="{DC6739F2-BCF8-40D3-BB56-7345B92FFF02}" name="2001" dataDxfId="583" dataCellStyle="Comma 4"/>
    <tableColumn id="7" xr3:uid="{5DA9A68D-49A3-4D0F-BD12-02EE70D94284}" name="2002" dataDxfId="582" dataCellStyle="Comma 4"/>
    <tableColumn id="8" xr3:uid="{56516553-2423-4D1D-B106-BB9AC0BEDA0D}" name="2003" dataDxfId="581" dataCellStyle="Comma 4"/>
    <tableColumn id="9" xr3:uid="{C4BFDDD4-110A-483B-994C-D70D3EA529E1}" name="2004" dataDxfId="580" dataCellStyle="Comma 4"/>
    <tableColumn id="10" xr3:uid="{76CFD15C-BEDF-448C-95E5-38B689958FF0}" name="2005" dataDxfId="579" dataCellStyle="Comma 4"/>
    <tableColumn id="11" xr3:uid="{5EFF33F4-E384-43E0-86D7-C57581D2D6DA}" name="2006" dataDxfId="578" dataCellStyle="Comma 4"/>
    <tableColumn id="12" xr3:uid="{C0D6FD08-F170-4896-BB44-C2D68C7C8876}" name="2007" dataDxfId="577" dataCellStyle="Comma 4"/>
    <tableColumn id="13" xr3:uid="{BFD58A17-C06E-4C73-B421-14157127CF6A}" name="2008" dataDxfId="576" dataCellStyle="Comma 4"/>
    <tableColumn id="14" xr3:uid="{39B692D5-8BB4-4BB5-A0C9-7C0CBE91BEB7}" name="2009" dataDxfId="575" dataCellStyle="Comma 4"/>
    <tableColumn id="15" xr3:uid="{474158ED-16D5-451D-9946-C0CFCADB2B08}" name="2010" dataDxfId="574" dataCellStyle="Comma 4"/>
    <tableColumn id="16" xr3:uid="{54B86056-8CD0-4B6E-BD17-DF529530A6DA}" name="2011" dataDxfId="573" dataCellStyle="Comma 4"/>
    <tableColumn id="17" xr3:uid="{8D046FA3-A0B7-44FA-B7DD-058D3276BE82}" name="2012" dataDxfId="572" dataCellStyle="Comma 4"/>
    <tableColumn id="18" xr3:uid="{F80E232C-B51C-4625-BACA-E9755A736C5A}" name="2013" dataDxfId="571" dataCellStyle="Comma 4"/>
    <tableColumn id="19" xr3:uid="{ECDF2B47-BCF8-4A2F-9A9E-A7065B0F2F14}" name="2014" dataDxfId="570" dataCellStyle="Comma 4"/>
    <tableColumn id="20" xr3:uid="{9B679101-CA3E-4F5D-93C0-E6A6A2EF8EA9}" name="2015" dataDxfId="569" dataCellStyle="Comma 4"/>
    <tableColumn id="21" xr3:uid="{0F7C769A-3636-4905-863F-75BAABEF82D0}" name="2016" dataDxfId="568" dataCellStyle="Comma 4"/>
    <tableColumn id="22" xr3:uid="{CEFE2B59-E8E5-4E15-B175-2BD137949269}" name="2017" dataDxfId="567" dataCellStyle="Comma 4"/>
    <tableColumn id="23" xr3:uid="{6F62D96F-D933-4969-9ADF-E71BA9CE6578}" name="2018" dataDxfId="566" dataCellStyle="Comma 4"/>
    <tableColumn id="24" xr3:uid="{C5BF95D2-24DF-43CB-AA26-B8342D7B6685}" name="2019" dataDxfId="565" dataCellStyle="Comma 4"/>
    <tableColumn id="25" xr3:uid="{AE2FE3BE-99CA-4849-BBF2-760696250940}" name="2020" dataDxfId="564" dataCellStyle="Comma 4"/>
    <tableColumn id="26" xr3:uid="{06621CD5-1FFF-4E73-A680-5D4BA5889FA5}" name="2021" dataDxfId="563" dataCellStyle="Comma 5"/>
    <tableColumn id="27" xr3:uid="{6A6017A8-8A93-45F4-A7AD-2A21231B90DE}" name="2022" dataDxfId="562" dataCellStyle="Comma"/>
    <tableColumn id="28" xr3:uid="{4036BBCE-39D9-4AA5-B064-3F3AEA8DD235}" name="2023" dataDxfId="561"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3000000}" name="Table2_Number_of_VAT_and_or_PAYE_registered_private_sector_enterprises" displayName="Table2_Number_of_VAT_and_or_PAYE_registered_private_sector_enterprises" ref="A12:Q134" totalsRowShown="0" headerRowDxfId="560" dataDxfId="559" tableBorderDxfId="558" dataCellStyle="Comma">
  <tableColumns count="17">
    <tableColumn id="1" xr3:uid="{00000000-0010-0000-0300-000001000000}" name="Geography" dataDxfId="557"/>
    <tableColumn id="2" xr3:uid="{00000000-0010-0000-0300-000002000000}" name="Region" dataDxfId="556"/>
    <tableColumn id="15" xr3:uid="{00000000-0010-0000-0300-00000F000000}" name="2010" dataDxfId="555" dataCellStyle="Comma 4"/>
    <tableColumn id="16" xr3:uid="{00000000-0010-0000-0300-000010000000}" name="2011" dataDxfId="554" dataCellStyle="Comma 4"/>
    <tableColumn id="17" xr3:uid="{00000000-0010-0000-0300-000011000000}" name="2012" dataDxfId="553" dataCellStyle="Comma 4"/>
    <tableColumn id="18" xr3:uid="{00000000-0010-0000-0300-000012000000}" name="2013" dataDxfId="552" dataCellStyle="Comma 4"/>
    <tableColumn id="19" xr3:uid="{00000000-0010-0000-0300-000013000000}" name="2014" dataDxfId="551" dataCellStyle="Comma 4"/>
    <tableColumn id="20" xr3:uid="{00000000-0010-0000-0300-000014000000}" name="2015" dataDxfId="550" dataCellStyle="Comma 4"/>
    <tableColumn id="21" xr3:uid="{00000000-0010-0000-0300-000015000000}" name="2016" dataDxfId="549" dataCellStyle="Comma 4"/>
    <tableColumn id="22" xr3:uid="{00000000-0010-0000-0300-000016000000}" name="2017" dataDxfId="548" dataCellStyle="Comma 4"/>
    <tableColumn id="23" xr3:uid="{00000000-0010-0000-0300-000017000000}" name="2018" dataDxfId="547" dataCellStyle="Comma 4"/>
    <tableColumn id="24" xr3:uid="{00000000-0010-0000-0300-000018000000}" name="2019" dataDxfId="546" dataCellStyle="Comma 4"/>
    <tableColumn id="3" xr3:uid="{00000000-0010-0000-0300-000003000000}" name="2020" dataDxfId="545" dataCellStyle="Comma"/>
    <tableColumn id="5" xr3:uid="{E5F6DC45-1066-4F9F-9ECE-CE686CD15D3C}" name="2021" dataDxfId="544"/>
    <tableColumn id="4" xr3:uid="{00000000-0010-0000-0300-000004000000}" name="2022" dataDxfId="543" dataCellStyle="Comma"/>
    <tableColumn id="7" xr3:uid="{6A634960-28AE-4DE2-88A7-C4C1637BE782}" name="2023" dataDxfId="542" dataCellStyle="Comma"/>
    <tableColumn id="6" xr3:uid="{792B2085-DBF9-4C12-BEF9-C8558EB6A8F4}" name="2024" dataDxfId="541"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4B543B-B449-4583-84CE-B891EC619AA0}" name="Table3_No_of_small_0to49_employees_registered_private_sector_businesses" displayName="Table3_No_of_small_0to49_employees_registered_private_sector_businesses" ref="A12:Q134" totalsRowShown="0" headerRowDxfId="540" dataDxfId="539" tableBorderDxfId="538" dataCellStyle="Comma">
  <tableColumns count="17">
    <tableColumn id="1" xr3:uid="{6157D80F-D82D-4FD0-90E0-8F363B157858}" name="Geography" dataDxfId="537"/>
    <tableColumn id="2" xr3:uid="{A16F6F25-4FEB-4E6A-97A5-71DF0754F7D9}" name="Region" dataDxfId="536"/>
    <tableColumn id="15" xr3:uid="{CFF84EBC-2DEA-49E1-85C4-289D9B7B261F}" name="2010" dataDxfId="535" dataCellStyle="Comma 4"/>
    <tableColumn id="16" xr3:uid="{991F5351-6238-4FCC-9A03-AA65390C0128}" name="2011" dataDxfId="534" dataCellStyle="Comma 4"/>
    <tableColumn id="17" xr3:uid="{9F9A1B82-F080-447C-8BAA-5CB88A5922CC}" name="2012" dataDxfId="533" dataCellStyle="Comma 4"/>
    <tableColumn id="18" xr3:uid="{FE85D5C9-2B6E-41EB-894C-B29C4CBF1E82}" name="2013" dataDxfId="532" dataCellStyle="Comma 4"/>
    <tableColumn id="19" xr3:uid="{417F7163-A027-42E6-8A10-4C82A577A609}" name="2014" dataDxfId="531" dataCellStyle="Comma 4"/>
    <tableColumn id="20" xr3:uid="{77CB7E0C-3E87-44F8-A753-246747F7B3F5}" name="2015" dataDxfId="530" dataCellStyle="Comma 4"/>
    <tableColumn id="21" xr3:uid="{C7832662-ACE5-4B72-9E7E-382774FADAB3}" name="2016" dataDxfId="529" dataCellStyle="Comma 4"/>
    <tableColumn id="22" xr3:uid="{3D155F05-7597-455B-9D37-02AD898C3E60}" name="2017" dataDxfId="528" dataCellStyle="Comma 4"/>
    <tableColumn id="23" xr3:uid="{DED63330-523A-4B73-8DAF-E358248F65A9}" name="2018" dataDxfId="527" dataCellStyle="Comma 4"/>
    <tableColumn id="24" xr3:uid="{BC3AF54A-78AB-4E19-9A90-AD4A3FDDBF4D}" name="2019" dataDxfId="526" dataCellStyle="Comma 4"/>
    <tableColumn id="3" xr3:uid="{FCFD1A0B-EB55-4E0D-BCBC-D37CBA0310FB}" name="2020" dataDxfId="525" dataCellStyle="Comma"/>
    <tableColumn id="5" xr3:uid="{B9107F05-7817-4673-B600-A7BE19E24A42}" name="2021" dataDxfId="524"/>
    <tableColumn id="4" xr3:uid="{E1FE6321-B4AC-4778-BF0D-2F21231BE9DA}" name="2022" dataDxfId="523" dataCellStyle="Comma"/>
    <tableColumn id="7" xr3:uid="{FE15A97A-35E1-4EDA-9CDD-12A11EFB26F2}" name="2023" dataDxfId="522" dataCellStyle="Comma"/>
    <tableColumn id="6" xr3:uid="{5117A6A8-8C99-4B87-BD7F-B68158BDC1B3}" name="2024" dataDxfId="521"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4000000}" name="Table4_Small_0_49_employees_business_share_of_private_sector_jobs" displayName="Table4_Small_0_49_employees_business_share_of_private_sector_jobs" ref="A12:Q134" totalsRowShown="0" headerRowDxfId="520" dataDxfId="519" tableBorderDxfId="518" dataCellStyle="Comma">
  <tableColumns count="17">
    <tableColumn id="1" xr3:uid="{00000000-0010-0000-0400-000001000000}" name="Geography" dataDxfId="517"/>
    <tableColumn id="2" xr3:uid="{00000000-0010-0000-0400-000002000000}" name="Region" dataDxfId="516"/>
    <tableColumn id="15" xr3:uid="{00000000-0010-0000-0400-00000F000000}" name="2010" dataDxfId="515" dataCellStyle="Comma 4"/>
    <tableColumn id="16" xr3:uid="{00000000-0010-0000-0400-000010000000}" name="2011" dataDxfId="514" dataCellStyle="Comma 4"/>
    <tableColumn id="17" xr3:uid="{00000000-0010-0000-0400-000011000000}" name="2012" dataDxfId="513" dataCellStyle="Comma 4"/>
    <tableColumn id="18" xr3:uid="{00000000-0010-0000-0400-000012000000}" name="2013" dataDxfId="512" dataCellStyle="Comma 4"/>
    <tableColumn id="19" xr3:uid="{00000000-0010-0000-0400-000013000000}" name="2014" dataDxfId="511" dataCellStyle="Comma 4"/>
    <tableColumn id="20" xr3:uid="{00000000-0010-0000-0400-000014000000}" name="2015" dataDxfId="510" dataCellStyle="Per cent"/>
    <tableColumn id="21" xr3:uid="{00000000-0010-0000-0400-000015000000}" name="2016" dataDxfId="509" dataCellStyle="Per cent"/>
    <tableColumn id="22" xr3:uid="{00000000-0010-0000-0400-000016000000}" name="2017" dataDxfId="508" dataCellStyle="Per cent"/>
    <tableColumn id="23" xr3:uid="{00000000-0010-0000-0400-000017000000}" name="2018" dataDxfId="507" dataCellStyle="Per cent"/>
    <tableColumn id="24" xr3:uid="{00000000-0010-0000-0400-000018000000}" name="2019" dataDxfId="506" dataCellStyle="Per cent"/>
    <tableColumn id="3" xr3:uid="{00000000-0010-0000-0400-000003000000}" name="2020" dataDxfId="505" dataCellStyle="Per cent"/>
    <tableColumn id="5" xr3:uid="{32F9F7DC-4567-4FE2-9437-180D60EEDFA9}" name="2021" dataDxfId="504" dataCellStyle="Per cent"/>
    <tableColumn id="4" xr3:uid="{00000000-0010-0000-0400-000004000000}" name="2022" dataDxfId="503" dataCellStyle="Per cent"/>
    <tableColumn id="7" xr3:uid="{B877AFFF-FCFE-44BC-80BC-7DB821D1D133}" name="2023" dataDxfId="502" dataCellStyle="Per cent"/>
    <tableColumn id="6" xr3:uid="{266A87DD-E7E3-41EF-A47B-F1ADCCFC57CA}" name="2024" dataDxfId="501" dataCellStyle="Per cent"/>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5000000}" name="Table5_Number_of_foreign_owned_registered_private_sector_enterprises" displayName="Table5_Number_of_foreign_owned_registered_private_sector_enterprises" ref="A12:Q134" totalsRowShown="0" headerRowDxfId="500" dataDxfId="499" tableBorderDxfId="498" dataCellStyle="Comma">
  <tableColumns count="17">
    <tableColumn id="1" xr3:uid="{00000000-0010-0000-0500-000001000000}" name="Geography" dataDxfId="497"/>
    <tableColumn id="2" xr3:uid="{00000000-0010-0000-0500-000002000000}" name="Region" dataDxfId="496"/>
    <tableColumn id="15" xr3:uid="{00000000-0010-0000-0500-00000F000000}" name="2010" dataDxfId="495" dataCellStyle="Comma 4"/>
    <tableColumn id="16" xr3:uid="{00000000-0010-0000-0500-000010000000}" name="2011" dataDxfId="494" dataCellStyle="Comma 4"/>
    <tableColumn id="17" xr3:uid="{00000000-0010-0000-0500-000011000000}" name="2012" dataDxfId="493" dataCellStyle="Comma 4"/>
    <tableColumn id="18" xr3:uid="{00000000-0010-0000-0500-000012000000}" name="2013" dataDxfId="492" dataCellStyle="Comma 4"/>
    <tableColumn id="19" xr3:uid="{00000000-0010-0000-0500-000013000000}" name="2014" dataDxfId="491" dataCellStyle="Comma 4"/>
    <tableColumn id="20" xr3:uid="{00000000-0010-0000-0500-000014000000}" name="2015" dataDxfId="490" dataCellStyle="Comma 4"/>
    <tableColumn id="21" xr3:uid="{00000000-0010-0000-0500-000015000000}" name="2016" dataDxfId="489" dataCellStyle="Comma 4"/>
    <tableColumn id="22" xr3:uid="{00000000-0010-0000-0500-000016000000}" name="2017" dataDxfId="488" dataCellStyle="Comma 4"/>
    <tableColumn id="23" xr3:uid="{00000000-0010-0000-0500-000017000000}" name="2018" dataDxfId="487" dataCellStyle="Comma 4"/>
    <tableColumn id="24" xr3:uid="{00000000-0010-0000-0500-000018000000}" name="2019" dataDxfId="486" dataCellStyle="Comma 4"/>
    <tableColumn id="3" xr3:uid="{00000000-0010-0000-0500-000003000000}" name="2020" dataDxfId="485" dataCellStyle="Comma"/>
    <tableColumn id="5" xr3:uid="{125ED3C5-F6FA-4AC8-96E9-A1D32AE6DCDE}" name="2021" dataDxfId="484"/>
    <tableColumn id="4" xr3:uid="{00000000-0010-0000-0500-000004000000}" name="2022" dataDxfId="483" dataCellStyle="Comma"/>
    <tableColumn id="7" xr3:uid="{05FB177F-2DF4-4524-8E24-A08B45000E59}" name="2023" dataDxfId="482"/>
    <tableColumn id="6" xr3:uid="{F3F76CC3-ECBD-41FC-B00B-B8789EB9295D}" name="2024" dataDxfId="481"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6000000}" name="Table6_Number_of_EU_foreign_owned_registered_private_sector_enterprises" displayName="Table6_Number_of_EU_foreign_owned_registered_private_sector_enterprises" ref="A12:Q134" totalsRowShown="0" headerRowDxfId="480" dataDxfId="479" tableBorderDxfId="478" dataCellStyle="Comma">
  <tableColumns count="17">
    <tableColumn id="1" xr3:uid="{00000000-0010-0000-0600-000001000000}" name="Geography" dataDxfId="477"/>
    <tableColumn id="2" xr3:uid="{00000000-0010-0000-0600-000002000000}" name="Region" dataDxfId="476"/>
    <tableColumn id="15" xr3:uid="{00000000-0010-0000-0600-00000F000000}" name="2010" dataDxfId="475" dataCellStyle="Comma 4"/>
    <tableColumn id="16" xr3:uid="{00000000-0010-0000-0600-000010000000}" name="2011" dataDxfId="474" dataCellStyle="Comma 4"/>
    <tableColumn id="17" xr3:uid="{00000000-0010-0000-0600-000011000000}" name="2012" dataDxfId="473" dataCellStyle="Comma 4"/>
    <tableColumn id="18" xr3:uid="{00000000-0010-0000-0600-000012000000}" name="2013" dataDxfId="472" dataCellStyle="Comma 4"/>
    <tableColumn id="19" xr3:uid="{00000000-0010-0000-0600-000013000000}" name="2014" dataDxfId="471" dataCellStyle="Comma 4"/>
    <tableColumn id="20" xr3:uid="{00000000-0010-0000-0600-000014000000}" name="2015" dataDxfId="470" dataCellStyle="Comma 4"/>
    <tableColumn id="21" xr3:uid="{00000000-0010-0000-0600-000015000000}" name="2016" dataDxfId="469" dataCellStyle="Comma 4"/>
    <tableColumn id="22" xr3:uid="{00000000-0010-0000-0600-000016000000}" name="2017" dataDxfId="468" dataCellStyle="Comma 4"/>
    <tableColumn id="23" xr3:uid="{00000000-0010-0000-0600-000017000000}" name="2018" dataDxfId="467" dataCellStyle="Comma 4"/>
    <tableColumn id="24" xr3:uid="{00000000-0010-0000-0600-000018000000}" name="2019" dataDxfId="466" dataCellStyle="Comma 4"/>
    <tableColumn id="3" xr3:uid="{00000000-0010-0000-0600-000003000000}" name="2020" dataDxfId="465" dataCellStyle="Comma"/>
    <tableColumn id="5" xr3:uid="{28AEFD6E-1DD7-4C16-97A7-FEF440613F6E}" name="2021" dataDxfId="464"/>
    <tableColumn id="4" xr3:uid="{00000000-0010-0000-0600-000004000000}" name="2022" dataDxfId="463" dataCellStyle="Comma"/>
    <tableColumn id="7" xr3:uid="{F3BA772F-8C90-4434-B194-912AE5098D0E}" name="2023" dataDxfId="462" dataCellStyle="Comma"/>
    <tableColumn id="6" xr3:uid="{49973291-31CD-490C-85FF-2F496D37F35D}" name="2024" dataDxfId="461"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7000000}" name="Table7_Foreign_owned_business_share_of_private_sector_jobs" displayName="Table7_Foreign_owned_business_share_of_private_sector_jobs" ref="A12:Q134" totalsRowShown="0" headerRowDxfId="460" dataDxfId="459" tableBorderDxfId="458" dataCellStyle="Comma">
  <tableColumns count="17">
    <tableColumn id="1" xr3:uid="{00000000-0010-0000-0700-000001000000}" name="Geography" dataDxfId="457"/>
    <tableColumn id="2" xr3:uid="{00000000-0010-0000-0700-000002000000}" name="Region" dataDxfId="456"/>
    <tableColumn id="15" xr3:uid="{00000000-0010-0000-0700-00000F000000}" name="2010" dataDxfId="455" dataCellStyle="Comma 4"/>
    <tableColumn id="16" xr3:uid="{00000000-0010-0000-0700-000010000000}" name="2011" dataDxfId="454" dataCellStyle="Comma 4"/>
    <tableColumn id="17" xr3:uid="{00000000-0010-0000-0700-000011000000}" name="2012" dataDxfId="453" dataCellStyle="Comma 4"/>
    <tableColumn id="18" xr3:uid="{00000000-0010-0000-0700-000012000000}" name="2013" dataDxfId="452" dataCellStyle="Comma 4"/>
    <tableColumn id="19" xr3:uid="{00000000-0010-0000-0700-000013000000}" name="2014" dataDxfId="451" dataCellStyle="Comma 4"/>
    <tableColumn id="20" xr3:uid="{00000000-0010-0000-0700-000014000000}" name="2015" dataDxfId="450" dataCellStyle="Per cent"/>
    <tableColumn id="21" xr3:uid="{00000000-0010-0000-0700-000015000000}" name="2016" dataDxfId="449" dataCellStyle="Per cent"/>
    <tableColumn id="22" xr3:uid="{00000000-0010-0000-0700-000016000000}" name="2017" dataDxfId="448" dataCellStyle="Per cent"/>
    <tableColumn id="23" xr3:uid="{00000000-0010-0000-0700-000017000000}" name="2018" dataDxfId="447" dataCellStyle="Per cent"/>
    <tableColumn id="24" xr3:uid="{00000000-0010-0000-0700-000018000000}" name="2019" dataDxfId="446" dataCellStyle="Per cent"/>
    <tableColumn id="3" xr3:uid="{00000000-0010-0000-0700-000003000000}" name="2020" dataDxfId="445" dataCellStyle="Per cent"/>
    <tableColumn id="5" xr3:uid="{0029F8B3-21FE-440E-98E3-82DF72C9D201}" name="2021" dataDxfId="444" dataCellStyle="Per cent"/>
    <tableColumn id="4" xr3:uid="{00000000-0010-0000-0700-000004000000}" name="2022" dataDxfId="443" dataCellStyle="Per cent"/>
    <tableColumn id="7" xr3:uid="{2E2FEAF9-591E-4CCC-AF15-E0B282C7E9BA}" name="2023" dataDxfId="442" dataCellStyle="Per cent"/>
    <tableColumn id="6" xr3:uid="{A8D9CE1C-52AB-4862-8957-148B67066A6E}" name="2024" dataDxfId="441" dataCellStyle="Per cent"/>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8000000}" name="Table8_EU_foreign_owned_business_share_of_private_sector_jobs" displayName="Table8_EU_foreign_owned_business_share_of_private_sector_jobs" ref="A12:Q134" totalsRowShown="0" headerRowDxfId="440" dataDxfId="439" tableBorderDxfId="438" dataCellStyle="Comma">
  <tableColumns count="17">
    <tableColumn id="1" xr3:uid="{00000000-0010-0000-0800-000001000000}" name="Geography" dataDxfId="437"/>
    <tableColumn id="2" xr3:uid="{00000000-0010-0000-0800-000002000000}" name="Region" dataDxfId="436"/>
    <tableColumn id="15" xr3:uid="{00000000-0010-0000-0800-00000F000000}" name="2010" dataDxfId="435" dataCellStyle="Comma 4"/>
    <tableColumn id="16" xr3:uid="{00000000-0010-0000-0800-000010000000}" name="2011" dataDxfId="434" dataCellStyle="Comma 4"/>
    <tableColumn id="17" xr3:uid="{00000000-0010-0000-0800-000011000000}" name="2012" dataDxfId="433" dataCellStyle="Comma 4"/>
    <tableColumn id="18" xr3:uid="{00000000-0010-0000-0800-000012000000}" name="2013" dataDxfId="432" dataCellStyle="Comma 4"/>
    <tableColumn id="19" xr3:uid="{00000000-0010-0000-0800-000013000000}" name="2014" dataDxfId="431" dataCellStyle="Comma 4"/>
    <tableColumn id="20" xr3:uid="{00000000-0010-0000-0800-000014000000}" name="2015" dataDxfId="430" dataCellStyle="Per cent"/>
    <tableColumn id="21" xr3:uid="{00000000-0010-0000-0800-000015000000}" name="2016" dataDxfId="429" dataCellStyle="Per cent"/>
    <tableColumn id="22" xr3:uid="{00000000-0010-0000-0800-000016000000}" name="2017" dataDxfId="428" dataCellStyle="Per cent"/>
    <tableColumn id="23" xr3:uid="{00000000-0010-0000-0800-000017000000}" name="2018" dataDxfId="427" dataCellStyle="Per cent"/>
    <tableColumn id="24" xr3:uid="{00000000-0010-0000-0800-000018000000}" name="2019" dataDxfId="426" dataCellStyle="Per cent"/>
    <tableColumn id="3" xr3:uid="{00000000-0010-0000-0800-000003000000}" name="2020" dataDxfId="425" dataCellStyle="Per cent"/>
    <tableColumn id="5" xr3:uid="{F0D5128C-0E34-42EF-AB55-F86E9C50FA2D}" name="2021" dataDxfId="424" dataCellStyle="Per cent"/>
    <tableColumn id="4" xr3:uid="{00000000-0010-0000-0800-000004000000}" name="2022" dataDxfId="423" dataCellStyle="Per cent"/>
    <tableColumn id="7" xr3:uid="{8796A687-C0BE-4EEB-9E32-333FCE8D07EB}" name="2023" dataDxfId="422" dataCellStyle="Per cent"/>
    <tableColumn id="6" xr3:uid="{82B9C32F-ABC5-4FAB-B7D9-8209EFBFDFFA}" name="2024" dataDxfId="421" dataCellStyle="Per cent"/>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9_Number_of_high_growth_registered_private_sector_enterprises" displayName="Table9_Number_of_high_growth_registered_private_sector_enterprises" ref="A12:N134" totalsRowShown="0" headerRowDxfId="420" dataDxfId="419" tableBorderDxfId="418" dataCellStyle="Comma">
  <tableColumns count="14">
    <tableColumn id="1" xr3:uid="{00000000-0010-0000-0900-000001000000}" name="Geography" dataDxfId="417"/>
    <tableColumn id="2" xr3:uid="{00000000-0010-0000-0900-000002000000}" name="Region" dataDxfId="416"/>
    <tableColumn id="15" xr3:uid="{00000000-0010-0000-0900-00000F000000}" name="2010-2013" dataDxfId="415" dataCellStyle="Comma 4"/>
    <tableColumn id="16" xr3:uid="{00000000-0010-0000-0900-000010000000}" name="2011-2014" dataDxfId="414" dataCellStyle="Comma 4"/>
    <tableColumn id="17" xr3:uid="{00000000-0010-0000-0900-000011000000}" name="2012-2015" dataDxfId="413" dataCellStyle="Comma 4"/>
    <tableColumn id="18" xr3:uid="{00000000-0010-0000-0900-000012000000}" name="2013-2016" dataDxfId="412" dataCellStyle="Comma 4"/>
    <tableColumn id="19" xr3:uid="{00000000-0010-0000-0900-000013000000}" name="2014-2017" dataDxfId="411" dataCellStyle="Comma 4"/>
    <tableColumn id="20" xr3:uid="{00000000-0010-0000-0900-000014000000}" name="2015-2018" dataDxfId="410" dataCellStyle="Comma 4"/>
    <tableColumn id="21" xr3:uid="{00000000-0010-0000-0900-000015000000}" name="2016-2019" dataDxfId="409" dataCellStyle="Comma 4"/>
    <tableColumn id="22" xr3:uid="{00000000-0010-0000-0900-000016000000}" name="2017-2020" dataDxfId="408" dataCellStyle="Comma 4"/>
    <tableColumn id="3" xr3:uid="{70A35AE9-E856-4BB4-81B6-04030478B4DB}" name="2018-2021" dataDxfId="407" dataCellStyle="Comma 4"/>
    <tableColumn id="23" xr3:uid="{00000000-0010-0000-0900-000017000000}" name="2019-2022" dataDxfId="406" dataCellStyle="Comma 4"/>
    <tableColumn id="5" xr3:uid="{E1BD2B2A-5FCB-4787-B57C-C94A6B6D3BD4}" name="2020-2023" dataDxfId="405" dataCellStyle="Comma 4"/>
    <tableColumn id="4" xr3:uid="{76537CE7-B309-4790-B61A-6E49D2E53B1E}" name="2021-2024" dataDxfId="404" dataCellStyle="Comma 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A000000}" name="Table10_Number_of_people_in_employment_aged_16_plus_residence_based" displayName="Table10_Number_of_people_in_employment_aged_16_plus_residence_based" ref="A13:W135" totalsRowShown="0" headerRowDxfId="403" dataDxfId="402" tableBorderDxfId="401" dataCellStyle="Comma">
  <tableColumns count="23">
    <tableColumn id="1" xr3:uid="{00000000-0010-0000-0A00-000001000000}" name="Geography" dataDxfId="400"/>
    <tableColumn id="2" xr3:uid="{00000000-0010-0000-0A00-000002000000}" name="Region" dataDxfId="399"/>
    <tableColumn id="4" xr3:uid="{00000000-0010-0000-0A00-000004000000}" name="2004" dataDxfId="398"/>
    <tableColumn id="5" xr3:uid="{00000000-0010-0000-0A00-000005000000}" name="2005" dataDxfId="397"/>
    <tableColumn id="6" xr3:uid="{00000000-0010-0000-0A00-000006000000}" name="2006" dataDxfId="396"/>
    <tableColumn id="7" xr3:uid="{00000000-0010-0000-0A00-000007000000}" name="2007" dataDxfId="395"/>
    <tableColumn id="8" xr3:uid="{00000000-0010-0000-0A00-000008000000}" name="2008" dataDxfId="394"/>
    <tableColumn id="9" xr3:uid="{00000000-0010-0000-0A00-000009000000}" name="2009" dataDxfId="393"/>
    <tableColumn id="15" xr3:uid="{00000000-0010-0000-0A00-00000F000000}" name="2010" dataDxfId="392" dataCellStyle="Comma"/>
    <tableColumn id="16" xr3:uid="{00000000-0010-0000-0A00-000010000000}" name="2011" dataDxfId="391" dataCellStyle="Comma"/>
    <tableColumn id="17" xr3:uid="{00000000-0010-0000-0A00-000011000000}" name="2012" dataDxfId="390" dataCellStyle="Comma"/>
    <tableColumn id="18" xr3:uid="{00000000-0010-0000-0A00-000012000000}" name="2013" dataDxfId="389" dataCellStyle="Comma"/>
    <tableColumn id="19" xr3:uid="{00000000-0010-0000-0A00-000013000000}" name="2014" dataDxfId="388" dataCellStyle="Comma"/>
    <tableColumn id="20" xr3:uid="{00000000-0010-0000-0A00-000014000000}" name="2015" dataDxfId="387" dataCellStyle="Comma"/>
    <tableColumn id="21" xr3:uid="{00000000-0010-0000-0A00-000015000000}" name="2016" dataDxfId="386" dataCellStyle="Comma"/>
    <tableColumn id="22" xr3:uid="{00000000-0010-0000-0A00-000016000000}" name="2017" dataDxfId="385" dataCellStyle="Comma"/>
    <tableColumn id="23" xr3:uid="{00000000-0010-0000-0A00-000017000000}" name="2018" dataDxfId="384" dataCellStyle="Comma"/>
    <tableColumn id="24" xr3:uid="{00000000-0010-0000-0A00-000018000000}" name="2019" dataDxfId="383" dataCellStyle="Comma"/>
    <tableColumn id="3" xr3:uid="{00000000-0010-0000-0A00-000003000000}" name="2020" dataDxfId="382" dataCellStyle="Comma"/>
    <tableColumn id="10" xr3:uid="{1B56CC68-1E0B-4A6E-8C43-EF8267E4AFD5}" name="2021" dataDxfId="381" dataCellStyle="Comma"/>
    <tableColumn id="11" xr3:uid="{EBE362C9-814F-4080-A442-BC3B231E9E1A}" name="2022" dataDxfId="380" dataCellStyle="Comma"/>
    <tableColumn id="12" xr3:uid="{5FD64046-71B9-41C9-AB00-F12D5724667E}" name="2023" dataDxfId="379" dataCellStyle="Comma"/>
    <tableColumn id="13" xr3:uid="{28A32CDB-9406-4E08-B5E8-E6C08BDD9037}" name="2024" dataDxfId="378" dataCellStyle="Comma"/>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B000000}" name="Table11_Working_age_employment_rate_residence_based_and_95_percent_confidence_interval_of_percentage_of_working_age_employment_rate" displayName="Table11_Working_age_employment_rate_residence_based_and_95_percent_confidence_interval_of_percentage_of_working_age_employment_rate" ref="A12:X256" totalsRowShown="0" headerRowDxfId="377" dataDxfId="376" tableBorderDxfId="375" dataCellStyle="Comma">
  <tableColumns count="24">
    <tableColumn id="6" xr3:uid="{00000000-0010-0000-0B00-000006000000}" name="Variable" dataDxfId="374" dataCellStyle="Comma"/>
    <tableColumn id="1" xr3:uid="{00000000-0010-0000-0B00-000001000000}" name="Geography" dataDxfId="373"/>
    <tableColumn id="2" xr3:uid="{00000000-0010-0000-0B00-000002000000}" name="Region" dataDxfId="372"/>
    <tableColumn id="5" xr3:uid="{00000000-0010-0000-0B00-000005000000}" name="2004" dataDxfId="371"/>
    <tableColumn id="9" xr3:uid="{00000000-0010-0000-0B00-000009000000}" name="2005" dataDxfId="370"/>
    <tableColumn id="10" xr3:uid="{00000000-0010-0000-0B00-00000A000000}" name="2006" dataDxfId="369"/>
    <tableColumn id="11" xr3:uid="{00000000-0010-0000-0B00-00000B000000}" name="2007" dataDxfId="368"/>
    <tableColumn id="7" xr3:uid="{00000000-0010-0000-0B00-000007000000}" name="2008" dataDxfId="367"/>
    <tableColumn id="8" xr3:uid="{00000000-0010-0000-0B00-000008000000}" name="2009" dataDxfId="366"/>
    <tableColumn id="15" xr3:uid="{00000000-0010-0000-0B00-00000F000000}" name="2010" dataDxfId="365"/>
    <tableColumn id="16" xr3:uid="{00000000-0010-0000-0B00-000010000000}" name="2011" dataDxfId="364"/>
    <tableColumn id="17" xr3:uid="{00000000-0010-0000-0B00-000011000000}" name="2012" dataDxfId="363"/>
    <tableColumn id="18" xr3:uid="{00000000-0010-0000-0B00-000012000000}" name="2013" dataDxfId="362"/>
    <tableColumn id="19" xr3:uid="{00000000-0010-0000-0B00-000013000000}" name="2014" dataDxfId="361"/>
    <tableColumn id="20" xr3:uid="{00000000-0010-0000-0B00-000014000000}" name="2015" dataDxfId="360"/>
    <tableColumn id="21" xr3:uid="{00000000-0010-0000-0B00-000015000000}" name="2016" dataDxfId="359"/>
    <tableColumn id="22" xr3:uid="{00000000-0010-0000-0B00-000016000000}" name="2017" dataDxfId="358"/>
    <tableColumn id="23" xr3:uid="{00000000-0010-0000-0B00-000017000000}" name="2018" dataDxfId="357"/>
    <tableColumn id="24" xr3:uid="{00000000-0010-0000-0B00-000018000000}" name="2019" dataDxfId="356"/>
    <tableColumn id="3" xr3:uid="{00000000-0010-0000-0B00-000003000000}" name="2020" dataDxfId="355"/>
    <tableColumn id="4" xr3:uid="{37D45152-2454-4B10-9DE8-7341CD466B49}" name="2021" dataDxfId="354" dataCellStyle="Per cent"/>
    <tableColumn id="12" xr3:uid="{A2755BBC-40A1-4E06-A612-C10393509685}" name="2022" dataDxfId="353" dataCellStyle="Comma"/>
    <tableColumn id="13" xr3:uid="{DF4FD2B3-462C-45ED-88EB-66991B0A7976}" name="2023" dataDxfId="352" dataCellStyle="Comma"/>
    <tableColumn id="14" xr3:uid="{B217558E-D804-4C8D-A22E-FCEE50D68A42}" name="2024" dataDxfId="351" dataCellStyle="Comma"/>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0C000000}" name="Table12_Employment_rate_people_aged_16_24_and_95_percent_confidence_interval_of_percentage_of_employment_rate" displayName="Table12_Employment_rate_people_aged_16_24_and_95_percent_confidence_interval_of_percentage_of_employment_rate" ref="A12:X256" totalsRowShown="0" headerRowDxfId="350" dataDxfId="349" tableBorderDxfId="348" dataCellStyle="Comma">
  <tableColumns count="24">
    <tableColumn id="6" xr3:uid="{00000000-0010-0000-0C00-000006000000}" name="Variable" dataDxfId="347" dataCellStyle="Comma"/>
    <tableColumn id="1" xr3:uid="{00000000-0010-0000-0C00-000001000000}" name="Geography" dataDxfId="346"/>
    <tableColumn id="2" xr3:uid="{00000000-0010-0000-0C00-000002000000}" name="Region" dataDxfId="345"/>
    <tableColumn id="5" xr3:uid="{00000000-0010-0000-0C00-000005000000}" name="2004" dataDxfId="344"/>
    <tableColumn id="9" xr3:uid="{00000000-0010-0000-0C00-000009000000}" name="2005" dataDxfId="343"/>
    <tableColumn id="10" xr3:uid="{00000000-0010-0000-0C00-00000A000000}" name="2006" dataDxfId="342"/>
    <tableColumn id="11" xr3:uid="{00000000-0010-0000-0C00-00000B000000}" name="2007" dataDxfId="341"/>
    <tableColumn id="7" xr3:uid="{00000000-0010-0000-0C00-000007000000}" name="2008" dataDxfId="340"/>
    <tableColumn id="8" xr3:uid="{00000000-0010-0000-0C00-000008000000}" name="2009" dataDxfId="339"/>
    <tableColumn id="15" xr3:uid="{00000000-0010-0000-0C00-00000F000000}" name="2010" dataDxfId="338"/>
    <tableColumn id="16" xr3:uid="{00000000-0010-0000-0C00-000010000000}" name="2011" dataDxfId="337"/>
    <tableColumn id="17" xr3:uid="{00000000-0010-0000-0C00-000011000000}" name="2012" dataDxfId="336"/>
    <tableColumn id="18" xr3:uid="{00000000-0010-0000-0C00-000012000000}" name="2013" dataDxfId="335"/>
    <tableColumn id="19" xr3:uid="{00000000-0010-0000-0C00-000013000000}" name="2014" dataDxfId="334"/>
    <tableColumn id="20" xr3:uid="{00000000-0010-0000-0C00-000014000000}" name="2015" dataDxfId="333"/>
    <tableColumn id="21" xr3:uid="{00000000-0010-0000-0C00-000015000000}" name="2016" dataDxfId="332"/>
    <tableColumn id="22" xr3:uid="{00000000-0010-0000-0C00-000016000000}" name="2017" dataDxfId="331"/>
    <tableColumn id="23" xr3:uid="{00000000-0010-0000-0C00-000017000000}" name="2018" dataDxfId="330"/>
    <tableColumn id="24" xr3:uid="{00000000-0010-0000-0C00-000018000000}" name="2019" dataDxfId="329"/>
    <tableColumn id="3" xr3:uid="{00000000-0010-0000-0C00-000003000000}" name="2020" dataDxfId="328"/>
    <tableColumn id="4" xr3:uid="{05B6DD74-3F97-44EF-AB0C-7EA29BD75F19}" name="2021" dataDxfId="327" dataCellStyle="Comma"/>
    <tableColumn id="12" xr3:uid="{F38B85DD-E7C1-435F-AADA-ACCDB1102475}" name="2022" dataDxfId="326" dataCellStyle="Comma"/>
    <tableColumn id="13" xr3:uid="{D2B6CB90-8473-46E6-89D4-062D6B8DE121}" name="2023" dataDxfId="325" dataCellStyle="Comma"/>
    <tableColumn id="14" xr3:uid="{EEE5DF06-73A6-4385-8DD4-BF01942BB8A6}" name="2024" dataDxfId="324" dataCellStyle="Comma"/>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D000000}" name="Table13_Number_of_people_16plus_who_are_self_employed" displayName="Table13_Number_of_people_16plus_who_are_self_employed" ref="A13:W135" totalsRowShown="0" headerRowDxfId="323" dataDxfId="322" tableBorderDxfId="321" dataCellStyle="Comma 4">
  <tableColumns count="23">
    <tableColumn id="1" xr3:uid="{00000000-0010-0000-0D00-000001000000}" name="Geography" dataDxfId="320" totalsRowDxfId="319"/>
    <tableColumn id="2" xr3:uid="{00000000-0010-0000-0D00-000002000000}" name="Region" dataDxfId="318" totalsRowDxfId="317"/>
    <tableColumn id="3" xr3:uid="{00000000-0010-0000-0D00-000003000000}" name="2004" dataDxfId="316" totalsRowDxfId="315"/>
    <tableColumn id="4" xr3:uid="{00000000-0010-0000-0D00-000004000000}" name="2005" dataDxfId="314" totalsRowDxfId="313"/>
    <tableColumn id="5" xr3:uid="{00000000-0010-0000-0D00-000005000000}" name="2006" dataDxfId="312" totalsRowDxfId="311"/>
    <tableColumn id="6" xr3:uid="{00000000-0010-0000-0D00-000006000000}" name="2007" dataDxfId="310" totalsRowDxfId="309"/>
    <tableColumn id="7" xr3:uid="{00000000-0010-0000-0D00-000007000000}" name="2008" dataDxfId="308" totalsRowDxfId="307"/>
    <tableColumn id="8" xr3:uid="{00000000-0010-0000-0D00-000008000000}" name="2009" dataDxfId="306" totalsRowDxfId="305"/>
    <tableColumn id="9" xr3:uid="{00000000-0010-0000-0D00-000009000000}" name="2010" dataDxfId="304" totalsRowDxfId="303" dataCellStyle="Comma 4" totalsRowCellStyle="Comma 4"/>
    <tableColumn id="10" xr3:uid="{00000000-0010-0000-0D00-00000A000000}" name="2011" dataDxfId="302" totalsRowDxfId="301" dataCellStyle="Comma 4" totalsRowCellStyle="Comma 4"/>
    <tableColumn id="11" xr3:uid="{00000000-0010-0000-0D00-00000B000000}" name="2012" dataDxfId="300" totalsRowDxfId="299" dataCellStyle="Comma 4" totalsRowCellStyle="Comma 4"/>
    <tableColumn id="12" xr3:uid="{00000000-0010-0000-0D00-00000C000000}" name="2013" dataDxfId="298" totalsRowDxfId="297" dataCellStyle="Comma 4" totalsRowCellStyle="Comma 4"/>
    <tableColumn id="13" xr3:uid="{00000000-0010-0000-0D00-00000D000000}" name="2014" dataDxfId="296" totalsRowDxfId="295" dataCellStyle="Comma 4" totalsRowCellStyle="Comma 4"/>
    <tableColumn id="14" xr3:uid="{00000000-0010-0000-0D00-00000E000000}" name="2015" dataDxfId="294" totalsRowDxfId="293" dataCellStyle="Comma 4" totalsRowCellStyle="Comma 4"/>
    <tableColumn id="15" xr3:uid="{00000000-0010-0000-0D00-00000F000000}" name="2016" dataDxfId="292" totalsRowDxfId="291" dataCellStyle="Comma 4" totalsRowCellStyle="Comma 4"/>
    <tableColumn id="16" xr3:uid="{00000000-0010-0000-0D00-000010000000}" name="2017" dataDxfId="290" totalsRowDxfId="289" dataCellStyle="Comma 4" totalsRowCellStyle="Comma 4"/>
    <tableColumn id="17" xr3:uid="{00000000-0010-0000-0D00-000011000000}" name="2018" dataDxfId="288" totalsRowDxfId="287" dataCellStyle="Comma 4" totalsRowCellStyle="Comma 4"/>
    <tableColumn id="18" xr3:uid="{00000000-0010-0000-0D00-000012000000}" name="2019" dataDxfId="286" totalsRowDxfId="285" dataCellStyle="Comma 4" totalsRowCellStyle="Comma 4"/>
    <tableColumn id="19" xr3:uid="{00000000-0010-0000-0D00-000013000000}" name="2020" dataDxfId="284" totalsRowDxfId="283" totalsRowCellStyle="Comma 4"/>
    <tableColumn id="20" xr3:uid="{7504B116-970B-4EDE-BE25-9AD75287A3B4}" name="2021" dataDxfId="282" totalsRowDxfId="281" dataCellStyle="Comma 4" totalsRowCellStyle="Comma 4"/>
    <tableColumn id="21" xr3:uid="{491B05F1-D611-4818-B99A-727565811624}" name="2022" dataDxfId="280" totalsRowDxfId="279" dataCellStyle="Comma 4" totalsRowCellStyle="Comma 4"/>
    <tableColumn id="22" xr3:uid="{13844470-E3BE-45C0-8566-3124E63B5EF0}" name="2023" dataDxfId="278" dataCellStyle="Comma 4" totalsRowCellStyle="Comma 4"/>
    <tableColumn id="23" xr3:uid="{0EF3C199-9B96-474B-80B0-4864B57EC8F8}" name="2024" dataDxfId="277" totalsRowDxfId="276" dataCellStyle="Comma 4" totalsRowCellStyle="Comma 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E000000}" name="Table14_Percentage_of_people_aged_16_plus_in_employment_who_are_self_employed_and_95_percent_confidence_interval_of_percentage_of_people_aged_16_plus_in_employment_who_are_self_employed" displayName="Table14_Percentage_of_people_aged_16_plus_in_employment_who_are_self_employed_and_95_percent_confidence_interval_of_percentage_of_people_aged_16_plus_in_employment_who_are_self_employed" ref="A12:X256" totalsRowShown="0" headerRowDxfId="275" dataDxfId="274" tableBorderDxfId="273" dataCellStyle="Comma">
  <tableColumns count="24">
    <tableColumn id="6" xr3:uid="{00000000-0010-0000-0E00-000006000000}" name="Variable" dataDxfId="272" dataCellStyle="Comma"/>
    <tableColumn id="1" xr3:uid="{00000000-0010-0000-0E00-000001000000}" name="Geography" dataDxfId="271"/>
    <tableColumn id="2" xr3:uid="{00000000-0010-0000-0E00-000002000000}" name="Region" dataDxfId="270"/>
    <tableColumn id="5" xr3:uid="{00000000-0010-0000-0E00-000005000000}" name="2004" dataDxfId="269"/>
    <tableColumn id="9" xr3:uid="{00000000-0010-0000-0E00-000009000000}" name="2005" dataDxfId="268"/>
    <tableColumn id="10" xr3:uid="{00000000-0010-0000-0E00-00000A000000}" name="2006" dataDxfId="267"/>
    <tableColumn id="11" xr3:uid="{00000000-0010-0000-0E00-00000B000000}" name="2007" dataDxfId="266"/>
    <tableColumn id="7" xr3:uid="{00000000-0010-0000-0E00-000007000000}" name="2008" dataDxfId="265"/>
    <tableColumn id="8" xr3:uid="{00000000-0010-0000-0E00-000008000000}" name="2009" dataDxfId="264"/>
    <tableColumn id="15" xr3:uid="{00000000-0010-0000-0E00-00000F000000}" name="2010" dataDxfId="263"/>
    <tableColumn id="16" xr3:uid="{00000000-0010-0000-0E00-000010000000}" name="2011" dataDxfId="262"/>
    <tableColumn id="17" xr3:uid="{00000000-0010-0000-0E00-000011000000}" name="2012" dataDxfId="261"/>
    <tableColumn id="18" xr3:uid="{00000000-0010-0000-0E00-000012000000}" name="2013" dataDxfId="260"/>
    <tableColumn id="19" xr3:uid="{00000000-0010-0000-0E00-000013000000}" name="2014" dataDxfId="259"/>
    <tableColumn id="20" xr3:uid="{00000000-0010-0000-0E00-000014000000}" name="2015" dataDxfId="258"/>
    <tableColumn id="21" xr3:uid="{00000000-0010-0000-0E00-000015000000}" name="2016" dataDxfId="257"/>
    <tableColumn id="22" xr3:uid="{00000000-0010-0000-0E00-000016000000}" name="2017" dataDxfId="256"/>
    <tableColumn id="23" xr3:uid="{00000000-0010-0000-0E00-000017000000}" name="2018" dataDxfId="255"/>
    <tableColumn id="24" xr3:uid="{00000000-0010-0000-0E00-000018000000}" name="2019" dataDxfId="254"/>
    <tableColumn id="3" xr3:uid="{00000000-0010-0000-0E00-000003000000}" name="2020" dataDxfId="253"/>
    <tableColumn id="4" xr3:uid="{0A2958D9-C48B-4E5C-9958-F96CE89D7F11}" name="2021" dataDxfId="252" dataCellStyle="Per cent"/>
    <tableColumn id="12" xr3:uid="{99E76178-E762-4EB6-A951-BDCB51730EE1}" name="2022" dataDxfId="251" dataCellStyle="Comma"/>
    <tableColumn id="13" xr3:uid="{7D5080FD-A3FE-4DC8-BA9F-0C5C4AF086CD}" name="2023" dataDxfId="250" dataCellStyle="Comma"/>
    <tableColumn id="14" xr3:uid="{6D03D63E-3BD7-4409-9C93-5508D46FBA93}" name="2024" dataDxfId="249" dataCellStyle="Comma"/>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F000000}" name="Table15_Number_of_females_aged_16_plus_in_employment_who_are_self_employed" displayName="Table15_Number_of_females_aged_16_plus_in_employment_who_are_self_employed" ref="A13:W135" totalsRowShown="0" headerRowDxfId="248" dataDxfId="247" tableBorderDxfId="246" dataCellStyle="Comma">
  <tableColumns count="23">
    <tableColumn id="1" xr3:uid="{00000000-0010-0000-0F00-000001000000}" name="Geography" dataDxfId="245"/>
    <tableColumn id="2" xr3:uid="{00000000-0010-0000-0F00-000002000000}" name="Region" dataDxfId="244"/>
    <tableColumn id="4" xr3:uid="{00000000-0010-0000-0F00-000004000000}" name="2004" dataDxfId="243" dataCellStyle="Per cent"/>
    <tableColumn id="5" xr3:uid="{00000000-0010-0000-0F00-000005000000}" name="2005" dataDxfId="242" dataCellStyle="Per cent"/>
    <tableColumn id="6" xr3:uid="{00000000-0010-0000-0F00-000006000000}" name="2006" dataDxfId="241" dataCellStyle="Per cent"/>
    <tableColumn id="7" xr3:uid="{00000000-0010-0000-0F00-000007000000}" name="2007" dataDxfId="240" dataCellStyle="Per cent"/>
    <tableColumn id="8" xr3:uid="{00000000-0010-0000-0F00-000008000000}" name="2008" dataDxfId="239" dataCellStyle="Per cent"/>
    <tableColumn id="9" xr3:uid="{00000000-0010-0000-0F00-000009000000}" name="2009" dataDxfId="238" dataCellStyle="Per cent"/>
    <tableColumn id="15" xr3:uid="{00000000-0010-0000-0F00-00000F000000}" name="2010" dataDxfId="237" dataCellStyle="Comma 2 2"/>
    <tableColumn id="16" xr3:uid="{00000000-0010-0000-0F00-000010000000}" name="2011" dataDxfId="236" dataCellStyle="Comma 2 2"/>
    <tableColumn id="17" xr3:uid="{00000000-0010-0000-0F00-000011000000}" name="2012" dataDxfId="235" dataCellStyle="Comma 4"/>
    <tableColumn id="18" xr3:uid="{00000000-0010-0000-0F00-000012000000}" name="2013" dataDxfId="234" dataCellStyle="Comma 4"/>
    <tableColumn id="19" xr3:uid="{00000000-0010-0000-0F00-000013000000}" name="2014" dataDxfId="233" dataCellStyle="Comma 4"/>
    <tableColumn id="20" xr3:uid="{00000000-0010-0000-0F00-000014000000}" name="2015" dataDxfId="232" dataCellStyle="Comma 4"/>
    <tableColumn id="21" xr3:uid="{00000000-0010-0000-0F00-000015000000}" name="2016" dataDxfId="231" dataCellStyle="Comma 4"/>
    <tableColumn id="22" xr3:uid="{00000000-0010-0000-0F00-000016000000}" name="2017" dataDxfId="230" dataCellStyle="Comma 4"/>
    <tableColumn id="23" xr3:uid="{00000000-0010-0000-0F00-000017000000}" name="2018" dataDxfId="229" dataCellStyle="Comma 4"/>
    <tableColumn id="24" xr3:uid="{00000000-0010-0000-0F00-000018000000}" name="2019" dataDxfId="228" dataCellStyle="Comma 4"/>
    <tableColumn id="3" xr3:uid="{00000000-0010-0000-0F00-000003000000}" name="2020" dataDxfId="227" dataCellStyle="Comma 4"/>
    <tableColumn id="10" xr3:uid="{E13AB92B-C9B8-4377-81BE-8EB22B275197}" name="2021" dataDxfId="226" dataCellStyle="Comma 4"/>
    <tableColumn id="11" xr3:uid="{324020C7-4E43-4BC8-87EA-BA9C3B787863}" name="2022" dataDxfId="225" dataCellStyle="Comma 2 2"/>
    <tableColumn id="12" xr3:uid="{BD93A0BE-B80D-44E9-B6FE-B7ACE0A9AE75}" name="2023" dataDxfId="224" dataCellStyle="Comma"/>
    <tableColumn id="13" xr3:uid="{474008A0-AD6F-4F10-88A1-0ACA82B26002}" name="2024" dataDxfId="223" dataCellStyle="Comma"/>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0000000}" name="Table16_Unemployment_Rate_Percentage_of_economically_active_people_aged_16_plus_who_are_unemployed_and_95_percent_confidence_interval_of_percentage_of_unemployment_rate" displayName="Table16_Unemployment_Rate_Percentage_of_economically_active_people_aged_16_plus_who_are_unemployed_and_95_percent_confidence_interval_of_percentage_of_unemployment_rate" ref="A12:X256" totalsRowShown="0" headerRowDxfId="222" dataDxfId="221" tableBorderDxfId="220" dataCellStyle="Comma">
  <tableColumns count="24">
    <tableColumn id="6" xr3:uid="{00000000-0010-0000-1000-000006000000}" name="Variable" dataDxfId="219" dataCellStyle="Comma"/>
    <tableColumn id="1" xr3:uid="{00000000-0010-0000-1000-000001000000}" name="Geography" dataDxfId="218"/>
    <tableColumn id="2" xr3:uid="{00000000-0010-0000-1000-000002000000}" name="Region" dataDxfId="217"/>
    <tableColumn id="5" xr3:uid="{00000000-0010-0000-1000-000005000000}" name="2004" dataDxfId="216"/>
    <tableColumn id="9" xr3:uid="{00000000-0010-0000-1000-000009000000}" name="2005" dataDxfId="215"/>
    <tableColumn id="10" xr3:uid="{00000000-0010-0000-1000-00000A000000}" name="2006" dataDxfId="214"/>
    <tableColumn id="11" xr3:uid="{00000000-0010-0000-1000-00000B000000}" name="2007" dataDxfId="213"/>
    <tableColumn id="7" xr3:uid="{00000000-0010-0000-1000-000007000000}" name="2008" dataDxfId="212"/>
    <tableColumn id="8" xr3:uid="{00000000-0010-0000-1000-000008000000}" name="2009" dataDxfId="211"/>
    <tableColumn id="15" xr3:uid="{00000000-0010-0000-1000-00000F000000}" name="2010" dataDxfId="210"/>
    <tableColumn id="16" xr3:uid="{00000000-0010-0000-1000-000010000000}" name="2011" dataDxfId="209"/>
    <tableColumn id="17" xr3:uid="{00000000-0010-0000-1000-000011000000}" name="2012" dataDxfId="208"/>
    <tableColumn id="18" xr3:uid="{00000000-0010-0000-1000-000012000000}" name="2013" dataDxfId="207"/>
    <tableColumn id="19" xr3:uid="{00000000-0010-0000-1000-000013000000}" name="2014" dataDxfId="206"/>
    <tableColumn id="20" xr3:uid="{00000000-0010-0000-1000-000014000000}" name="2015" dataDxfId="205"/>
    <tableColumn id="21" xr3:uid="{00000000-0010-0000-1000-000015000000}" name="2016" dataDxfId="204"/>
    <tableColumn id="22" xr3:uid="{00000000-0010-0000-1000-000016000000}" name="2017" dataDxfId="203"/>
    <tableColumn id="23" xr3:uid="{00000000-0010-0000-1000-000017000000}" name="2018" dataDxfId="202"/>
    <tableColumn id="24" xr3:uid="{00000000-0010-0000-1000-000018000000}" name="2019" dataDxfId="201"/>
    <tableColumn id="3" xr3:uid="{00000000-0010-0000-1000-000003000000}" name="2020" dataDxfId="200"/>
    <tableColumn id="4" xr3:uid="{49C1375D-A2CC-444A-A9EA-39A794976ECA}" name="2021" dataDxfId="199" dataCellStyle="Per cent"/>
    <tableColumn id="12" xr3:uid="{E20BE24A-E453-4BEF-B1BF-1F43AB849312}" name="2022" dataDxfId="198" dataCellStyle="Per cent"/>
    <tableColumn id="13" xr3:uid="{13B5C08A-0D0B-4AEF-A920-0CC6D173CF62}" name="2023" dataDxfId="197" dataCellStyle="Comma"/>
    <tableColumn id="14" xr3:uid="{4BF3B20E-6F74-41E9-93F0-0938B57B0863}" name="2024" dataDxfId="196" dataCellStyle="Comma"/>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11000000}" name="Table17_EconomicActivityRates_16to64_and_ConfidenceIntervals" displayName="Table17_EconomicActivityRates_16to64_and_ConfidenceIntervals" ref="A12:X256" totalsRowShown="0" headerRowDxfId="195" dataDxfId="194" tableBorderDxfId="193" dataCellStyle="Comma">
  <tableColumns count="24">
    <tableColumn id="6" xr3:uid="{00000000-0010-0000-1100-000006000000}" name="Variable" dataDxfId="192" dataCellStyle="Comma"/>
    <tableColumn id="1" xr3:uid="{00000000-0010-0000-1100-000001000000}" name="Geography" dataDxfId="191"/>
    <tableColumn id="2" xr3:uid="{00000000-0010-0000-1100-000002000000}" name="Region" dataDxfId="190"/>
    <tableColumn id="5" xr3:uid="{00000000-0010-0000-1100-000005000000}" name="2004" dataDxfId="189"/>
    <tableColumn id="9" xr3:uid="{00000000-0010-0000-1100-000009000000}" name="2005" dataDxfId="188"/>
    <tableColumn id="10" xr3:uid="{00000000-0010-0000-1100-00000A000000}" name="2006" dataDxfId="187"/>
    <tableColumn id="11" xr3:uid="{00000000-0010-0000-1100-00000B000000}" name="2007" dataDxfId="186"/>
    <tableColumn id="7" xr3:uid="{00000000-0010-0000-1100-000007000000}" name="2008" dataDxfId="185"/>
    <tableColumn id="8" xr3:uid="{00000000-0010-0000-1100-000008000000}" name="2009" dataDxfId="184"/>
    <tableColumn id="15" xr3:uid="{00000000-0010-0000-1100-00000F000000}" name="2010" dataDxfId="183"/>
    <tableColumn id="16" xr3:uid="{00000000-0010-0000-1100-000010000000}" name="2011" dataDxfId="182"/>
    <tableColumn id="17" xr3:uid="{00000000-0010-0000-1100-000011000000}" name="2012" dataDxfId="181"/>
    <tableColumn id="18" xr3:uid="{00000000-0010-0000-1100-000012000000}" name="2013" dataDxfId="180"/>
    <tableColumn id="19" xr3:uid="{00000000-0010-0000-1100-000013000000}" name="2014" dataDxfId="179"/>
    <tableColumn id="20" xr3:uid="{00000000-0010-0000-1100-000014000000}" name="2015" dataDxfId="178"/>
    <tableColumn id="21" xr3:uid="{00000000-0010-0000-1100-000015000000}" name="2016" dataDxfId="177"/>
    <tableColumn id="22" xr3:uid="{00000000-0010-0000-1100-000016000000}" name="2017" dataDxfId="176"/>
    <tableColumn id="23" xr3:uid="{00000000-0010-0000-1100-000017000000}" name="2018" dataDxfId="175"/>
    <tableColumn id="24" xr3:uid="{00000000-0010-0000-1100-000018000000}" name="2019" dataDxfId="174"/>
    <tableColumn id="3" xr3:uid="{00000000-0010-0000-1100-000003000000}" name="2020" dataDxfId="173"/>
    <tableColumn id="4" xr3:uid="{7422FD1E-44BD-46B2-8FD5-73CACB8604C4}" name="2021" dataDxfId="172" dataCellStyle="Per cent"/>
    <tableColumn id="12" xr3:uid="{AFBEBA09-5C73-4CCE-B610-E5B70DB349E2}" name="2022" dataDxfId="171" dataCellStyle="Comma"/>
    <tableColumn id="13" xr3:uid="{028F56A3-30C3-486C-825A-0D018BB53868}" name="2023" dataDxfId="170" dataCellStyle="Comma"/>
    <tableColumn id="14" xr3:uid="{9ED227E5-B961-41F4-8DAB-6FF21A63E02E}" name="2024" dataDxfId="169" dataCellStyle="Comma"/>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2000000}" name="Table18_Total_population_estimates" displayName="Table18_Total_population_estimates" ref="A16:AJ138" totalsRowShown="0" headerRowDxfId="168" dataDxfId="167" tableBorderDxfId="166" dataCellStyle="Comma">
  <tableColumns count="36">
    <tableColumn id="1" xr3:uid="{00000000-0010-0000-1200-000001000000}" name="Geography" dataDxfId="165"/>
    <tableColumn id="2" xr3:uid="{00000000-0010-0000-1200-000002000000}" name="Region" dataDxfId="164"/>
    <tableColumn id="27" xr3:uid="{00000000-0010-0000-1200-00001B000000}" name="1991" dataDxfId="163"/>
    <tableColumn id="28" xr3:uid="{00000000-0010-0000-1200-00001C000000}" name="1992" dataDxfId="162"/>
    <tableColumn id="29" xr3:uid="{00000000-0010-0000-1200-00001D000000}" name="1993" dataDxfId="161"/>
    <tableColumn id="30" xr3:uid="{00000000-0010-0000-1200-00001E000000}" name="1994" dataDxfId="160"/>
    <tableColumn id="31" xr3:uid="{00000000-0010-0000-1200-00001F000000}" name="1995" dataDxfId="159"/>
    <tableColumn id="32" xr3:uid="{00000000-0010-0000-1200-000020000000}" name="1996" dataDxfId="158"/>
    <tableColumn id="33" xr3:uid="{00000000-0010-0000-1200-000021000000}" name="1997" dataDxfId="157"/>
    <tableColumn id="5" xr3:uid="{00000000-0010-0000-1200-000005000000}" name="1998" dataDxfId="156"/>
    <tableColumn id="6" xr3:uid="{00000000-0010-0000-1200-000006000000}" name="1999" dataDxfId="155"/>
    <tableColumn id="7" xr3:uid="{00000000-0010-0000-1200-000007000000}" name="2000" dataDxfId="154"/>
    <tableColumn id="8" xr3:uid="{00000000-0010-0000-1200-000008000000}" name="2001" dataDxfId="153"/>
    <tableColumn id="9" xr3:uid="{00000000-0010-0000-1200-000009000000}" name="2002" dataDxfId="152"/>
    <tableColumn id="10" xr3:uid="{00000000-0010-0000-1200-00000A000000}" name="2003" dataDxfId="151"/>
    <tableColumn id="11" xr3:uid="{00000000-0010-0000-1200-00000B000000}" name="2004" dataDxfId="150"/>
    <tableColumn id="12" xr3:uid="{00000000-0010-0000-1200-00000C000000}" name="2005" dataDxfId="149"/>
    <tableColumn id="13" xr3:uid="{00000000-0010-0000-1200-00000D000000}" name="2006" dataDxfId="148"/>
    <tableColumn id="14" xr3:uid="{00000000-0010-0000-1200-00000E000000}" name="2007" dataDxfId="147"/>
    <tableColumn id="25" xr3:uid="{00000000-0010-0000-1200-000019000000}" name="2008" dataDxfId="146"/>
    <tableColumn id="26" xr3:uid="{00000000-0010-0000-1200-00001A000000}" name="2009" dataDxfId="145"/>
    <tableColumn id="15" xr3:uid="{00000000-0010-0000-1200-00000F000000}" name="2010" dataDxfId="144" dataCellStyle="Comma"/>
    <tableColumn id="16" xr3:uid="{00000000-0010-0000-1200-000010000000}" name="2011" dataDxfId="143" dataCellStyle="Comma"/>
    <tableColumn id="17" xr3:uid="{00000000-0010-0000-1200-000011000000}" name="2012" dataDxfId="142" dataCellStyle="Comma"/>
    <tableColumn id="18" xr3:uid="{00000000-0010-0000-1200-000012000000}" name="2013" dataDxfId="141" dataCellStyle="Comma"/>
    <tableColumn id="19" xr3:uid="{00000000-0010-0000-1200-000013000000}" name="2014" dataDxfId="140" dataCellStyle="Comma"/>
    <tableColumn id="20" xr3:uid="{00000000-0010-0000-1200-000014000000}" name="2015" dataDxfId="139" dataCellStyle="Comma"/>
    <tableColumn id="21" xr3:uid="{00000000-0010-0000-1200-000015000000}" name="2016" dataDxfId="138" dataCellStyle="Comma"/>
    <tableColumn id="22" xr3:uid="{00000000-0010-0000-1200-000016000000}" name="2017" dataDxfId="137" dataCellStyle="Comma"/>
    <tableColumn id="23" xr3:uid="{00000000-0010-0000-1200-000017000000}" name="2018" dataDxfId="136" dataCellStyle="Comma"/>
    <tableColumn id="24" xr3:uid="{00000000-0010-0000-1200-000018000000}" name="2019" dataDxfId="135" dataCellStyle="Comma"/>
    <tableColumn id="3" xr3:uid="{00000000-0010-0000-1200-000003000000}" name="2020" dataDxfId="134" dataCellStyle="Comma"/>
    <tableColumn id="4" xr3:uid="{58AC7A85-AD7C-4F44-9711-AB2F8D2D6C8D}" name="2021" dataDxfId="133" dataCellStyle="Comma"/>
    <tableColumn id="34" xr3:uid="{1D556D11-F537-4F98-93BB-D3B3E64E65E6}" name="2022" dataDxfId="132" dataCellStyle="Comma"/>
    <tableColumn id="35" xr3:uid="{03BB5A54-82A9-40E4-987A-DB6CE6D8797A}" name="2023" dataDxfId="131" dataCellStyle="Comma"/>
    <tableColumn id="36" xr3:uid="{D5709AC3-7BB6-413A-9417-93CF901F23C3}" name="2024" dataDxfId="130" dataCellStyle="Comma"/>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3000000}" name="Table19_Population_estimates_aged_16_plus" displayName="Table19_Population_estimates_aged_16_plus" ref="A16:AJ138" totalsRowShown="0" headerRowDxfId="129" dataDxfId="128" tableBorderDxfId="127" dataCellStyle="Comma">
  <tableColumns count="36">
    <tableColumn id="1" xr3:uid="{00000000-0010-0000-1300-000001000000}" name="Geography" dataDxfId="126"/>
    <tableColumn id="2" xr3:uid="{00000000-0010-0000-1300-000002000000}" name="Region" dataDxfId="125"/>
    <tableColumn id="27" xr3:uid="{00000000-0010-0000-1300-00001B000000}" name="1991" dataDxfId="124"/>
    <tableColumn id="28" xr3:uid="{00000000-0010-0000-1300-00001C000000}" name="1992" dataDxfId="123"/>
    <tableColumn id="29" xr3:uid="{00000000-0010-0000-1300-00001D000000}" name="1993" dataDxfId="122"/>
    <tableColumn id="30" xr3:uid="{00000000-0010-0000-1300-00001E000000}" name="1994" dataDxfId="121"/>
    <tableColumn id="31" xr3:uid="{00000000-0010-0000-1300-00001F000000}" name="1995" dataDxfId="120"/>
    <tableColumn id="32" xr3:uid="{00000000-0010-0000-1300-000020000000}" name="1996" dataDxfId="119"/>
    <tableColumn id="33" xr3:uid="{00000000-0010-0000-1300-000021000000}" name="1997" dataDxfId="118"/>
    <tableColumn id="5" xr3:uid="{00000000-0010-0000-1300-000005000000}" name="1998" dataDxfId="117"/>
    <tableColumn id="6" xr3:uid="{00000000-0010-0000-1300-000006000000}" name="1999" dataDxfId="116"/>
    <tableColumn id="7" xr3:uid="{00000000-0010-0000-1300-000007000000}" name="2000" dataDxfId="115"/>
    <tableColumn id="8" xr3:uid="{00000000-0010-0000-1300-000008000000}" name="2001" dataDxfId="114"/>
    <tableColumn id="9" xr3:uid="{00000000-0010-0000-1300-000009000000}" name="2002" dataDxfId="113"/>
    <tableColumn id="10" xr3:uid="{00000000-0010-0000-1300-00000A000000}" name="2003" dataDxfId="112"/>
    <tableColumn id="11" xr3:uid="{00000000-0010-0000-1300-00000B000000}" name="2004" dataDxfId="111"/>
    <tableColumn id="12" xr3:uid="{00000000-0010-0000-1300-00000C000000}" name="2005" dataDxfId="110"/>
    <tableColumn id="13" xr3:uid="{00000000-0010-0000-1300-00000D000000}" name="2006" dataDxfId="109"/>
    <tableColumn id="14" xr3:uid="{00000000-0010-0000-1300-00000E000000}" name="2007" dataDxfId="108"/>
    <tableColumn id="25" xr3:uid="{00000000-0010-0000-1300-000019000000}" name="2008" dataDxfId="107"/>
    <tableColumn id="26" xr3:uid="{00000000-0010-0000-1300-00001A000000}" name="2009" dataDxfId="106"/>
    <tableColumn id="15" xr3:uid="{00000000-0010-0000-1300-00000F000000}" name="2010" dataDxfId="105" dataCellStyle="Comma"/>
    <tableColumn id="16" xr3:uid="{00000000-0010-0000-1300-000010000000}" name="2011" dataDxfId="104" dataCellStyle="Comma"/>
    <tableColumn id="17" xr3:uid="{00000000-0010-0000-1300-000011000000}" name="2012" dataDxfId="103" dataCellStyle="Comma"/>
    <tableColumn id="18" xr3:uid="{00000000-0010-0000-1300-000012000000}" name="2013" dataDxfId="102" dataCellStyle="Comma"/>
    <tableColumn id="19" xr3:uid="{00000000-0010-0000-1300-000013000000}" name="2014" dataDxfId="101" dataCellStyle="Comma"/>
    <tableColumn id="20" xr3:uid="{00000000-0010-0000-1300-000014000000}" name="2015" dataDxfId="100" dataCellStyle="Comma"/>
    <tableColumn id="21" xr3:uid="{00000000-0010-0000-1300-000015000000}" name="2016" dataDxfId="99" dataCellStyle="Comma"/>
    <tableColumn id="22" xr3:uid="{00000000-0010-0000-1300-000016000000}" name="2017" dataDxfId="98" dataCellStyle="Comma"/>
    <tableColumn id="23" xr3:uid="{00000000-0010-0000-1300-000017000000}" name="2018" dataDxfId="97" dataCellStyle="Comma"/>
    <tableColumn id="24" xr3:uid="{00000000-0010-0000-1300-000018000000}" name="2019" dataDxfId="96" dataCellStyle="Comma"/>
    <tableColumn id="3" xr3:uid="{00000000-0010-0000-1300-000003000000}" name="2020" dataDxfId="95" dataCellStyle="Comma"/>
    <tableColumn id="4" xr3:uid="{CBD76D1D-8815-44FC-81A5-E6B04A3E8E5A}" name="2021" dataDxfId="94" dataCellStyle="Comma"/>
    <tableColumn id="34" xr3:uid="{6F275E68-75C6-48DB-A4E8-16C9F85CF669}" name="2022" dataDxfId="93" dataCellStyle="Comma"/>
    <tableColumn id="35" xr3:uid="{79DDF2BE-AE29-402B-A138-DEFF6590DA60}" name="2023" dataDxfId="92" dataCellStyle="Comma"/>
    <tableColumn id="36" xr3:uid="{57CC0256-DB4F-4FB0-A455-A68C427104BB}" name="2024" dataDxfId="91" dataCellStyle="Comma"/>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4000000}" name="Table20_Population_estimates_working_age_16_to_64" displayName="Table20_Population_estimates_working_age_16_to_64" ref="A16:AJ138" totalsRowShown="0" headerRowDxfId="90" dataDxfId="89" tableBorderDxfId="88" dataCellStyle="Comma">
  <tableColumns count="36">
    <tableColumn id="1" xr3:uid="{00000000-0010-0000-1400-000001000000}" name="Geography" dataDxfId="87"/>
    <tableColumn id="2" xr3:uid="{00000000-0010-0000-1400-000002000000}" name="Region" dataDxfId="86"/>
    <tableColumn id="27" xr3:uid="{00000000-0010-0000-1400-00001B000000}" name="1991" dataDxfId="85"/>
    <tableColumn id="28" xr3:uid="{00000000-0010-0000-1400-00001C000000}" name="1992" dataDxfId="84"/>
    <tableColumn id="29" xr3:uid="{00000000-0010-0000-1400-00001D000000}" name="1993" dataDxfId="83"/>
    <tableColumn id="30" xr3:uid="{00000000-0010-0000-1400-00001E000000}" name="1994" dataDxfId="82"/>
    <tableColumn id="31" xr3:uid="{00000000-0010-0000-1400-00001F000000}" name="1995" dataDxfId="81"/>
    <tableColumn id="32" xr3:uid="{00000000-0010-0000-1400-000020000000}" name="1996" dataDxfId="80"/>
    <tableColumn id="33" xr3:uid="{00000000-0010-0000-1400-000021000000}" name="1997" dataDxfId="79"/>
    <tableColumn id="5" xr3:uid="{00000000-0010-0000-1400-000005000000}" name="1998" dataDxfId="78"/>
    <tableColumn id="6" xr3:uid="{00000000-0010-0000-1400-000006000000}" name="1999" dataDxfId="77"/>
    <tableColumn id="7" xr3:uid="{00000000-0010-0000-1400-000007000000}" name="2000" dataDxfId="76"/>
    <tableColumn id="8" xr3:uid="{00000000-0010-0000-1400-000008000000}" name="2001" dataDxfId="75"/>
    <tableColumn id="9" xr3:uid="{00000000-0010-0000-1400-000009000000}" name="2002" dataDxfId="74"/>
    <tableColumn id="10" xr3:uid="{00000000-0010-0000-1400-00000A000000}" name="2003" dataDxfId="73"/>
    <tableColumn id="11" xr3:uid="{00000000-0010-0000-1400-00000B000000}" name="2004" dataDxfId="72"/>
    <tableColumn id="12" xr3:uid="{00000000-0010-0000-1400-00000C000000}" name="2005" dataDxfId="71"/>
    <tableColumn id="13" xr3:uid="{00000000-0010-0000-1400-00000D000000}" name="2006" dataDxfId="70"/>
    <tableColumn id="14" xr3:uid="{00000000-0010-0000-1400-00000E000000}" name="2007" dataDxfId="69"/>
    <tableColumn id="25" xr3:uid="{00000000-0010-0000-1400-000019000000}" name="2008" dataDxfId="68"/>
    <tableColumn id="26" xr3:uid="{00000000-0010-0000-1400-00001A000000}" name="2009" dataDxfId="67"/>
    <tableColumn id="15" xr3:uid="{00000000-0010-0000-1400-00000F000000}" name="2010" dataDxfId="66" dataCellStyle="Comma"/>
    <tableColumn id="16" xr3:uid="{00000000-0010-0000-1400-000010000000}" name="2011" dataDxfId="65" dataCellStyle="Comma"/>
    <tableColumn id="17" xr3:uid="{00000000-0010-0000-1400-000011000000}" name="2012" dataDxfId="64" dataCellStyle="Comma"/>
    <tableColumn id="18" xr3:uid="{00000000-0010-0000-1400-000012000000}" name="2013" dataDxfId="63" dataCellStyle="Comma"/>
    <tableColumn id="19" xr3:uid="{00000000-0010-0000-1400-000013000000}" name="2014" dataDxfId="62" dataCellStyle="Comma"/>
    <tableColumn id="20" xr3:uid="{00000000-0010-0000-1400-000014000000}" name="2015" dataDxfId="61" dataCellStyle="Comma"/>
    <tableColumn id="21" xr3:uid="{00000000-0010-0000-1400-000015000000}" name="2016" dataDxfId="60" dataCellStyle="Comma"/>
    <tableColumn id="22" xr3:uid="{00000000-0010-0000-1400-000016000000}" name="2017" dataDxfId="59" dataCellStyle="Comma"/>
    <tableColumn id="23" xr3:uid="{00000000-0010-0000-1400-000017000000}" name="2018" dataDxfId="58" dataCellStyle="Comma"/>
    <tableColumn id="24" xr3:uid="{00000000-0010-0000-1400-000018000000}" name="2019" dataDxfId="57" dataCellStyle="Comma"/>
    <tableColumn id="3" xr3:uid="{00000000-0010-0000-1400-000003000000}" name="2020" dataDxfId="56" dataCellStyle="Comma"/>
    <tableColumn id="4" xr3:uid="{9755F11F-5B52-4087-A1F4-699531BC4A7B}" name="2021" dataDxfId="55" dataCellStyle="Comma"/>
    <tableColumn id="34" xr3:uid="{CB58BA28-E32F-4754-924D-9531C0B4911B}" name="2022" dataDxfId="54" dataCellStyle="Comma"/>
    <tableColumn id="35" xr3:uid="{8A0B9069-0A0F-4831-9B49-77B3EA3A9071}" name="2023" dataDxfId="53" dataCellStyle="Comma"/>
    <tableColumn id="36" xr3:uid="{C414A1A2-2C8C-4DC5-9FCC-63285D1639DA}" name="2024" dataDxfId="52" dataCellStyle="Comma"/>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CE2FF-E2A5-4E4D-93DD-9B6501B3C636}" name="Table21_BusinessBirths" displayName="Table21_BusinessBirths" ref="A11:J133" totalsRowShown="0" headerRowDxfId="51" dataDxfId="50" tableBorderDxfId="49" dataCellStyle="Comma">
  <tableColumns count="10">
    <tableColumn id="1" xr3:uid="{9CED0741-6E36-4695-B78F-B9364174B7E5}" name="Geography" dataDxfId="48"/>
    <tableColumn id="2" xr3:uid="{17A0AA17-F55B-4F1B-B2CC-D3BD59EBB381}" name="Region" dataDxfId="47"/>
    <tableColumn id="21" xr3:uid="{FB09FC77-86AE-44C6-AF91-BAA150FAFE41}" name="2016" dataDxfId="46" dataCellStyle="Comma"/>
    <tableColumn id="22" xr3:uid="{0B08C82E-B654-43FB-8DD4-EF405283759F}" name="2017" dataDxfId="45" dataCellStyle="Comma"/>
    <tableColumn id="23" xr3:uid="{EECCFD52-5740-4804-A1BD-D913028C96F0}" name="2018" dataDxfId="44" dataCellStyle="Comma"/>
    <tableColumn id="24" xr3:uid="{F29E2EF9-55E9-4077-A868-38E80035400B}" name="2019" dataDxfId="43" dataCellStyle="Comma"/>
    <tableColumn id="3" xr3:uid="{C2B10BC3-D4A8-4A85-92FF-98A421EE6AC5}" name="2020" dataDxfId="42" dataCellStyle="Comma"/>
    <tableColumn id="4" xr3:uid="{1FBFEAA4-E90A-4805-BF64-73B4FBEA4E47}" name="2021" dataDxfId="41" dataCellStyle="Comma"/>
    <tableColumn id="34" xr3:uid="{18FE5ECD-C5DF-4721-AF8D-C7E2FD122A0E}" name="2022" dataDxfId="40" dataCellStyle="Comma"/>
    <tableColumn id="35" xr3:uid="{7276D8FB-0ADF-4108-AB57-DEDD3D3156D3}" name="2023" dataDxfId="39" dataCellStyle="Comma"/>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3548F1-7757-485A-A4F0-617014BA9DC1}" name="Table22_BusinessBirthRates" displayName="Table22_BusinessBirthRates" ref="A10:J132" totalsRowShown="0" headerRowDxfId="38" dataDxfId="37" tableBorderDxfId="36" dataCellStyle="Comma">
  <tableColumns count="10">
    <tableColumn id="1" xr3:uid="{AB695762-143D-4F90-B61B-4DD2BF3B1BFC}" name="Geography" dataDxfId="35"/>
    <tableColumn id="2" xr3:uid="{370A2F77-F422-4FE6-BEA0-F2C154FFD043}" name="Region" dataDxfId="34"/>
    <tableColumn id="21" xr3:uid="{468B8BD4-682C-45EF-A709-92C9B46AA46A}" name="2016" dataDxfId="33" dataCellStyle="Per cent"/>
    <tableColumn id="22" xr3:uid="{B0BE4794-53AF-45BA-B8A0-4FDF917FD557}" name="2017" dataDxfId="32" dataCellStyle="Per cent"/>
    <tableColumn id="23" xr3:uid="{971AB746-3D86-4918-8142-7C8D80B3E38D}" name="2018" dataDxfId="31" dataCellStyle="Per cent"/>
    <tableColumn id="24" xr3:uid="{BA6F4755-D1E3-4812-8C14-F0F7E7684A47}" name="2019" dataDxfId="30" dataCellStyle="Per cent"/>
    <tableColumn id="3" xr3:uid="{42C3EAE8-9109-46CA-8D41-6ACD04A5E89A}" name="2020" dataDxfId="29" dataCellStyle="Per cent"/>
    <tableColumn id="4" xr3:uid="{36CCACD6-1FC7-4196-81CD-5D3CA1FD39D8}" name="2021" dataDxfId="28" dataCellStyle="Per cent"/>
    <tableColumn id="34" xr3:uid="{23CD8D51-5217-4DC6-9B06-63BA83A9FF61}" name="2022" dataDxfId="27" dataCellStyle="Per cent"/>
    <tableColumn id="35" xr3:uid="{82DA6D79-4729-4851-9E6D-113CEA61E9A6}" name="2023" dataDxfId="26" dataCellStyle="Per cent"/>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1D1A77-4DBD-4265-9921-5F2A773BB401}" name="Table23_BusinessDeaths" displayName="Table23_BusinessDeaths" ref="A11:J133" totalsRowShown="0" headerRowDxfId="25" dataDxfId="24" tableBorderDxfId="23" dataCellStyle="Comma">
  <tableColumns count="10">
    <tableColumn id="1" xr3:uid="{C292872B-0C79-4146-82E7-1D50E9968021}" name="Geography" dataDxfId="22"/>
    <tableColumn id="2" xr3:uid="{7650D502-3CC5-44EB-9CB4-F6D2E1187C5B}" name="Region" dataDxfId="21"/>
    <tableColumn id="21" xr3:uid="{B3E523D4-34C5-4E80-A7FD-58829FBA6DAD}" name="2016" dataDxfId="20" dataCellStyle="Comma"/>
    <tableColumn id="22" xr3:uid="{E0411AEB-7F26-498F-A20E-FA503B8924C3}" name="2017" dataDxfId="19" dataCellStyle="Comma"/>
    <tableColumn id="23" xr3:uid="{D183D1BC-AE0A-450A-8405-AC3B59A9B5B8}" name="2018" dataDxfId="18" dataCellStyle="Comma"/>
    <tableColumn id="24" xr3:uid="{809E26C6-CBA4-45C4-A4E1-B7A81E7D8DD1}" name="2019" dataDxfId="17" dataCellStyle="Comma"/>
    <tableColumn id="3" xr3:uid="{AA093EC1-543E-44CC-93F9-193E6C21F83A}" name="2020" dataDxfId="16" dataCellStyle="Comma"/>
    <tableColumn id="4" xr3:uid="{F348E724-72BC-4529-A894-44CE1CA743B2}" name="2021" dataDxfId="15" dataCellStyle="Comma"/>
    <tableColumn id="34" xr3:uid="{64A32C24-BA02-4101-95A7-5CC70B7D7B9B}" name="2022" dataDxfId="14" dataCellStyle="Comma"/>
    <tableColumn id="35" xr3:uid="{A24CAAFB-F6A6-4F05-A437-70294149BA20}" name="2023" dataDxfId="13" dataCellStyle="Comma"/>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3EAB9F3-8CBE-4133-8D9E-AECBB0CFF60B}" name="Table24_BusinessDeathRates" displayName="Table24_BusinessDeathRates" ref="A10:J132" totalsRowShown="0" headerRowDxfId="12" dataDxfId="11" tableBorderDxfId="10" dataCellStyle="Comma">
  <tableColumns count="10">
    <tableColumn id="1" xr3:uid="{9367ECEE-80C4-4EBC-915A-D472DFFC2F90}" name="Geography" dataDxfId="9"/>
    <tableColumn id="2" xr3:uid="{74E967CB-AF1D-4D1B-AED2-3AEFA3566BD2}" name="Region" dataDxfId="8"/>
    <tableColumn id="21" xr3:uid="{CD7B5B13-F37D-433D-9C5F-9369B65B2EA3}" name="2016" dataDxfId="7" dataCellStyle="Per cent"/>
    <tableColumn id="22" xr3:uid="{558F1248-AB11-4F50-B8F4-0A5F7822E80B}" name="2017" dataDxfId="6" dataCellStyle="Per cent"/>
    <tableColumn id="23" xr3:uid="{9A937CB7-CB3E-4D31-BEB5-A258D34C2229}" name="2018" dataDxfId="5" dataCellStyle="Per cent"/>
    <tableColumn id="24" xr3:uid="{01FA22F1-16D1-466D-9A16-59309801CB74}" name="2019" dataDxfId="4" dataCellStyle="Per cent"/>
    <tableColumn id="3" xr3:uid="{FCAD570F-12FC-444C-89A1-63BE1152E154}" name="2020" dataDxfId="3" dataCellStyle="Per cent"/>
    <tableColumn id="4" xr3:uid="{C700A7B9-9223-48A4-ABB1-A7551C1F4204}" name="2021" dataDxfId="2" dataCellStyle="Per cent"/>
    <tableColumn id="34" xr3:uid="{ED4808B1-2D71-4542-8DD2-F2DC18252362}" name="2022" dataDxfId="1" dataCellStyle="Per cent"/>
    <tableColumn id="35" xr3:uid="{F3A4FF30-774E-4E95-8054-1E7C01EC78E4}" name="2023" dataDxfId="0" dataCellStyle="Per c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scot/publications/understanding-scottish-rural-economy" TargetMode="External"/><Relationship Id="rId2" Type="http://schemas.openxmlformats.org/officeDocument/2006/relationships/hyperlink" Target="https://scot.us20.list-manage.com/subscribe?u=04ac66a77bddcaae40a67c4ba&amp;id=0bb948a047" TargetMode="External"/><Relationship Id="rId1" Type="http://schemas.openxmlformats.org/officeDocument/2006/relationships/hyperlink" Target="mailto:industrystatistics@gov.sco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economy/grossdomesticproductgdp/datasets/regionalgrossdomesticproductlocalauthorities" TargetMode="External"/><Relationship Id="rId2" Type="http://schemas.openxmlformats.org/officeDocument/2006/relationships/hyperlink" Target="https://www.ons.gov.uk/economy/grossdomesticproductgdp/datasets/regionalgrossdomesticproductallnutslevelregions" TargetMode="External"/><Relationship Id="rId1" Type="http://schemas.openxmlformats.org/officeDocument/2006/relationships/hyperlink" Target="https://www.ons.gov.uk/economy/grossvalueaddedgva/datalist?filter=datasets" TargetMode="External"/><Relationship Id="rId5" Type="http://schemas.openxmlformats.org/officeDocument/2006/relationships/table" Target="../tables/table3.xml"/><Relationship Id="rId4" Type="http://schemas.openxmlformats.org/officeDocument/2006/relationships/hyperlink" Target="https://www.ons.gov.uk/economy/grossvalueaddedgva/datasets/uksmallareagvaestimate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gov.scot/publications/businesses-in-scotland-2024/documents/" TargetMode="External"/><Relationship Id="rId1" Type="http://schemas.openxmlformats.org/officeDocument/2006/relationships/hyperlink" Target="https://www.gov.scot/publications/businesses-in-scotland-2024" TargetMode="Externa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gov.scot/publications/businesses-in-scotland-2023" TargetMode="External"/><Relationship Id="rId1" Type="http://schemas.openxmlformats.org/officeDocument/2006/relationships/hyperlink" Target="https://www.gov.scot/publications/businesses-in-scotland-2023/documents/" TargetMode="Externa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www.nomisweb.co.uk/" TargetMode="External"/><Relationship Id="rId1" Type="http://schemas.openxmlformats.org/officeDocument/2006/relationships/hyperlink" Target="https://www.nomisweb.co.uk/" TargetMode="External"/><Relationship Id="rId4"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3" Type="http://schemas.openxmlformats.org/officeDocument/2006/relationships/hyperlink" Target="https://www.nrscotland.gov.uk/publications/population-estimates-time-series-data/" TargetMode="External"/><Relationship Id="rId7" Type="http://schemas.openxmlformats.org/officeDocument/2006/relationships/table" Target="../tables/table20.xml"/><Relationship Id="rId2" Type="http://schemas.openxmlformats.org/officeDocument/2006/relationships/hyperlink" Target="https://www.nomisweb.co.uk/" TargetMode="External"/><Relationship Id="rId1" Type="http://schemas.openxmlformats.org/officeDocument/2006/relationships/hyperlink" Target="https://webarchive.nrscotland.gov.uk/20240326181950/https:/www.nrscotland.gov.uk/statistics-and-data/statistics/statistics-by-theme/population/population-estimates/small-area-population-estimates-2011-data-zone-based/time-series" TargetMode="External"/><Relationship Id="rId6" Type="http://schemas.openxmlformats.org/officeDocument/2006/relationships/printerSettings" Target="../printerSettings/printerSettings20.bin"/><Relationship Id="rId5" Type="http://schemas.openxmlformats.org/officeDocument/2006/relationships/hyperlink" Target="https://www.nrscotland.gov.uk/publications/rebased-small-area-population-estimates-for-2011-to-2021-2011-data-zones/" TargetMode="External"/><Relationship Id="rId4" Type="http://schemas.openxmlformats.org/officeDocument/2006/relationships/hyperlink" Target="https://www.nrscotland.gov.uk/publications/small-area-population-estimates-mid-2022/"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webarchive.nrscotland.gov.uk/20240326181950/https:/www.nrscotland.gov.uk/statistics-and-data/statistics/statistics-by-theme/population/population-estimates/small-area-population-estimates-2011-data-zone-based/time-series" TargetMode="External"/><Relationship Id="rId7" Type="http://schemas.openxmlformats.org/officeDocument/2006/relationships/table" Target="../tables/table21.xml"/><Relationship Id="rId2" Type="http://schemas.openxmlformats.org/officeDocument/2006/relationships/hyperlink" Target="https://www.nrscotland.gov.uk/publications/small-area-population-estimates-mid-2022/" TargetMode="External"/><Relationship Id="rId1" Type="http://schemas.openxmlformats.org/officeDocument/2006/relationships/hyperlink" Target="https://www.nomisweb.co.uk/" TargetMode="External"/><Relationship Id="rId6" Type="http://schemas.openxmlformats.org/officeDocument/2006/relationships/printerSettings" Target="../printerSettings/printerSettings21.bin"/><Relationship Id="rId5" Type="http://schemas.openxmlformats.org/officeDocument/2006/relationships/hyperlink" Target="https://www.nrscotland.gov.uk/publications/population-estimates-time-series-data/" TargetMode="External"/><Relationship Id="rId4" Type="http://schemas.openxmlformats.org/officeDocument/2006/relationships/hyperlink" Target="https://www.nrscotland.gov.uk/publications/rebased-small-area-population-estimates-for-2011-to-2021-2011-data-zones/"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ebarchive.nrscotland.gov.uk/20240326181950/https:/www.nrscotland.gov.uk/statistics-and-data/statistics/statistics-by-theme/population/population-estimates/small-area-population-estimates-2011-data-zone-based/time-series" TargetMode="External"/><Relationship Id="rId7" Type="http://schemas.openxmlformats.org/officeDocument/2006/relationships/table" Target="../tables/table22.xml"/><Relationship Id="rId2" Type="http://schemas.openxmlformats.org/officeDocument/2006/relationships/hyperlink" Target="https://www.nrscotland.gov.uk/publications/small-area-population-estimates-mid-2022/" TargetMode="External"/><Relationship Id="rId1" Type="http://schemas.openxmlformats.org/officeDocument/2006/relationships/hyperlink" Target="https://www.nomisweb.co.uk/" TargetMode="External"/><Relationship Id="rId6" Type="http://schemas.openxmlformats.org/officeDocument/2006/relationships/printerSettings" Target="../printerSettings/printerSettings22.bin"/><Relationship Id="rId5" Type="http://schemas.openxmlformats.org/officeDocument/2006/relationships/hyperlink" Target="https://www.nrscotland.gov.uk/publications/population-estimates-time-series-data/" TargetMode="External"/><Relationship Id="rId4" Type="http://schemas.openxmlformats.org/officeDocument/2006/relationships/hyperlink" Target="https://www.nrscotland.gov.uk/publications/rebased-small-area-population-estimates-for-2011-to-2021-2011-data-zones/" TargetMode="External"/></Relationships>
</file>

<file path=xl/worksheets/_rels/sheet24.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hyperlink" Target="https://www.ons.gov.uk/businessindustryandtrade/business/activitysizeandlocation/bulletins/businessdemography/latest" TargetMode="External"/><Relationship Id="rId1" Type="http://schemas.openxmlformats.org/officeDocument/2006/relationships/hyperlink" Target="https://www.ons.gov.uk/businessindustryandtrade/changestobusiness/businessbirthsdeathsandsurvivalrates/adhocs/2858demographyforscotlandsubnationalgeographies2023" TargetMode="External"/></Relationships>
</file>

<file path=xl/worksheets/_rels/sheet25.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hyperlink" Target="https://www.ons.gov.uk/businessindustryandtrade/changestobusiness/businessbirthsdeathsandsurvivalrates/adhocs/2858demographyforscotlandsubnationalgeographies2023" TargetMode="External"/><Relationship Id="rId1" Type="http://schemas.openxmlformats.org/officeDocument/2006/relationships/hyperlink" Target="https://www.ons.gov.uk/businessindustryandtrade/business/activitysizeandlocation/bulletins/businessdemography/latest" TargetMode="External"/></Relationships>
</file>

<file path=xl/worksheets/_rels/sheet2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hyperlink" Target="https://www.ons.gov.uk/businessindustryandtrade/changestobusiness/businessbirthsdeathsandsurvivalrates/adhocs/2858demographyforscotlandsubnationalgeographies2023" TargetMode="External"/><Relationship Id="rId1" Type="http://schemas.openxmlformats.org/officeDocument/2006/relationships/hyperlink" Target="https://www.ons.gov.uk/businessindustryandtrade/business/activitysizeandlocation/bulletins/businessdemography/latest" TargetMode="External"/></Relationships>
</file>

<file path=xl/worksheets/_rels/sheet2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hyperlink" Target="https://www.ons.gov.uk/businessindustryandtrade/changestobusiness/businessbirthsdeathsandsurvivalrates/adhocs/2858demographyforscotlandsubnationalgeographies2023" TargetMode="External"/><Relationship Id="rId1" Type="http://schemas.openxmlformats.org/officeDocument/2006/relationships/hyperlink" Target="https://www.ons.gov.uk/businessindustryandtrade/business/activitysizeandlocation/bulletins/businessdemography/lat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4"/>
  <sheetViews>
    <sheetView showGridLines="0" tabSelected="1" workbookViewId="0"/>
  </sheetViews>
  <sheetFormatPr defaultColWidth="9.140625" defaultRowHeight="15" x14ac:dyDescent="0.2"/>
  <cols>
    <col min="1" max="1" width="30.28515625" style="9" customWidth="1"/>
    <col min="2" max="2" width="234" style="9" bestFit="1" customWidth="1"/>
    <col min="3" max="8" width="9.140625" style="9"/>
    <col min="9" max="9" width="4.7109375" style="9" customWidth="1"/>
    <col min="10" max="16384" width="9.140625" style="9"/>
  </cols>
  <sheetData>
    <row r="1" spans="1:26" ht="20.25" x14ac:dyDescent="0.3">
      <c r="A1" s="22" t="s">
        <v>119</v>
      </c>
      <c r="B1" s="10"/>
    </row>
    <row r="2" spans="1:26" x14ac:dyDescent="0.2">
      <c r="A2" s="9" t="s">
        <v>238</v>
      </c>
      <c r="B2" s="10"/>
    </row>
    <row r="3" spans="1:26" ht="28.5" customHeight="1" x14ac:dyDescent="0.25">
      <c r="A3" s="11" t="s">
        <v>148</v>
      </c>
    </row>
    <row r="4" spans="1:26" x14ac:dyDescent="0.2">
      <c r="A4" s="9" t="s">
        <v>249</v>
      </c>
    </row>
    <row r="5" spans="1:26" ht="23.1" customHeight="1" x14ac:dyDescent="0.25">
      <c r="A5" s="60" t="s">
        <v>147</v>
      </c>
    </row>
    <row r="6" spans="1:26" ht="15.75" x14ac:dyDescent="0.25">
      <c r="A6" s="12" t="s">
        <v>146</v>
      </c>
      <c r="X6" s="8"/>
      <c r="Y6" s="8"/>
      <c r="Z6" s="8"/>
    </row>
    <row r="7" spans="1:26" ht="15.75" x14ac:dyDescent="0.25">
      <c r="A7" s="12" t="s">
        <v>299</v>
      </c>
      <c r="X7" s="8"/>
      <c r="Y7" s="8"/>
      <c r="Z7" s="8"/>
    </row>
    <row r="8" spans="1:26" ht="15.75" x14ac:dyDescent="0.25">
      <c r="A8" s="12" t="s">
        <v>300</v>
      </c>
      <c r="X8" s="8"/>
      <c r="Y8" s="8"/>
      <c r="Z8" s="8"/>
    </row>
    <row r="9" spans="1:26" ht="15.75" x14ac:dyDescent="0.25">
      <c r="A9" s="12" t="s">
        <v>237</v>
      </c>
      <c r="X9" s="8"/>
      <c r="Y9" s="8"/>
      <c r="Z9" s="8"/>
    </row>
    <row r="10" spans="1:26" ht="15.75" x14ac:dyDescent="0.2">
      <c r="A10" s="12" t="s">
        <v>145</v>
      </c>
    </row>
    <row r="11" spans="1:26" ht="15.75" x14ac:dyDescent="0.2">
      <c r="A11" s="12" t="s">
        <v>298</v>
      </c>
    </row>
    <row r="12" spans="1:26" ht="15.75" x14ac:dyDescent="0.2">
      <c r="A12" s="12" t="s">
        <v>144</v>
      </c>
    </row>
    <row r="13" spans="1:26" ht="15.75" x14ac:dyDescent="0.2">
      <c r="A13" s="12" t="s">
        <v>143</v>
      </c>
    </row>
    <row r="14" spans="1:26" ht="27.6" customHeight="1" x14ac:dyDescent="0.25">
      <c r="A14" s="60" t="s">
        <v>142</v>
      </c>
    </row>
    <row r="15" spans="1:26" x14ac:dyDescent="0.2">
      <c r="A15" s="3" t="s">
        <v>254</v>
      </c>
    </row>
    <row r="16" spans="1:26" ht="15.75" x14ac:dyDescent="0.25">
      <c r="A16" s="57" t="s">
        <v>250</v>
      </c>
    </row>
    <row r="17" spans="1:1" ht="15.75" x14ac:dyDescent="0.25">
      <c r="A17" s="57" t="s">
        <v>251</v>
      </c>
    </row>
    <row r="18" spans="1:1" ht="15.75" x14ac:dyDescent="0.25">
      <c r="A18" s="57" t="s">
        <v>252</v>
      </c>
    </row>
    <row r="19" spans="1:1" ht="15.75" x14ac:dyDescent="0.25">
      <c r="A19" s="57" t="s">
        <v>253</v>
      </c>
    </row>
    <row r="20" spans="1:1" ht="33.950000000000003" customHeight="1" x14ac:dyDescent="0.25">
      <c r="A20" s="60" t="s">
        <v>141</v>
      </c>
    </row>
    <row r="21" spans="1:1" ht="15.75" x14ac:dyDescent="0.2">
      <c r="A21" s="12" t="s">
        <v>140</v>
      </c>
    </row>
    <row r="22" spans="1:1" ht="15.75" x14ac:dyDescent="0.25">
      <c r="A22" s="1" t="s">
        <v>139</v>
      </c>
    </row>
    <row r="23" spans="1:1" ht="15.75" x14ac:dyDescent="0.2">
      <c r="A23" s="12" t="s">
        <v>138</v>
      </c>
    </row>
    <row r="24" spans="1:1" x14ac:dyDescent="0.2">
      <c r="A24" s="9" t="s">
        <v>149</v>
      </c>
    </row>
    <row r="25" spans="1:1" ht="26.45" customHeight="1" x14ac:dyDescent="0.25">
      <c r="A25" s="11" t="s">
        <v>137</v>
      </c>
    </row>
    <row r="26" spans="1:1" x14ac:dyDescent="0.2">
      <c r="A26" s="10" t="s">
        <v>136</v>
      </c>
    </row>
    <row r="27" spans="1:1" ht="26.45" customHeight="1" x14ac:dyDescent="0.2">
      <c r="A27" s="10" t="s">
        <v>135</v>
      </c>
    </row>
    <row r="28" spans="1:1" x14ac:dyDescent="0.2">
      <c r="A28" s="3" t="s">
        <v>255</v>
      </c>
    </row>
    <row r="29" spans="1:1" ht="27" customHeight="1" x14ac:dyDescent="0.25">
      <c r="A29" s="11" t="s">
        <v>134</v>
      </c>
    </row>
    <row r="30" spans="1:1" x14ac:dyDescent="0.2">
      <c r="A30" s="10" t="s">
        <v>133</v>
      </c>
    </row>
    <row r="31" spans="1:1" ht="28.5" customHeight="1" x14ac:dyDescent="0.25">
      <c r="A31" s="34" t="s">
        <v>132</v>
      </c>
    </row>
    <row r="32" spans="1:1" ht="15.75" x14ac:dyDescent="0.25">
      <c r="A32" s="1" t="s">
        <v>131</v>
      </c>
    </row>
    <row r="33" spans="1:1" ht="25.5" customHeight="1" x14ac:dyDescent="0.2">
      <c r="A33" s="3" t="s">
        <v>130</v>
      </c>
    </row>
    <row r="34" spans="1:1" ht="33.6" customHeight="1" x14ac:dyDescent="0.2">
      <c r="A34" s="10" t="s">
        <v>129</v>
      </c>
    </row>
    <row r="35" spans="1:1" x14ac:dyDescent="0.2">
      <c r="A35" s="10" t="s">
        <v>128</v>
      </c>
    </row>
    <row r="36" spans="1:1" x14ac:dyDescent="0.2">
      <c r="A36" s="10" t="s">
        <v>127</v>
      </c>
    </row>
    <row r="37" spans="1:1" x14ac:dyDescent="0.2">
      <c r="A37" s="10" t="s">
        <v>126</v>
      </c>
    </row>
    <row r="38" spans="1:1" x14ac:dyDescent="0.2">
      <c r="A38" s="10" t="s">
        <v>125</v>
      </c>
    </row>
    <row r="39" spans="1:1" x14ac:dyDescent="0.2">
      <c r="A39" s="10" t="s">
        <v>53</v>
      </c>
    </row>
    <row r="40" spans="1:1" x14ac:dyDescent="0.2">
      <c r="A40" s="10" t="s">
        <v>124</v>
      </c>
    </row>
    <row r="59" ht="22.5" customHeight="1" x14ac:dyDescent="0.2"/>
    <row r="64" ht="30" customHeight="1" x14ac:dyDescent="0.2"/>
  </sheetData>
  <hyperlinks>
    <hyperlink ref="A33" r:id="rId1" xr:uid="{00000000-0004-0000-0000-000000000000}"/>
    <hyperlink ref="A28" r:id="rId2" xr:uid="{00000000-0004-0000-0000-000001000000}"/>
    <hyperlink ref="A15" r:id="rId3" xr:uid="{00000000-0004-0000-0000-000002000000}"/>
  </hyperlinks>
  <pageMargins left="0.7" right="0.7" top="0.75" bottom="0.75" header="0.3" footer="0.3"/>
  <pageSetup paperSize="9" scale="18" fitToHeight="0"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28"/>
  <sheetViews>
    <sheetView showGridLines="0" workbookViewId="0"/>
  </sheetViews>
  <sheetFormatPr defaultColWidth="9.140625" defaultRowHeight="15" x14ac:dyDescent="0.2"/>
  <cols>
    <col min="1" max="1" width="16.28515625" style="2" customWidth="1"/>
    <col min="2" max="2" width="114.42578125" style="2" bestFit="1" customWidth="1"/>
    <col min="3" max="16384" width="9.140625" style="2"/>
  </cols>
  <sheetData>
    <row r="1" spans="1:2" ht="20.25" x14ac:dyDescent="0.3">
      <c r="A1" s="22" t="s">
        <v>231</v>
      </c>
    </row>
    <row r="2" spans="1:2" x14ac:dyDescent="0.2">
      <c r="A2" s="36" t="s">
        <v>228</v>
      </c>
    </row>
    <row r="3" spans="1:2" ht="18" customHeight="1" x14ac:dyDescent="0.25">
      <c r="A3" s="37" t="s">
        <v>229</v>
      </c>
      <c r="B3" s="38" t="s">
        <v>230</v>
      </c>
    </row>
    <row r="4" spans="1:2" ht="18" customHeight="1" x14ac:dyDescent="0.2">
      <c r="A4" s="3" t="s">
        <v>213</v>
      </c>
    </row>
    <row r="5" spans="1:2" x14ac:dyDescent="0.2">
      <c r="A5" s="3" t="s">
        <v>372</v>
      </c>
      <c r="B5" s="163" t="s">
        <v>373</v>
      </c>
    </row>
    <row r="6" spans="1:2" x14ac:dyDescent="0.2">
      <c r="A6" s="3" t="s">
        <v>239</v>
      </c>
      <c r="B6" s="4" t="s">
        <v>283</v>
      </c>
    </row>
    <row r="7" spans="1:2" x14ac:dyDescent="0.2">
      <c r="A7" s="3" t="s">
        <v>240</v>
      </c>
      <c r="B7" s="95" t="s">
        <v>282</v>
      </c>
    </row>
    <row r="8" spans="1:2" x14ac:dyDescent="0.2">
      <c r="A8" s="3" t="s">
        <v>241</v>
      </c>
      <c r="B8" s="95" t="s">
        <v>284</v>
      </c>
    </row>
    <row r="9" spans="1:2" x14ac:dyDescent="0.2">
      <c r="A9" s="3" t="s">
        <v>242</v>
      </c>
      <c r="B9" s="5" t="s">
        <v>285</v>
      </c>
    </row>
    <row r="10" spans="1:2" x14ac:dyDescent="0.2">
      <c r="A10" s="3" t="s">
        <v>243</v>
      </c>
      <c r="B10" s="4" t="s">
        <v>286</v>
      </c>
    </row>
    <row r="11" spans="1:2" x14ac:dyDescent="0.2">
      <c r="A11" s="3" t="s">
        <v>244</v>
      </c>
      <c r="B11" s="4" t="s">
        <v>287</v>
      </c>
    </row>
    <row r="12" spans="1:2" x14ac:dyDescent="0.2">
      <c r="A12" s="3" t="s">
        <v>246</v>
      </c>
      <c r="B12" s="4" t="s">
        <v>288</v>
      </c>
    </row>
    <row r="13" spans="1:2" x14ac:dyDescent="0.2">
      <c r="A13" s="3" t="s">
        <v>49</v>
      </c>
      <c r="B13" s="4" t="s">
        <v>289</v>
      </c>
    </row>
    <row r="14" spans="1:2" x14ac:dyDescent="0.2">
      <c r="A14" s="3" t="s">
        <v>50</v>
      </c>
      <c r="B14" s="6" t="s">
        <v>105</v>
      </c>
    </row>
    <row r="15" spans="1:2" x14ac:dyDescent="0.2">
      <c r="A15" s="3" t="s">
        <v>51</v>
      </c>
      <c r="B15" s="4" t="s">
        <v>106</v>
      </c>
    </row>
    <row r="16" spans="1:2" x14ac:dyDescent="0.2">
      <c r="A16" s="3" t="s">
        <v>52</v>
      </c>
      <c r="B16" s="2" t="s">
        <v>224</v>
      </c>
    </row>
    <row r="17" spans="1:2" x14ac:dyDescent="0.2">
      <c r="A17" s="3" t="s">
        <v>34</v>
      </c>
      <c r="B17" s="2" t="s">
        <v>107</v>
      </c>
    </row>
    <row r="18" spans="1:2" x14ac:dyDescent="0.2">
      <c r="A18" s="3" t="s">
        <v>205</v>
      </c>
      <c r="B18" s="2" t="s">
        <v>108</v>
      </c>
    </row>
    <row r="19" spans="1:2" x14ac:dyDescent="0.2">
      <c r="A19" s="3" t="s">
        <v>227</v>
      </c>
      <c r="B19" s="2" t="s">
        <v>109</v>
      </c>
    </row>
    <row r="20" spans="1:2" x14ac:dyDescent="0.2">
      <c r="A20" s="3" t="s">
        <v>245</v>
      </c>
      <c r="B20" s="2" t="s">
        <v>110</v>
      </c>
    </row>
    <row r="21" spans="1:2" x14ac:dyDescent="0.2">
      <c r="A21" s="3" t="s">
        <v>247</v>
      </c>
      <c r="B21" s="2" t="s">
        <v>225</v>
      </c>
    </row>
    <row r="22" spans="1:2" x14ac:dyDescent="0.2">
      <c r="A22" s="3" t="s">
        <v>248</v>
      </c>
      <c r="B22" s="7" t="s">
        <v>361</v>
      </c>
    </row>
    <row r="23" spans="1:2" x14ac:dyDescent="0.2">
      <c r="A23" s="3" t="s">
        <v>226</v>
      </c>
      <c r="B23" s="7" t="s">
        <v>362</v>
      </c>
    </row>
    <row r="24" spans="1:2" x14ac:dyDescent="0.2">
      <c r="A24" s="3" t="s">
        <v>290</v>
      </c>
      <c r="B24" s="129" t="s">
        <v>363</v>
      </c>
    </row>
    <row r="25" spans="1:2" x14ac:dyDescent="0.2">
      <c r="A25" s="3" t="s">
        <v>355</v>
      </c>
      <c r="B25" s="153" t="s">
        <v>364</v>
      </c>
    </row>
    <row r="26" spans="1:2" x14ac:dyDescent="0.2">
      <c r="A26" s="3" t="s">
        <v>356</v>
      </c>
      <c r="B26" s="153" t="s">
        <v>365</v>
      </c>
    </row>
    <row r="27" spans="1:2" x14ac:dyDescent="0.2">
      <c r="A27" s="3" t="s">
        <v>357</v>
      </c>
      <c r="B27" s="153" t="s">
        <v>366</v>
      </c>
    </row>
    <row r="28" spans="1:2" x14ac:dyDescent="0.2">
      <c r="A28" s="3" t="s">
        <v>358</v>
      </c>
      <c r="B28" s="153" t="s">
        <v>367</v>
      </c>
    </row>
  </sheetData>
  <phoneticPr fontId="44" type="noConversion"/>
  <hyperlinks>
    <hyperlink ref="A6" location="'Table 2'!A1" display="Table 2" xr:uid="{00000000-0004-0000-0100-000001000000}"/>
    <hyperlink ref="A9" location="'Table 5'!A1" display="Table 5" xr:uid="{00000000-0004-0000-0100-000002000000}"/>
    <hyperlink ref="A10" location="'Table 6'!A1" display="Table 6" xr:uid="{00000000-0004-0000-0100-000003000000}"/>
    <hyperlink ref="A11" location="'Table 7'!A1" display="Table 7" xr:uid="{00000000-0004-0000-0100-000004000000}"/>
    <hyperlink ref="A12" location="'Table 8'!A1" display="Table 8" xr:uid="{00000000-0004-0000-0100-000005000000}"/>
    <hyperlink ref="A13" location="'Table 9'!A1" display="Table 9" xr:uid="{00000000-0004-0000-0100-000006000000}"/>
    <hyperlink ref="A14" location="'Table 10'!A1" display="Table 10" xr:uid="{00000000-0004-0000-0100-000008000000}"/>
    <hyperlink ref="A15" location="'Table 11'!A1" display="Table 11" xr:uid="{00000000-0004-0000-0100-000009000000}"/>
    <hyperlink ref="A17" location="'Table 13'!A1" display="Table 13" xr:uid="{00000000-0004-0000-0100-00000A000000}"/>
    <hyperlink ref="A18" location="'Table 14'!A1" display="Table 14" xr:uid="{00000000-0004-0000-0100-00000B000000}"/>
    <hyperlink ref="A19" location="'Table 15'!A1" display="Table 15" xr:uid="{00000000-0004-0000-0100-00000C000000}"/>
    <hyperlink ref="A20" location="'Table 16'!A1" display="Table 16" xr:uid="{00000000-0004-0000-0100-00000D000000}"/>
    <hyperlink ref="A22" location="'Table 18'!A1" display="Table 18" xr:uid="{00000000-0004-0000-0100-00000E000000}"/>
    <hyperlink ref="A23" location="'Table 19'!A1" display="Table 19" xr:uid="{00000000-0004-0000-0100-00000F000000}"/>
    <hyperlink ref="A24" location="'Table 20'!A1" display="Table 20" xr:uid="{00000000-0004-0000-0100-000010000000}"/>
    <hyperlink ref="A16" location="'Table 12'!A1" display="Table 12" xr:uid="{00000000-0004-0000-0100-000011000000}"/>
    <hyperlink ref="A21" location="'Table 17'!A1" display="Table 17" xr:uid="{00000000-0004-0000-0100-000012000000}"/>
    <hyperlink ref="A4" location="Notes!A1" display="Notes" xr:uid="{00000000-0004-0000-0100-000013000000}"/>
    <hyperlink ref="A7" location="'Table 3'!A1" display="Table 3" xr:uid="{79577D18-59DA-43AE-A431-3BF43EEB25A4}"/>
    <hyperlink ref="A8" location="'Table 4'!A1" display="Table 4" xr:uid="{F1FA55DD-237F-44FC-BCDE-18B02E5059E0}"/>
    <hyperlink ref="A26" location="'Table 22'!A1" display="Table 22" xr:uid="{E68B2396-B139-46B2-B2A4-3A84B471EE3E}"/>
    <hyperlink ref="A27" location="'Table 23'!A1" display="Table 23" xr:uid="{B26F157A-25BE-4562-9743-E80F05047E47}"/>
    <hyperlink ref="A25" location="'Table 21'!A1" display="Table 21" xr:uid="{09C09F2D-4DED-4541-B1BD-EC660944B819}"/>
    <hyperlink ref="A28" location="'Table 24'!A1" display="Table 24" xr:uid="{C5A4FCBB-25DF-4A56-9B14-764FAA2CCCF6}"/>
    <hyperlink ref="A5" location="'Table 1'!A1" display="Table 1" xr:uid="{2F66767A-07FE-4D32-907B-A38E9B7ACFC2}"/>
  </hyperlinks>
  <pageMargins left="0.7" right="0.7" top="0.75" bottom="0.75" header="0.3" footer="0.3"/>
  <pageSetup paperSize="9" scale="7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4"/>
  <sheetViews>
    <sheetView showGridLines="0" workbookViewId="0"/>
  </sheetViews>
  <sheetFormatPr defaultRowHeight="15" x14ac:dyDescent="0.25"/>
  <cols>
    <col min="1" max="1" width="15.5703125" customWidth="1"/>
    <col min="2" max="2" width="164.140625" customWidth="1"/>
  </cols>
  <sheetData>
    <row r="1" spans="1:2" ht="20.25" x14ac:dyDescent="0.3">
      <c r="A1" s="22" t="s">
        <v>213</v>
      </c>
    </row>
    <row r="2" spans="1:2" ht="15.75" x14ac:dyDescent="0.25">
      <c r="A2" s="9" t="s">
        <v>214</v>
      </c>
    </row>
    <row r="3" spans="1:2" x14ac:dyDescent="0.25">
      <c r="A3" s="35" t="s">
        <v>232</v>
      </c>
    </row>
    <row r="4" spans="1:2" ht="15.75" x14ac:dyDescent="0.25">
      <c r="A4" s="1" t="s">
        <v>215</v>
      </c>
      <c r="B4" s="1" t="s">
        <v>216</v>
      </c>
    </row>
    <row r="5" spans="1:2" x14ac:dyDescent="0.25">
      <c r="A5" s="118">
        <v>1</v>
      </c>
      <c r="B5" s="119" t="s">
        <v>217</v>
      </c>
    </row>
    <row r="6" spans="1:2" x14ac:dyDescent="0.25">
      <c r="A6" s="118">
        <v>2</v>
      </c>
      <c r="B6" s="119" t="s">
        <v>218</v>
      </c>
    </row>
    <row r="7" spans="1:2" x14ac:dyDescent="0.25">
      <c r="A7" s="118">
        <v>3</v>
      </c>
      <c r="B7" s="119" t="s">
        <v>335</v>
      </c>
    </row>
    <row r="8" spans="1:2" ht="45" x14ac:dyDescent="0.25">
      <c r="A8" s="118">
        <v>4</v>
      </c>
      <c r="B8" s="119" t="s">
        <v>307</v>
      </c>
    </row>
    <row r="9" spans="1:2" ht="45" x14ac:dyDescent="0.25">
      <c r="A9" s="118">
        <v>5</v>
      </c>
      <c r="B9" s="119" t="s">
        <v>308</v>
      </c>
    </row>
    <row r="10" spans="1:2" ht="30" x14ac:dyDescent="0.25">
      <c r="A10" s="118">
        <v>6</v>
      </c>
      <c r="B10" s="119" t="s">
        <v>219</v>
      </c>
    </row>
    <row r="11" spans="1:2" ht="30" x14ac:dyDescent="0.25">
      <c r="A11" s="118">
        <v>7</v>
      </c>
      <c r="B11" s="119" t="s">
        <v>267</v>
      </c>
    </row>
    <row r="12" spans="1:2" x14ac:dyDescent="0.25">
      <c r="A12" s="118">
        <v>8</v>
      </c>
      <c r="B12" s="119" t="s">
        <v>268</v>
      </c>
    </row>
    <row r="13" spans="1:2" x14ac:dyDescent="0.25">
      <c r="A13" s="118">
        <v>9</v>
      </c>
      <c r="B13" s="119" t="s">
        <v>220</v>
      </c>
    </row>
    <row r="14" spans="1:2" ht="90" x14ac:dyDescent="0.25">
      <c r="A14" s="118">
        <v>10</v>
      </c>
      <c r="B14" s="119" t="s">
        <v>269</v>
      </c>
    </row>
    <row r="15" spans="1:2" x14ac:dyDescent="0.25">
      <c r="A15" s="118">
        <v>11</v>
      </c>
      <c r="B15" s="119" t="s">
        <v>221</v>
      </c>
    </row>
    <row r="16" spans="1:2" x14ac:dyDescent="0.25">
      <c r="A16" s="118">
        <v>12</v>
      </c>
      <c r="B16" s="119" t="s">
        <v>222</v>
      </c>
    </row>
    <row r="17" spans="1:2" ht="63" customHeight="1" x14ac:dyDescent="0.25">
      <c r="A17" s="118">
        <v>13</v>
      </c>
      <c r="B17" s="119" t="s">
        <v>309</v>
      </c>
    </row>
    <row r="18" spans="1:2" ht="108.95" customHeight="1" x14ac:dyDescent="0.25">
      <c r="A18" s="120">
        <v>14</v>
      </c>
      <c r="B18" s="128" t="s">
        <v>348</v>
      </c>
    </row>
    <row r="19" spans="1:2" x14ac:dyDescent="0.25">
      <c r="A19" s="118">
        <v>15</v>
      </c>
      <c r="B19" s="119" t="s">
        <v>223</v>
      </c>
    </row>
    <row r="20" spans="1:2" ht="30.75" x14ac:dyDescent="0.25">
      <c r="A20" s="120">
        <v>16</v>
      </c>
      <c r="B20" s="128" t="s">
        <v>328</v>
      </c>
    </row>
    <row r="21" spans="1:2" ht="45" x14ac:dyDescent="0.25">
      <c r="A21" s="118">
        <v>17</v>
      </c>
      <c r="B21" s="119" t="s">
        <v>346</v>
      </c>
    </row>
    <row r="22" spans="1:2" ht="15.75" x14ac:dyDescent="0.25">
      <c r="A22" s="118">
        <v>18</v>
      </c>
      <c r="B22" s="165" t="s">
        <v>379</v>
      </c>
    </row>
    <row r="23" spans="1:2" ht="45" x14ac:dyDescent="0.25">
      <c r="A23" s="120">
        <v>19</v>
      </c>
      <c r="B23" s="119" t="s">
        <v>353</v>
      </c>
    </row>
    <row r="24" spans="1:2" x14ac:dyDescent="0.25">
      <c r="A24" s="120">
        <v>20</v>
      </c>
      <c r="B24" s="119" t="s">
        <v>354</v>
      </c>
    </row>
    <row r="25" spans="1:2" ht="30" x14ac:dyDescent="0.25">
      <c r="A25" s="120">
        <v>21</v>
      </c>
      <c r="B25" s="119" t="s">
        <v>368</v>
      </c>
    </row>
    <row r="26" spans="1:2" ht="45.75" x14ac:dyDescent="0.25">
      <c r="A26" s="120">
        <v>22</v>
      </c>
      <c r="B26" s="152" t="s">
        <v>370</v>
      </c>
    </row>
    <row r="27" spans="1:2" ht="30.75" x14ac:dyDescent="0.25">
      <c r="A27" s="120">
        <v>23</v>
      </c>
      <c r="B27" s="152" t="s">
        <v>369</v>
      </c>
    </row>
    <row r="33" spans="2:9" x14ac:dyDescent="0.25">
      <c r="B33" s="164"/>
      <c r="C33" s="164"/>
      <c r="D33" s="164"/>
      <c r="E33" s="164"/>
      <c r="F33" s="164"/>
      <c r="G33" s="164"/>
      <c r="H33" s="164"/>
      <c r="I33" s="164"/>
    </row>
    <row r="34" spans="2:9" x14ac:dyDescent="0.25">
      <c r="B34" s="164"/>
      <c r="C34" s="164"/>
      <c r="D34" s="164"/>
      <c r="E34" s="164"/>
      <c r="F34" s="164"/>
      <c r="G34" s="164"/>
      <c r="H34" s="164"/>
      <c r="I34" s="164"/>
    </row>
  </sheetData>
  <mergeCells count="1">
    <mergeCell ref="B33:I34"/>
  </mergeCells>
  <hyperlinks>
    <hyperlink ref="A3" location="Contents!A1" display="This cell contains a hyperlink to the Table of Contents" xr:uid="{336C5880-D32A-43A6-AEEF-F3F2176210B7}"/>
  </hyperlinks>
  <pageMargins left="0.7" right="0.7" top="0.75" bottom="0.75" header="0.3" footer="0.3"/>
  <pageSetup paperSize="9" scale="48"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0B8A6-2EC6-4F5F-8490-92D68D6AD75D}">
  <dimension ref="A1:AB136"/>
  <sheetViews>
    <sheetView zoomScaleNormal="100" workbookViewId="0"/>
  </sheetViews>
  <sheetFormatPr defaultColWidth="9.140625" defaultRowHeight="15" x14ac:dyDescent="0.2"/>
  <cols>
    <col min="1" max="1" width="61.42578125" style="40" customWidth="1"/>
    <col min="2" max="2" width="54.42578125" style="42" customWidth="1"/>
    <col min="3" max="24" width="12.5703125" style="41" customWidth="1"/>
    <col min="25" max="25" width="12.5703125" style="40" customWidth="1"/>
    <col min="26" max="26" width="15.140625" style="40" customWidth="1"/>
    <col min="27" max="28" width="12.5703125" style="40" customWidth="1"/>
    <col min="29" max="16384" width="9.140625" style="40"/>
  </cols>
  <sheetData>
    <row r="1" spans="1:28" ht="20.25" x14ac:dyDescent="0.3">
      <c r="A1" s="116" t="s">
        <v>374</v>
      </c>
      <c r="B1" s="40"/>
      <c r="C1" s="52"/>
      <c r="U1" s="41" t="s">
        <v>0</v>
      </c>
    </row>
    <row r="2" spans="1:28" x14ac:dyDescent="0.2">
      <c r="A2" s="42" t="s">
        <v>152</v>
      </c>
      <c r="B2" s="40"/>
      <c r="C2" s="52"/>
    </row>
    <row r="3" spans="1:28" x14ac:dyDescent="0.2">
      <c r="A3" s="42" t="s">
        <v>297</v>
      </c>
      <c r="B3" s="40"/>
      <c r="C3" s="53"/>
      <c r="D3" s="53"/>
      <c r="E3" s="53"/>
      <c r="F3" s="53"/>
      <c r="G3" s="53"/>
      <c r="H3" s="53"/>
      <c r="I3" s="53"/>
    </row>
    <row r="4" spans="1:28" x14ac:dyDescent="0.2">
      <c r="A4" s="42" t="s">
        <v>333</v>
      </c>
      <c r="B4" s="40"/>
      <c r="C4" s="53"/>
      <c r="D4" s="53"/>
      <c r="E4" s="53"/>
      <c r="F4" s="53"/>
      <c r="G4" s="53"/>
      <c r="H4" s="53"/>
      <c r="I4" s="53"/>
    </row>
    <row r="5" spans="1:28" x14ac:dyDescent="0.2">
      <c r="A5" s="42" t="s">
        <v>153</v>
      </c>
      <c r="B5" s="40"/>
      <c r="C5" s="53"/>
      <c r="D5" s="53"/>
      <c r="E5" s="53"/>
      <c r="F5" s="53"/>
      <c r="G5" s="53"/>
      <c r="H5" s="53"/>
      <c r="I5" s="53"/>
    </row>
    <row r="6" spans="1:28" x14ac:dyDescent="0.2">
      <c r="A6" s="42" t="s">
        <v>321</v>
      </c>
      <c r="B6" s="40"/>
      <c r="C6" s="53"/>
      <c r="D6" s="53"/>
      <c r="E6" s="53"/>
      <c r="F6" s="53"/>
      <c r="G6" s="53"/>
      <c r="H6" s="53"/>
      <c r="I6" s="53"/>
    </row>
    <row r="7" spans="1:28" x14ac:dyDescent="0.2">
      <c r="A7" s="115" t="s">
        <v>334</v>
      </c>
      <c r="B7" s="40"/>
      <c r="C7" s="53"/>
      <c r="D7" s="53"/>
      <c r="E7" s="53"/>
      <c r="F7" s="53"/>
      <c r="G7" s="53"/>
      <c r="H7" s="53"/>
      <c r="I7" s="53"/>
    </row>
    <row r="8" spans="1:28" x14ac:dyDescent="0.2">
      <c r="A8" s="130" t="s">
        <v>336</v>
      </c>
      <c r="B8" s="40"/>
      <c r="C8" s="53"/>
      <c r="D8" s="53"/>
      <c r="E8" s="53"/>
      <c r="F8" s="53"/>
      <c r="G8" s="53"/>
      <c r="H8" s="53"/>
      <c r="I8" s="53"/>
    </row>
    <row r="9" spans="1:28" x14ac:dyDescent="0.2">
      <c r="A9" s="130" t="s">
        <v>376</v>
      </c>
      <c r="B9" s="40"/>
      <c r="C9" s="53"/>
      <c r="D9" s="53"/>
      <c r="E9" s="53"/>
      <c r="F9" s="53"/>
      <c r="G9" s="53"/>
      <c r="H9" s="53"/>
      <c r="I9" s="53"/>
    </row>
    <row r="10" spans="1:28" x14ac:dyDescent="0.2">
      <c r="A10" s="115" t="s">
        <v>311</v>
      </c>
      <c r="B10" s="40"/>
      <c r="C10" s="53"/>
      <c r="D10" s="53"/>
      <c r="E10" s="53"/>
      <c r="F10" s="53"/>
      <c r="G10" s="53"/>
      <c r="H10" s="53"/>
      <c r="I10" s="53"/>
    </row>
    <row r="11" spans="1:28" x14ac:dyDescent="0.2">
      <c r="A11" s="42" t="s">
        <v>375</v>
      </c>
      <c r="B11" s="40"/>
      <c r="C11" s="53"/>
      <c r="D11" s="53"/>
      <c r="E11" s="53"/>
      <c r="F11" s="53"/>
      <c r="G11" s="53"/>
      <c r="H11" s="53"/>
      <c r="I11" s="53"/>
    </row>
    <row r="12" spans="1:28" x14ac:dyDescent="0.25">
      <c r="A12" s="54" t="s">
        <v>155</v>
      </c>
      <c r="B12" s="40"/>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row>
    <row r="13" spans="1:28" ht="27" customHeight="1" x14ac:dyDescent="0.2">
      <c r="A13" s="115" t="s">
        <v>232</v>
      </c>
      <c r="B13" s="40"/>
      <c r="C13" s="162"/>
      <c r="D13" s="162"/>
      <c r="E13" s="162"/>
      <c r="F13" s="162"/>
      <c r="G13" s="162"/>
      <c r="H13" s="162"/>
      <c r="I13" s="162"/>
      <c r="J13" s="162"/>
      <c r="K13" s="162"/>
      <c r="L13" s="162"/>
      <c r="M13" s="162"/>
      <c r="N13" s="162"/>
      <c r="O13" s="162"/>
      <c r="P13" s="162"/>
      <c r="Q13" s="162"/>
      <c r="R13" s="162"/>
      <c r="S13" s="162"/>
      <c r="T13" s="162"/>
      <c r="U13" s="162"/>
      <c r="V13" s="162"/>
      <c r="W13" s="162"/>
      <c r="X13" s="162"/>
      <c r="Y13" s="162"/>
      <c r="Z13" s="162"/>
      <c r="AA13" s="162"/>
      <c r="AB13" s="162"/>
    </row>
    <row r="14" spans="1:28" ht="15.75" x14ac:dyDescent="0.25">
      <c r="A14" s="55" t="s">
        <v>156</v>
      </c>
      <c r="B14" s="55" t="s">
        <v>157</v>
      </c>
      <c r="C14" s="46" t="s">
        <v>158</v>
      </c>
      <c r="D14" s="46" t="s">
        <v>159</v>
      </c>
      <c r="E14" s="46" t="s">
        <v>160</v>
      </c>
      <c r="F14" s="46" t="s">
        <v>161</v>
      </c>
      <c r="G14" s="46" t="s">
        <v>162</v>
      </c>
      <c r="H14" s="46" t="s">
        <v>163</v>
      </c>
      <c r="I14" s="46" t="s">
        <v>164</v>
      </c>
      <c r="J14" s="46" t="s">
        <v>165</v>
      </c>
      <c r="K14" s="46" t="s">
        <v>166</v>
      </c>
      <c r="L14" s="46" t="s">
        <v>167</v>
      </c>
      <c r="M14" s="46" t="s">
        <v>168</v>
      </c>
      <c r="N14" s="46" t="s">
        <v>169</v>
      </c>
      <c r="O14" s="46" t="s">
        <v>170</v>
      </c>
      <c r="P14" s="46" t="s">
        <v>171</v>
      </c>
      <c r="Q14" s="46" t="s">
        <v>172</v>
      </c>
      <c r="R14" s="46" t="s">
        <v>173</v>
      </c>
      <c r="S14" s="46" t="s">
        <v>174</v>
      </c>
      <c r="T14" s="46" t="s">
        <v>175</v>
      </c>
      <c r="U14" s="46" t="s">
        <v>176</v>
      </c>
      <c r="V14" s="46" t="s">
        <v>177</v>
      </c>
      <c r="W14" s="46" t="s">
        <v>123</v>
      </c>
      <c r="X14" s="47" t="s">
        <v>150</v>
      </c>
      <c r="Y14" s="46" t="s">
        <v>187</v>
      </c>
      <c r="Z14" s="46" t="s">
        <v>189</v>
      </c>
      <c r="AA14" s="46" t="s">
        <v>257</v>
      </c>
      <c r="AB14" s="161" t="s">
        <v>316</v>
      </c>
    </row>
    <row r="15" spans="1:28" x14ac:dyDescent="0.2">
      <c r="A15" s="56" t="s">
        <v>178</v>
      </c>
      <c r="B15" s="57" t="s">
        <v>48</v>
      </c>
      <c r="C15" s="145">
        <v>899791</v>
      </c>
      <c r="D15" s="145">
        <v>936185</v>
      </c>
      <c r="E15" s="145">
        <v>987515</v>
      </c>
      <c r="F15" s="145">
        <v>1031117</v>
      </c>
      <c r="G15" s="145">
        <v>1072157</v>
      </c>
      <c r="H15" s="145">
        <v>1132892</v>
      </c>
      <c r="I15" s="145">
        <v>1189413</v>
      </c>
      <c r="J15" s="145">
        <v>1259906</v>
      </c>
      <c r="K15" s="145">
        <v>1325927</v>
      </c>
      <c r="L15" s="145">
        <v>1390158</v>
      </c>
      <c r="M15" s="145">
        <v>1442023</v>
      </c>
      <c r="N15" s="145">
        <v>1410178</v>
      </c>
      <c r="O15" s="145">
        <v>1449003</v>
      </c>
      <c r="P15" s="145">
        <v>1484323</v>
      </c>
      <c r="Q15" s="145">
        <v>1531610</v>
      </c>
      <c r="R15" s="145">
        <v>1589831</v>
      </c>
      <c r="S15" s="145">
        <v>1660753</v>
      </c>
      <c r="T15" s="145">
        <v>1709030</v>
      </c>
      <c r="U15" s="145">
        <v>1774630</v>
      </c>
      <c r="V15" s="145">
        <v>1856764</v>
      </c>
      <c r="W15" s="145">
        <v>1920289</v>
      </c>
      <c r="X15" s="145">
        <v>1995708</v>
      </c>
      <c r="Y15" s="145">
        <v>1897155</v>
      </c>
      <c r="Z15" s="145">
        <v>2047932</v>
      </c>
      <c r="AA15" s="145">
        <v>2266082</v>
      </c>
      <c r="AB15" s="159">
        <v>2464587</v>
      </c>
    </row>
    <row r="16" spans="1:28" x14ac:dyDescent="0.2">
      <c r="A16" s="56" t="s">
        <v>178</v>
      </c>
      <c r="B16" s="57" t="s">
        <v>1</v>
      </c>
      <c r="C16" s="145">
        <v>69990</v>
      </c>
      <c r="D16" s="145">
        <v>71019</v>
      </c>
      <c r="E16" s="145">
        <v>73905</v>
      </c>
      <c r="F16" s="145">
        <v>78263</v>
      </c>
      <c r="G16" s="145">
        <v>81408</v>
      </c>
      <c r="H16" s="145">
        <v>86231</v>
      </c>
      <c r="I16" s="145">
        <v>91899</v>
      </c>
      <c r="J16" s="145">
        <v>97381</v>
      </c>
      <c r="K16" s="145">
        <v>103898</v>
      </c>
      <c r="L16" s="145">
        <v>108168</v>
      </c>
      <c r="M16" s="145">
        <v>113289</v>
      </c>
      <c r="N16" s="145">
        <v>112920</v>
      </c>
      <c r="O16" s="145">
        <v>112827</v>
      </c>
      <c r="P16" s="145">
        <v>115662</v>
      </c>
      <c r="Q16" s="145">
        <v>119265</v>
      </c>
      <c r="R16" s="145">
        <v>124638</v>
      </c>
      <c r="S16" s="145">
        <v>130440</v>
      </c>
      <c r="T16" s="145">
        <v>131988</v>
      </c>
      <c r="U16" s="145">
        <v>134155</v>
      </c>
      <c r="V16" s="145">
        <v>140881</v>
      </c>
      <c r="W16" s="145">
        <v>143492</v>
      </c>
      <c r="X16" s="145">
        <v>149254</v>
      </c>
      <c r="Y16" s="145">
        <v>141398</v>
      </c>
      <c r="Z16" s="145">
        <v>151916</v>
      </c>
      <c r="AA16" s="145">
        <v>166866</v>
      </c>
      <c r="AB16" s="159">
        <v>183471</v>
      </c>
    </row>
    <row r="17" spans="1:28" ht="35.450000000000003" customHeight="1" x14ac:dyDescent="0.2">
      <c r="A17" s="57" t="s">
        <v>179</v>
      </c>
      <c r="B17" s="57" t="s">
        <v>35</v>
      </c>
      <c r="C17" s="144">
        <f t="shared" ref="C17:AB17" si="0">SUM(C32:C33)</f>
        <v>8237</v>
      </c>
      <c r="D17" s="144">
        <f t="shared" si="0"/>
        <v>8219</v>
      </c>
      <c r="E17" s="144">
        <f t="shared" si="0"/>
        <v>8412</v>
      </c>
      <c r="F17" s="144">
        <f t="shared" si="0"/>
        <v>9073</v>
      </c>
      <c r="G17" s="144">
        <f t="shared" si="0"/>
        <v>9472</v>
      </c>
      <c r="H17" s="144">
        <f t="shared" si="0"/>
        <v>9581</v>
      </c>
      <c r="I17" s="144">
        <f t="shared" si="0"/>
        <v>10133</v>
      </c>
      <c r="J17" s="144">
        <f t="shared" si="0"/>
        <v>10706</v>
      </c>
      <c r="K17" s="144">
        <f t="shared" si="0"/>
        <v>12161</v>
      </c>
      <c r="L17" s="144">
        <f t="shared" si="0"/>
        <v>13595</v>
      </c>
      <c r="M17" s="144">
        <f t="shared" si="0"/>
        <v>15053</v>
      </c>
      <c r="N17" s="144">
        <f t="shared" si="0"/>
        <v>14773</v>
      </c>
      <c r="O17" s="144">
        <f t="shared" si="0"/>
        <v>15170</v>
      </c>
      <c r="P17" s="144">
        <f t="shared" si="0"/>
        <v>15667</v>
      </c>
      <c r="Q17" s="144">
        <f t="shared" si="0"/>
        <v>16598</v>
      </c>
      <c r="R17" s="144">
        <f t="shared" si="0"/>
        <v>17672</v>
      </c>
      <c r="S17" s="144">
        <f t="shared" si="0"/>
        <v>18465</v>
      </c>
      <c r="T17" s="144">
        <f t="shared" si="0"/>
        <v>17940</v>
      </c>
      <c r="U17" s="144">
        <f t="shared" si="0"/>
        <v>16482</v>
      </c>
      <c r="V17" s="144">
        <f t="shared" si="0"/>
        <v>16520</v>
      </c>
      <c r="W17" s="144">
        <f t="shared" si="0"/>
        <v>16685</v>
      </c>
      <c r="X17" s="144">
        <f t="shared" si="0"/>
        <v>16948</v>
      </c>
      <c r="Y17" s="144">
        <f t="shared" si="0"/>
        <v>15436</v>
      </c>
      <c r="Z17" s="144">
        <f t="shared" si="0"/>
        <v>15835</v>
      </c>
      <c r="AA17" s="144">
        <f t="shared" si="0"/>
        <v>17027</v>
      </c>
      <c r="AB17" s="144">
        <f t="shared" si="0"/>
        <v>18351</v>
      </c>
    </row>
    <row r="18" spans="1:28" x14ac:dyDescent="0.2">
      <c r="A18" s="56" t="s">
        <v>179</v>
      </c>
      <c r="B18" s="57" t="s">
        <v>36</v>
      </c>
      <c r="C18" s="144">
        <f t="shared" ref="C18:AB18" si="1">SUM(C41,C43,C46,C48,C53,C56,C60,C62)</f>
        <v>23274</v>
      </c>
      <c r="D18" s="144">
        <f t="shared" si="1"/>
        <v>23660</v>
      </c>
      <c r="E18" s="144">
        <f t="shared" si="1"/>
        <v>24456</v>
      </c>
      <c r="F18" s="144">
        <f t="shared" si="1"/>
        <v>26033</v>
      </c>
      <c r="G18" s="144">
        <f t="shared" si="1"/>
        <v>26803</v>
      </c>
      <c r="H18" s="144">
        <f t="shared" si="1"/>
        <v>28280</v>
      </c>
      <c r="I18" s="144">
        <f t="shared" si="1"/>
        <v>30221</v>
      </c>
      <c r="J18" s="144">
        <f t="shared" si="1"/>
        <v>32369</v>
      </c>
      <c r="K18" s="144">
        <f t="shared" si="1"/>
        <v>34184</v>
      </c>
      <c r="L18" s="144">
        <f t="shared" si="1"/>
        <v>34781</v>
      </c>
      <c r="M18" s="144">
        <f t="shared" si="1"/>
        <v>36506</v>
      </c>
      <c r="N18" s="144">
        <f t="shared" si="1"/>
        <v>36051</v>
      </c>
      <c r="O18" s="144">
        <f t="shared" si="1"/>
        <v>35422</v>
      </c>
      <c r="P18" s="144">
        <f t="shared" si="1"/>
        <v>36401</v>
      </c>
      <c r="Q18" s="144">
        <f t="shared" si="1"/>
        <v>37128</v>
      </c>
      <c r="R18" s="144">
        <f t="shared" si="1"/>
        <v>38824</v>
      </c>
      <c r="S18" s="144">
        <f t="shared" si="1"/>
        <v>41006</v>
      </c>
      <c r="T18" s="144">
        <f t="shared" si="1"/>
        <v>41540</v>
      </c>
      <c r="U18" s="144">
        <f t="shared" si="1"/>
        <v>42400</v>
      </c>
      <c r="V18" s="144">
        <f t="shared" si="1"/>
        <v>44904</v>
      </c>
      <c r="W18" s="144">
        <f t="shared" si="1"/>
        <v>45653</v>
      </c>
      <c r="X18" s="144">
        <f t="shared" si="1"/>
        <v>47631</v>
      </c>
      <c r="Y18" s="144">
        <f t="shared" si="1"/>
        <v>45751</v>
      </c>
      <c r="Z18" s="144">
        <f t="shared" si="1"/>
        <v>49728</v>
      </c>
      <c r="AA18" s="144">
        <f t="shared" si="1"/>
        <v>54313</v>
      </c>
      <c r="AB18" s="144">
        <f t="shared" si="1"/>
        <v>60153</v>
      </c>
    </row>
    <row r="19" spans="1:28" x14ac:dyDescent="0.2">
      <c r="A19" s="56" t="s">
        <v>179</v>
      </c>
      <c r="B19" s="57" t="s">
        <v>37</v>
      </c>
      <c r="C19" s="144">
        <f t="shared" ref="C19:AB19" si="2">SUM(C36,C42,C45,C49,C57,C63)</f>
        <v>18465</v>
      </c>
      <c r="D19" s="144">
        <f t="shared" si="2"/>
        <v>18713</v>
      </c>
      <c r="E19" s="144">
        <f t="shared" si="2"/>
        <v>19785</v>
      </c>
      <c r="F19" s="144">
        <f t="shared" si="2"/>
        <v>20969</v>
      </c>
      <c r="G19" s="144">
        <f t="shared" si="2"/>
        <v>22251</v>
      </c>
      <c r="H19" s="144">
        <f t="shared" si="2"/>
        <v>23836</v>
      </c>
      <c r="I19" s="144">
        <f t="shared" si="2"/>
        <v>25598</v>
      </c>
      <c r="J19" s="144">
        <f t="shared" si="2"/>
        <v>26851</v>
      </c>
      <c r="K19" s="144">
        <f t="shared" si="2"/>
        <v>28463</v>
      </c>
      <c r="L19" s="144">
        <f t="shared" si="2"/>
        <v>29782</v>
      </c>
      <c r="M19" s="144">
        <f t="shared" si="2"/>
        <v>30300</v>
      </c>
      <c r="N19" s="144">
        <f t="shared" si="2"/>
        <v>30788</v>
      </c>
      <c r="O19" s="144">
        <f t="shared" si="2"/>
        <v>30918</v>
      </c>
      <c r="P19" s="144">
        <f t="shared" si="2"/>
        <v>31301</v>
      </c>
      <c r="Q19" s="144">
        <f t="shared" si="2"/>
        <v>32524</v>
      </c>
      <c r="R19" s="144">
        <f t="shared" si="2"/>
        <v>33821</v>
      </c>
      <c r="S19" s="144">
        <f t="shared" si="2"/>
        <v>35321</v>
      </c>
      <c r="T19" s="144">
        <f t="shared" si="2"/>
        <v>36395</v>
      </c>
      <c r="U19" s="144">
        <f t="shared" si="2"/>
        <v>38710</v>
      </c>
      <c r="V19" s="144">
        <f t="shared" si="2"/>
        <v>40936</v>
      </c>
      <c r="W19" s="144">
        <f t="shared" si="2"/>
        <v>42103</v>
      </c>
      <c r="X19" s="144">
        <f t="shared" si="2"/>
        <v>43864</v>
      </c>
      <c r="Y19" s="144">
        <f t="shared" si="2"/>
        <v>41915</v>
      </c>
      <c r="Z19" s="144">
        <f t="shared" si="2"/>
        <v>45766</v>
      </c>
      <c r="AA19" s="144">
        <f t="shared" si="2"/>
        <v>51241</v>
      </c>
      <c r="AB19" s="144">
        <f t="shared" si="2"/>
        <v>56568</v>
      </c>
    </row>
    <row r="20" spans="1:28" x14ac:dyDescent="0.2">
      <c r="A20" s="56" t="s">
        <v>179</v>
      </c>
      <c r="B20" s="57" t="s">
        <v>236</v>
      </c>
      <c r="C20" s="144">
        <f t="shared" ref="C20:AB20" si="3">SUM(C37,C61,C44)</f>
        <v>3774</v>
      </c>
      <c r="D20" s="144">
        <f t="shared" si="3"/>
        <v>3817</v>
      </c>
      <c r="E20" s="144">
        <f t="shared" si="3"/>
        <v>3990</v>
      </c>
      <c r="F20" s="144">
        <f t="shared" si="3"/>
        <v>4182</v>
      </c>
      <c r="G20" s="144">
        <f t="shared" si="3"/>
        <v>4342</v>
      </c>
      <c r="H20" s="144">
        <f t="shared" si="3"/>
        <v>4699</v>
      </c>
      <c r="I20" s="144">
        <f t="shared" si="3"/>
        <v>4957</v>
      </c>
      <c r="J20" s="144">
        <f t="shared" si="3"/>
        <v>5310</v>
      </c>
      <c r="K20" s="144">
        <f t="shared" si="3"/>
        <v>5593</v>
      </c>
      <c r="L20" s="144">
        <f t="shared" si="3"/>
        <v>5851</v>
      </c>
      <c r="M20" s="144">
        <f t="shared" si="3"/>
        <v>6095</v>
      </c>
      <c r="N20" s="144">
        <f t="shared" si="3"/>
        <v>6061</v>
      </c>
      <c r="O20" s="144">
        <f t="shared" si="3"/>
        <v>6018</v>
      </c>
      <c r="P20" s="144">
        <f t="shared" si="3"/>
        <v>6036</v>
      </c>
      <c r="Q20" s="144">
        <f t="shared" si="3"/>
        <v>6086</v>
      </c>
      <c r="R20" s="144">
        <f t="shared" si="3"/>
        <v>6296</v>
      </c>
      <c r="S20" s="144">
        <f t="shared" si="3"/>
        <v>6512</v>
      </c>
      <c r="T20" s="144">
        <f t="shared" si="3"/>
        <v>6707</v>
      </c>
      <c r="U20" s="144">
        <f t="shared" si="3"/>
        <v>6755</v>
      </c>
      <c r="V20" s="144">
        <f t="shared" si="3"/>
        <v>7045</v>
      </c>
      <c r="W20" s="144">
        <f t="shared" si="3"/>
        <v>7248</v>
      </c>
      <c r="X20" s="144">
        <f t="shared" si="3"/>
        <v>7682</v>
      </c>
      <c r="Y20" s="144">
        <f t="shared" si="3"/>
        <v>7253</v>
      </c>
      <c r="Z20" s="144">
        <f t="shared" si="3"/>
        <v>7842</v>
      </c>
      <c r="AA20" s="144">
        <f t="shared" si="3"/>
        <v>8375</v>
      </c>
      <c r="AB20" s="144">
        <f t="shared" si="3"/>
        <v>8842</v>
      </c>
    </row>
    <row r="21" spans="1:28" x14ac:dyDescent="0.2">
      <c r="A21" s="56" t="s">
        <v>179</v>
      </c>
      <c r="B21" s="57" t="s">
        <v>38</v>
      </c>
      <c r="C21" s="144">
        <f t="shared" ref="C21:AB21" si="4">SUM(C34,C39,C45,C55)</f>
        <v>8791</v>
      </c>
      <c r="D21" s="144">
        <f t="shared" si="4"/>
        <v>8768</v>
      </c>
      <c r="E21" s="144">
        <f t="shared" si="4"/>
        <v>9051</v>
      </c>
      <c r="F21" s="144">
        <f t="shared" si="4"/>
        <v>9326</v>
      </c>
      <c r="G21" s="144">
        <f t="shared" si="4"/>
        <v>9780</v>
      </c>
      <c r="H21" s="144">
        <f t="shared" si="4"/>
        <v>10366</v>
      </c>
      <c r="I21" s="144">
        <f t="shared" si="4"/>
        <v>10868</v>
      </c>
      <c r="J21" s="144">
        <f t="shared" si="4"/>
        <v>11309</v>
      </c>
      <c r="K21" s="144">
        <f t="shared" si="4"/>
        <v>12309</v>
      </c>
      <c r="L21" s="144">
        <f t="shared" si="4"/>
        <v>12775</v>
      </c>
      <c r="M21" s="144">
        <f t="shared" si="4"/>
        <v>13179</v>
      </c>
      <c r="N21" s="144">
        <f t="shared" si="4"/>
        <v>13135</v>
      </c>
      <c r="O21" s="144">
        <f t="shared" si="4"/>
        <v>13113</v>
      </c>
      <c r="P21" s="144">
        <f t="shared" si="4"/>
        <v>13355</v>
      </c>
      <c r="Q21" s="144">
        <f t="shared" si="4"/>
        <v>13983</v>
      </c>
      <c r="R21" s="144">
        <f t="shared" si="4"/>
        <v>14732</v>
      </c>
      <c r="S21" s="144">
        <f t="shared" si="4"/>
        <v>15413</v>
      </c>
      <c r="T21" s="144">
        <f t="shared" si="4"/>
        <v>15745</v>
      </c>
      <c r="U21" s="144">
        <f t="shared" si="4"/>
        <v>16093</v>
      </c>
      <c r="V21" s="144">
        <f t="shared" si="4"/>
        <v>16635</v>
      </c>
      <c r="W21" s="144">
        <f t="shared" si="4"/>
        <v>16698</v>
      </c>
      <c r="X21" s="144">
        <f t="shared" si="4"/>
        <v>17464</v>
      </c>
      <c r="Y21" s="144">
        <f t="shared" si="4"/>
        <v>16530</v>
      </c>
      <c r="Z21" s="144">
        <f t="shared" si="4"/>
        <v>17423</v>
      </c>
      <c r="AA21" s="144">
        <f t="shared" si="4"/>
        <v>18904</v>
      </c>
      <c r="AB21" s="144">
        <f t="shared" si="4"/>
        <v>20483</v>
      </c>
    </row>
    <row r="22" spans="1:28" x14ac:dyDescent="0.2">
      <c r="A22" s="56" t="s">
        <v>179</v>
      </c>
      <c r="B22" s="57" t="s">
        <v>121</v>
      </c>
      <c r="C22" s="144">
        <f t="shared" ref="C22:AB22" si="5">C29</f>
        <v>5649</v>
      </c>
      <c r="D22" s="144">
        <f t="shared" si="5"/>
        <v>5910</v>
      </c>
      <c r="E22" s="144">
        <f t="shared" si="5"/>
        <v>6102</v>
      </c>
      <c r="F22" s="144">
        <f t="shared" si="5"/>
        <v>6385</v>
      </c>
      <c r="G22" s="144">
        <f t="shared" si="5"/>
        <v>6505</v>
      </c>
      <c r="H22" s="144">
        <f t="shared" si="5"/>
        <v>7111</v>
      </c>
      <c r="I22" s="144">
        <f t="shared" si="5"/>
        <v>7689</v>
      </c>
      <c r="J22" s="144">
        <f t="shared" si="5"/>
        <v>8217</v>
      </c>
      <c r="K22" s="144">
        <f t="shared" si="5"/>
        <v>8544</v>
      </c>
      <c r="L22" s="144">
        <f t="shared" si="5"/>
        <v>8855</v>
      </c>
      <c r="M22" s="144">
        <f t="shared" si="5"/>
        <v>9450</v>
      </c>
      <c r="N22" s="144">
        <f t="shared" si="5"/>
        <v>9403</v>
      </c>
      <c r="O22" s="144">
        <f t="shared" si="5"/>
        <v>9593</v>
      </c>
      <c r="P22" s="144">
        <f t="shared" si="5"/>
        <v>10178</v>
      </c>
      <c r="Q22" s="144">
        <f t="shared" si="5"/>
        <v>10313</v>
      </c>
      <c r="R22" s="144">
        <f t="shared" si="5"/>
        <v>10684</v>
      </c>
      <c r="S22" s="144">
        <f t="shared" si="5"/>
        <v>11057</v>
      </c>
      <c r="T22" s="144">
        <f t="shared" si="5"/>
        <v>11114</v>
      </c>
      <c r="U22" s="144">
        <f t="shared" si="5"/>
        <v>11221</v>
      </c>
      <c r="V22" s="144">
        <f t="shared" si="5"/>
        <v>12059</v>
      </c>
      <c r="W22" s="144">
        <f t="shared" si="5"/>
        <v>12216</v>
      </c>
      <c r="X22" s="144">
        <f t="shared" si="5"/>
        <v>12766</v>
      </c>
      <c r="Y22" s="144">
        <f t="shared" si="5"/>
        <v>12021</v>
      </c>
      <c r="Z22" s="144">
        <f t="shared" si="5"/>
        <v>12722</v>
      </c>
      <c r="AA22" s="144">
        <f t="shared" si="5"/>
        <v>14045</v>
      </c>
      <c r="AB22" s="144">
        <f t="shared" si="5"/>
        <v>15406</v>
      </c>
    </row>
    <row r="23" spans="1:28" x14ac:dyDescent="0.2">
      <c r="A23" s="56" t="s">
        <v>179</v>
      </c>
      <c r="B23" s="57" t="s">
        <v>39</v>
      </c>
      <c r="C23" s="144">
        <f t="shared" ref="C23:AB23" si="6">SUM(C40,C52,C59)</f>
        <v>3732</v>
      </c>
      <c r="D23" s="144">
        <f t="shared" si="6"/>
        <v>3847</v>
      </c>
      <c r="E23" s="144">
        <f t="shared" si="6"/>
        <v>4039</v>
      </c>
      <c r="F23" s="144">
        <f t="shared" si="6"/>
        <v>4217</v>
      </c>
      <c r="G23" s="144">
        <f t="shared" si="6"/>
        <v>4308</v>
      </c>
      <c r="H23" s="144">
        <f t="shared" si="6"/>
        <v>4492</v>
      </c>
      <c r="I23" s="144">
        <f t="shared" si="6"/>
        <v>4688</v>
      </c>
      <c r="J23" s="144">
        <f t="shared" si="6"/>
        <v>5011</v>
      </c>
      <c r="K23" s="144">
        <f t="shared" si="6"/>
        <v>5338</v>
      </c>
      <c r="L23" s="144">
        <f t="shared" si="6"/>
        <v>5399</v>
      </c>
      <c r="M23" s="144">
        <f t="shared" si="6"/>
        <v>5654</v>
      </c>
      <c r="N23" s="144">
        <f t="shared" si="6"/>
        <v>5559</v>
      </c>
      <c r="O23" s="144">
        <f t="shared" si="6"/>
        <v>5556</v>
      </c>
      <c r="P23" s="144">
        <f t="shared" si="6"/>
        <v>5626</v>
      </c>
      <c r="Q23" s="144">
        <f t="shared" si="6"/>
        <v>5700</v>
      </c>
      <c r="R23" s="144">
        <f t="shared" si="6"/>
        <v>5828</v>
      </c>
      <c r="S23" s="144">
        <f t="shared" si="6"/>
        <v>6032</v>
      </c>
      <c r="T23" s="144">
        <f t="shared" si="6"/>
        <v>6078</v>
      </c>
      <c r="U23" s="144">
        <f t="shared" si="6"/>
        <v>6183</v>
      </c>
      <c r="V23" s="144">
        <f t="shared" si="6"/>
        <v>6509</v>
      </c>
      <c r="W23" s="144">
        <f t="shared" si="6"/>
        <v>6539</v>
      </c>
      <c r="X23" s="144">
        <f t="shared" si="6"/>
        <v>6680</v>
      </c>
      <c r="Y23" s="144">
        <f t="shared" si="6"/>
        <v>6312</v>
      </c>
      <c r="Z23" s="144">
        <f t="shared" si="6"/>
        <v>6693</v>
      </c>
      <c r="AA23" s="144">
        <f t="shared" si="6"/>
        <v>7444</v>
      </c>
      <c r="AB23" s="144">
        <f t="shared" si="6"/>
        <v>8354</v>
      </c>
    </row>
    <row r="24" spans="1:28" x14ac:dyDescent="0.2">
      <c r="A24" s="56" t="s">
        <v>179</v>
      </c>
      <c r="B24" s="57" t="s">
        <v>40</v>
      </c>
      <c r="C24" s="144">
        <f t="shared" ref="C24:AB24" si="7">SUM(C38,C57)</f>
        <v>3209</v>
      </c>
      <c r="D24" s="144">
        <f t="shared" si="7"/>
        <v>3256</v>
      </c>
      <c r="E24" s="144">
        <f t="shared" si="7"/>
        <v>3426</v>
      </c>
      <c r="F24" s="144">
        <f t="shared" si="7"/>
        <v>3610</v>
      </c>
      <c r="G24" s="144">
        <f t="shared" si="7"/>
        <v>3703</v>
      </c>
      <c r="H24" s="144">
        <f t="shared" si="7"/>
        <v>3898</v>
      </c>
      <c r="I24" s="144">
        <f t="shared" si="7"/>
        <v>4031</v>
      </c>
      <c r="J24" s="144">
        <f t="shared" si="7"/>
        <v>4136</v>
      </c>
      <c r="K24" s="144">
        <f t="shared" si="7"/>
        <v>4378</v>
      </c>
      <c r="L24" s="144">
        <f t="shared" si="7"/>
        <v>4430</v>
      </c>
      <c r="M24" s="144">
        <f t="shared" si="7"/>
        <v>4663</v>
      </c>
      <c r="N24" s="144">
        <f t="shared" si="7"/>
        <v>4555</v>
      </c>
      <c r="O24" s="144">
        <f t="shared" si="7"/>
        <v>4499</v>
      </c>
      <c r="P24" s="144">
        <f t="shared" si="7"/>
        <v>4674</v>
      </c>
      <c r="Q24" s="144">
        <f t="shared" si="7"/>
        <v>4765</v>
      </c>
      <c r="R24" s="144">
        <f t="shared" si="7"/>
        <v>5007</v>
      </c>
      <c r="S24" s="144">
        <f t="shared" si="7"/>
        <v>5296</v>
      </c>
      <c r="T24" s="144">
        <f t="shared" si="7"/>
        <v>5317</v>
      </c>
      <c r="U24" s="144">
        <f t="shared" si="7"/>
        <v>5393</v>
      </c>
      <c r="V24" s="144">
        <f t="shared" si="7"/>
        <v>5708</v>
      </c>
      <c r="W24" s="144">
        <f t="shared" si="7"/>
        <v>5780</v>
      </c>
      <c r="X24" s="144">
        <f t="shared" si="7"/>
        <v>6007</v>
      </c>
      <c r="Y24" s="144">
        <f t="shared" si="7"/>
        <v>5778</v>
      </c>
      <c r="Z24" s="144">
        <f t="shared" si="7"/>
        <v>6099</v>
      </c>
      <c r="AA24" s="144">
        <f t="shared" si="7"/>
        <v>6454</v>
      </c>
      <c r="AB24" s="144">
        <f t="shared" si="7"/>
        <v>6960</v>
      </c>
    </row>
    <row r="25" spans="1:28" ht="36.6" customHeight="1" x14ac:dyDescent="0.2">
      <c r="A25" s="57" t="s">
        <v>180</v>
      </c>
      <c r="B25" s="57" t="s">
        <v>41</v>
      </c>
      <c r="C25" s="144">
        <f t="shared" ref="C25:AB25" si="8">SUM(C35,C51,C54,C58)</f>
        <v>1915</v>
      </c>
      <c r="D25" s="144">
        <f t="shared" si="8"/>
        <v>2016</v>
      </c>
      <c r="E25" s="144">
        <f t="shared" si="8"/>
        <v>2077</v>
      </c>
      <c r="F25" s="144">
        <f t="shared" si="8"/>
        <v>2211</v>
      </c>
      <c r="G25" s="144">
        <f t="shared" si="8"/>
        <v>2238</v>
      </c>
      <c r="H25" s="144">
        <f t="shared" si="8"/>
        <v>2425</v>
      </c>
      <c r="I25" s="144">
        <f t="shared" si="8"/>
        <v>2640</v>
      </c>
      <c r="J25" s="144">
        <f t="shared" si="8"/>
        <v>2862</v>
      </c>
      <c r="K25" s="144">
        <f t="shared" si="8"/>
        <v>2950</v>
      </c>
      <c r="L25" s="144">
        <f t="shared" si="8"/>
        <v>3032</v>
      </c>
      <c r="M25" s="144">
        <f t="shared" si="8"/>
        <v>3226</v>
      </c>
      <c r="N25" s="144">
        <f t="shared" si="8"/>
        <v>3269</v>
      </c>
      <c r="O25" s="144">
        <f t="shared" si="8"/>
        <v>3270</v>
      </c>
      <c r="P25" s="144">
        <f t="shared" si="8"/>
        <v>3484</v>
      </c>
      <c r="Q25" s="144">
        <f t="shared" si="8"/>
        <v>3522</v>
      </c>
      <c r="R25" s="144">
        <f t="shared" si="8"/>
        <v>3549</v>
      </c>
      <c r="S25" s="144">
        <f t="shared" si="8"/>
        <v>3681</v>
      </c>
      <c r="T25" s="144">
        <f t="shared" si="8"/>
        <v>3627</v>
      </c>
      <c r="U25" s="144">
        <f t="shared" si="8"/>
        <v>3632</v>
      </c>
      <c r="V25" s="144">
        <f t="shared" si="8"/>
        <v>3849</v>
      </c>
      <c r="W25" s="144">
        <f t="shared" si="8"/>
        <v>3828</v>
      </c>
      <c r="X25" s="144">
        <f t="shared" si="8"/>
        <v>4086</v>
      </c>
      <c r="Y25" s="144">
        <f t="shared" si="8"/>
        <v>3837</v>
      </c>
      <c r="Z25" s="144">
        <f t="shared" si="8"/>
        <v>4073</v>
      </c>
      <c r="AA25" s="144">
        <f t="shared" si="8"/>
        <v>4362</v>
      </c>
      <c r="AB25" s="144">
        <f t="shared" si="8"/>
        <v>4795</v>
      </c>
    </row>
    <row r="26" spans="1:28" x14ac:dyDescent="0.2">
      <c r="A26" s="56" t="s">
        <v>180</v>
      </c>
      <c r="B26" s="57" t="s">
        <v>42</v>
      </c>
      <c r="C26" s="144">
        <f t="shared" ref="C26:AB26" si="9">SUM(C33:C34,C37:C38,C40,C42,C47,C50,C55,C57,C59)</f>
        <v>16921</v>
      </c>
      <c r="D26" s="144">
        <f t="shared" si="9"/>
        <v>17114</v>
      </c>
      <c r="E26" s="144">
        <f t="shared" si="9"/>
        <v>17704</v>
      </c>
      <c r="F26" s="144">
        <f t="shared" si="9"/>
        <v>18511</v>
      </c>
      <c r="G26" s="144">
        <f t="shared" si="9"/>
        <v>19211</v>
      </c>
      <c r="H26" s="144">
        <f t="shared" si="9"/>
        <v>20255</v>
      </c>
      <c r="I26" s="144">
        <f t="shared" si="9"/>
        <v>21372</v>
      </c>
      <c r="J26" s="144">
        <f t="shared" si="9"/>
        <v>22414</v>
      </c>
      <c r="K26" s="144">
        <f t="shared" si="9"/>
        <v>24264</v>
      </c>
      <c r="L26" s="144">
        <f t="shared" si="9"/>
        <v>25346</v>
      </c>
      <c r="M26" s="144">
        <f t="shared" si="9"/>
        <v>26743</v>
      </c>
      <c r="N26" s="144">
        <f t="shared" si="9"/>
        <v>26468</v>
      </c>
      <c r="O26" s="144">
        <f t="shared" si="9"/>
        <v>26545</v>
      </c>
      <c r="P26" s="144">
        <f t="shared" si="9"/>
        <v>27576</v>
      </c>
      <c r="Q26" s="144">
        <f t="shared" si="9"/>
        <v>28270</v>
      </c>
      <c r="R26" s="144">
        <f t="shared" si="9"/>
        <v>29805</v>
      </c>
      <c r="S26" s="144">
        <f t="shared" si="9"/>
        <v>31577</v>
      </c>
      <c r="T26" s="144">
        <f t="shared" si="9"/>
        <v>31947</v>
      </c>
      <c r="U26" s="144">
        <f t="shared" si="9"/>
        <v>32076</v>
      </c>
      <c r="V26" s="144">
        <f t="shared" si="9"/>
        <v>33908</v>
      </c>
      <c r="W26" s="144">
        <f t="shared" si="9"/>
        <v>34283</v>
      </c>
      <c r="X26" s="144">
        <f t="shared" si="9"/>
        <v>35145</v>
      </c>
      <c r="Y26" s="144">
        <f t="shared" si="9"/>
        <v>32760</v>
      </c>
      <c r="Z26" s="144">
        <f t="shared" si="9"/>
        <v>34516</v>
      </c>
      <c r="AA26" s="144">
        <f t="shared" si="9"/>
        <v>37759</v>
      </c>
      <c r="AB26" s="144">
        <f t="shared" si="9"/>
        <v>41014</v>
      </c>
    </row>
    <row r="27" spans="1:28" x14ac:dyDescent="0.2">
      <c r="A27" s="56" t="s">
        <v>180</v>
      </c>
      <c r="B27" s="57" t="s">
        <v>43</v>
      </c>
      <c r="C27" s="144">
        <f t="shared" ref="C27:AB27" si="10">SUM(C41,C43:C45,C48:C49,C52:C53,C56,C60:C63)</f>
        <v>23919</v>
      </c>
      <c r="D27" s="144">
        <f t="shared" si="10"/>
        <v>24235</v>
      </c>
      <c r="E27" s="144">
        <f t="shared" si="10"/>
        <v>25145</v>
      </c>
      <c r="F27" s="144">
        <f t="shared" si="10"/>
        <v>26359</v>
      </c>
      <c r="G27" s="144">
        <f t="shared" si="10"/>
        <v>27343</v>
      </c>
      <c r="H27" s="144">
        <f t="shared" si="10"/>
        <v>28944</v>
      </c>
      <c r="I27" s="144">
        <f t="shared" si="10"/>
        <v>30536</v>
      </c>
      <c r="J27" s="144">
        <f t="shared" si="10"/>
        <v>32289</v>
      </c>
      <c r="K27" s="144">
        <f t="shared" si="10"/>
        <v>34287</v>
      </c>
      <c r="L27" s="144">
        <f t="shared" si="10"/>
        <v>35023</v>
      </c>
      <c r="M27" s="144">
        <f t="shared" si="10"/>
        <v>36859</v>
      </c>
      <c r="N27" s="144">
        <f t="shared" si="10"/>
        <v>35986</v>
      </c>
      <c r="O27" s="144">
        <f t="shared" si="10"/>
        <v>35934</v>
      </c>
      <c r="P27" s="144">
        <f t="shared" si="10"/>
        <v>36698</v>
      </c>
      <c r="Q27" s="144">
        <f t="shared" si="10"/>
        <v>37592</v>
      </c>
      <c r="R27" s="144">
        <f t="shared" si="10"/>
        <v>39090</v>
      </c>
      <c r="S27" s="144">
        <f t="shared" si="10"/>
        <v>41463</v>
      </c>
      <c r="T27" s="144">
        <f t="shared" si="10"/>
        <v>42463</v>
      </c>
      <c r="U27" s="144">
        <f t="shared" si="10"/>
        <v>43363</v>
      </c>
      <c r="V27" s="144">
        <f t="shared" si="10"/>
        <v>45607</v>
      </c>
      <c r="W27" s="144">
        <f t="shared" si="10"/>
        <v>46295</v>
      </c>
      <c r="X27" s="144">
        <f t="shared" si="10"/>
        <v>48069</v>
      </c>
      <c r="Y27" s="144">
        <f t="shared" si="10"/>
        <v>46163</v>
      </c>
      <c r="Z27" s="144">
        <f t="shared" si="10"/>
        <v>49645</v>
      </c>
      <c r="AA27" s="144">
        <f t="shared" si="10"/>
        <v>53420</v>
      </c>
      <c r="AB27" s="144">
        <f t="shared" si="10"/>
        <v>58560</v>
      </c>
    </row>
    <row r="28" spans="1:28" x14ac:dyDescent="0.2">
      <c r="A28" s="56" t="s">
        <v>180</v>
      </c>
      <c r="B28" s="57" t="s">
        <v>44</v>
      </c>
      <c r="C28" s="144">
        <f t="shared" ref="C28:AB28" si="11">SUM(C32,C36,C39,C46)</f>
        <v>27236</v>
      </c>
      <c r="D28" s="144">
        <f t="shared" si="11"/>
        <v>27654</v>
      </c>
      <c r="E28" s="144">
        <f t="shared" si="11"/>
        <v>28980</v>
      </c>
      <c r="F28" s="144">
        <f t="shared" si="11"/>
        <v>31183</v>
      </c>
      <c r="G28" s="144">
        <f t="shared" si="11"/>
        <v>32617</v>
      </c>
      <c r="H28" s="144">
        <f t="shared" si="11"/>
        <v>34609</v>
      </c>
      <c r="I28" s="144">
        <f t="shared" si="11"/>
        <v>37353</v>
      </c>
      <c r="J28" s="144">
        <f t="shared" si="11"/>
        <v>39815</v>
      </c>
      <c r="K28" s="144">
        <f t="shared" si="11"/>
        <v>42398</v>
      </c>
      <c r="L28" s="144">
        <f t="shared" si="11"/>
        <v>44770</v>
      </c>
      <c r="M28" s="144">
        <f t="shared" si="11"/>
        <v>46461</v>
      </c>
      <c r="N28" s="144">
        <f t="shared" si="11"/>
        <v>47198</v>
      </c>
      <c r="O28" s="144">
        <f t="shared" si="11"/>
        <v>47076</v>
      </c>
      <c r="P28" s="144">
        <f t="shared" si="11"/>
        <v>47901</v>
      </c>
      <c r="Q28" s="144">
        <f t="shared" si="11"/>
        <v>49880</v>
      </c>
      <c r="R28" s="144">
        <f t="shared" si="11"/>
        <v>52196</v>
      </c>
      <c r="S28" s="144">
        <f t="shared" si="11"/>
        <v>53719</v>
      </c>
      <c r="T28" s="144">
        <f t="shared" si="11"/>
        <v>53951</v>
      </c>
      <c r="U28" s="144">
        <f t="shared" si="11"/>
        <v>55085</v>
      </c>
      <c r="V28" s="144">
        <f t="shared" si="11"/>
        <v>57517</v>
      </c>
      <c r="W28" s="144">
        <f t="shared" si="11"/>
        <v>59087</v>
      </c>
      <c r="X28" s="144">
        <f t="shared" si="11"/>
        <v>61953</v>
      </c>
      <c r="Y28" s="144">
        <f t="shared" si="11"/>
        <v>58636</v>
      </c>
      <c r="Z28" s="144">
        <f t="shared" si="11"/>
        <v>63682</v>
      </c>
      <c r="AA28" s="144">
        <f t="shared" si="11"/>
        <v>71322</v>
      </c>
      <c r="AB28" s="144">
        <f t="shared" si="11"/>
        <v>79101</v>
      </c>
    </row>
    <row r="29" spans="1:28" ht="28.5" customHeight="1" x14ac:dyDescent="0.2">
      <c r="A29" s="57" t="s">
        <v>181</v>
      </c>
      <c r="B29" s="57" t="s">
        <v>45</v>
      </c>
      <c r="C29" s="144">
        <f t="shared" ref="C29:AB29" si="12">SUM(C35,C47,C50,C51,C54,C58)</f>
        <v>5649</v>
      </c>
      <c r="D29" s="144">
        <f t="shared" si="12"/>
        <v>5910</v>
      </c>
      <c r="E29" s="144">
        <f t="shared" si="12"/>
        <v>6102</v>
      </c>
      <c r="F29" s="144">
        <f t="shared" si="12"/>
        <v>6385</v>
      </c>
      <c r="G29" s="144">
        <f t="shared" si="12"/>
        <v>6505</v>
      </c>
      <c r="H29" s="144">
        <f t="shared" si="12"/>
        <v>7111</v>
      </c>
      <c r="I29" s="144">
        <f t="shared" si="12"/>
        <v>7689</v>
      </c>
      <c r="J29" s="144">
        <f t="shared" si="12"/>
        <v>8217</v>
      </c>
      <c r="K29" s="144">
        <f t="shared" si="12"/>
        <v>8544</v>
      </c>
      <c r="L29" s="144">
        <f t="shared" si="12"/>
        <v>8855</v>
      </c>
      <c r="M29" s="144">
        <f t="shared" si="12"/>
        <v>9450</v>
      </c>
      <c r="N29" s="144">
        <f t="shared" si="12"/>
        <v>9403</v>
      </c>
      <c r="O29" s="144">
        <f t="shared" si="12"/>
        <v>9593</v>
      </c>
      <c r="P29" s="144">
        <f t="shared" si="12"/>
        <v>10178</v>
      </c>
      <c r="Q29" s="144">
        <f t="shared" si="12"/>
        <v>10313</v>
      </c>
      <c r="R29" s="144">
        <f t="shared" si="12"/>
        <v>10684</v>
      </c>
      <c r="S29" s="144">
        <f t="shared" si="12"/>
        <v>11057</v>
      </c>
      <c r="T29" s="144">
        <f t="shared" si="12"/>
        <v>11114</v>
      </c>
      <c r="U29" s="144">
        <f t="shared" si="12"/>
        <v>11221</v>
      </c>
      <c r="V29" s="144">
        <f t="shared" si="12"/>
        <v>12059</v>
      </c>
      <c r="W29" s="144">
        <f t="shared" si="12"/>
        <v>12216</v>
      </c>
      <c r="X29" s="144">
        <f t="shared" si="12"/>
        <v>12766</v>
      </c>
      <c r="Y29" s="144">
        <f t="shared" si="12"/>
        <v>12021</v>
      </c>
      <c r="Z29" s="144">
        <f t="shared" si="12"/>
        <v>12722</v>
      </c>
      <c r="AA29" s="144">
        <f t="shared" si="12"/>
        <v>14045</v>
      </c>
      <c r="AB29" s="144">
        <f t="shared" si="12"/>
        <v>15406</v>
      </c>
    </row>
    <row r="30" spans="1:28" x14ac:dyDescent="0.2">
      <c r="A30" s="56" t="s">
        <v>181</v>
      </c>
      <c r="B30" s="57" t="s">
        <v>120</v>
      </c>
      <c r="C30" s="144">
        <f t="shared" ref="C30:AB30" si="13">C24</f>
        <v>3209</v>
      </c>
      <c r="D30" s="144">
        <f t="shared" si="13"/>
        <v>3256</v>
      </c>
      <c r="E30" s="144">
        <f t="shared" si="13"/>
        <v>3426</v>
      </c>
      <c r="F30" s="144">
        <f t="shared" si="13"/>
        <v>3610</v>
      </c>
      <c r="G30" s="144">
        <f t="shared" si="13"/>
        <v>3703</v>
      </c>
      <c r="H30" s="144">
        <f t="shared" si="13"/>
        <v>3898</v>
      </c>
      <c r="I30" s="144">
        <f t="shared" si="13"/>
        <v>4031</v>
      </c>
      <c r="J30" s="144">
        <f t="shared" si="13"/>
        <v>4136</v>
      </c>
      <c r="K30" s="144">
        <f t="shared" si="13"/>
        <v>4378</v>
      </c>
      <c r="L30" s="144">
        <f t="shared" si="13"/>
        <v>4430</v>
      </c>
      <c r="M30" s="144">
        <f t="shared" si="13"/>
        <v>4663</v>
      </c>
      <c r="N30" s="144">
        <f t="shared" si="13"/>
        <v>4555</v>
      </c>
      <c r="O30" s="144">
        <f t="shared" si="13"/>
        <v>4499</v>
      </c>
      <c r="P30" s="144">
        <f t="shared" si="13"/>
        <v>4674</v>
      </c>
      <c r="Q30" s="144">
        <f t="shared" si="13"/>
        <v>4765</v>
      </c>
      <c r="R30" s="144">
        <f t="shared" si="13"/>
        <v>5007</v>
      </c>
      <c r="S30" s="144">
        <f t="shared" si="13"/>
        <v>5296</v>
      </c>
      <c r="T30" s="144">
        <f t="shared" si="13"/>
        <v>5317</v>
      </c>
      <c r="U30" s="144">
        <f t="shared" si="13"/>
        <v>5393</v>
      </c>
      <c r="V30" s="144">
        <f t="shared" si="13"/>
        <v>5708</v>
      </c>
      <c r="W30" s="144">
        <f t="shared" si="13"/>
        <v>5780</v>
      </c>
      <c r="X30" s="144">
        <f t="shared" si="13"/>
        <v>6007</v>
      </c>
      <c r="Y30" s="144">
        <f t="shared" si="13"/>
        <v>5778</v>
      </c>
      <c r="Z30" s="144">
        <f t="shared" si="13"/>
        <v>6099</v>
      </c>
      <c r="AA30" s="144">
        <f t="shared" si="13"/>
        <v>6454</v>
      </c>
      <c r="AB30" s="144">
        <f t="shared" si="13"/>
        <v>6960</v>
      </c>
    </row>
    <row r="31" spans="1:28" x14ac:dyDescent="0.2">
      <c r="A31" s="56" t="s">
        <v>181</v>
      </c>
      <c r="B31" s="57" t="s">
        <v>46</v>
      </c>
      <c r="C31" s="144">
        <f t="shared" ref="C31:AB31" si="14">C16-SUM(C29:C30)</f>
        <v>61132</v>
      </c>
      <c r="D31" s="144">
        <f t="shared" si="14"/>
        <v>61853</v>
      </c>
      <c r="E31" s="144">
        <f t="shared" si="14"/>
        <v>64377</v>
      </c>
      <c r="F31" s="144">
        <f t="shared" si="14"/>
        <v>68268</v>
      </c>
      <c r="G31" s="144">
        <f t="shared" si="14"/>
        <v>71200</v>
      </c>
      <c r="H31" s="144">
        <f t="shared" si="14"/>
        <v>75222</v>
      </c>
      <c r="I31" s="144">
        <f t="shared" si="14"/>
        <v>80179</v>
      </c>
      <c r="J31" s="144">
        <f t="shared" si="14"/>
        <v>85028</v>
      </c>
      <c r="K31" s="144">
        <f t="shared" si="14"/>
        <v>90976</v>
      </c>
      <c r="L31" s="144">
        <f t="shared" si="14"/>
        <v>94883</v>
      </c>
      <c r="M31" s="144">
        <f t="shared" si="14"/>
        <v>99176</v>
      </c>
      <c r="N31" s="144">
        <f t="shared" si="14"/>
        <v>98962</v>
      </c>
      <c r="O31" s="144">
        <f t="shared" si="14"/>
        <v>98735</v>
      </c>
      <c r="P31" s="144">
        <f t="shared" si="14"/>
        <v>100810</v>
      </c>
      <c r="Q31" s="144">
        <f t="shared" si="14"/>
        <v>104187</v>
      </c>
      <c r="R31" s="144">
        <f t="shared" si="14"/>
        <v>108947</v>
      </c>
      <c r="S31" s="144">
        <f t="shared" si="14"/>
        <v>114087</v>
      </c>
      <c r="T31" s="144">
        <f t="shared" si="14"/>
        <v>115557</v>
      </c>
      <c r="U31" s="144">
        <f t="shared" si="14"/>
        <v>117541</v>
      </c>
      <c r="V31" s="144">
        <f t="shared" si="14"/>
        <v>123114</v>
      </c>
      <c r="W31" s="144">
        <f t="shared" si="14"/>
        <v>125496</v>
      </c>
      <c r="X31" s="144">
        <f t="shared" si="14"/>
        <v>130481</v>
      </c>
      <c r="Y31" s="144">
        <f t="shared" si="14"/>
        <v>123599</v>
      </c>
      <c r="Z31" s="144">
        <f t="shared" si="14"/>
        <v>133095</v>
      </c>
      <c r="AA31" s="144">
        <f t="shared" si="14"/>
        <v>146367</v>
      </c>
      <c r="AB31" s="144">
        <f t="shared" si="14"/>
        <v>161105</v>
      </c>
    </row>
    <row r="32" spans="1:28" ht="30" customHeight="1" x14ac:dyDescent="0.2">
      <c r="A32" s="57" t="s">
        <v>47</v>
      </c>
      <c r="B32" s="57" t="s">
        <v>22</v>
      </c>
      <c r="C32" s="160">
        <v>5041</v>
      </c>
      <c r="D32" s="160">
        <v>5044</v>
      </c>
      <c r="E32" s="160">
        <v>5130</v>
      </c>
      <c r="F32" s="160">
        <v>5557</v>
      </c>
      <c r="G32" s="160">
        <v>5810</v>
      </c>
      <c r="H32" s="160">
        <v>5900</v>
      </c>
      <c r="I32" s="160">
        <v>6237</v>
      </c>
      <c r="J32" s="160">
        <v>6598</v>
      </c>
      <c r="K32" s="160">
        <v>7532</v>
      </c>
      <c r="L32" s="160">
        <v>8452</v>
      </c>
      <c r="M32" s="160">
        <v>9453</v>
      </c>
      <c r="N32" s="160">
        <v>9285</v>
      </c>
      <c r="O32" s="160">
        <v>9634</v>
      </c>
      <c r="P32" s="160">
        <v>9864</v>
      </c>
      <c r="Q32" s="160">
        <v>10658</v>
      </c>
      <c r="R32" s="160">
        <v>11273</v>
      </c>
      <c r="S32" s="160">
        <v>11445</v>
      </c>
      <c r="T32" s="160">
        <v>10947</v>
      </c>
      <c r="U32" s="160">
        <v>9822</v>
      </c>
      <c r="V32" s="160">
        <v>9568</v>
      </c>
      <c r="W32" s="160">
        <v>9901</v>
      </c>
      <c r="X32" s="160">
        <v>10272</v>
      </c>
      <c r="Y32" s="145">
        <v>9247</v>
      </c>
      <c r="Z32" s="145">
        <v>9406</v>
      </c>
      <c r="AA32" s="145">
        <v>10231</v>
      </c>
      <c r="AB32" s="159">
        <v>11099</v>
      </c>
    </row>
    <row r="33" spans="1:28" x14ac:dyDescent="0.2">
      <c r="A33" s="56" t="s">
        <v>47</v>
      </c>
      <c r="B33" s="57" t="s">
        <v>23</v>
      </c>
      <c r="C33" s="160">
        <v>3196</v>
      </c>
      <c r="D33" s="160">
        <v>3175</v>
      </c>
      <c r="E33" s="160">
        <v>3282</v>
      </c>
      <c r="F33" s="160">
        <v>3516</v>
      </c>
      <c r="G33" s="160">
        <v>3662</v>
      </c>
      <c r="H33" s="160">
        <v>3681</v>
      </c>
      <c r="I33" s="160">
        <v>3896</v>
      </c>
      <c r="J33" s="160">
        <v>4108</v>
      </c>
      <c r="K33" s="160">
        <v>4629</v>
      </c>
      <c r="L33" s="160">
        <v>5143</v>
      </c>
      <c r="M33" s="160">
        <v>5600</v>
      </c>
      <c r="N33" s="160">
        <v>5488</v>
      </c>
      <c r="O33" s="160">
        <v>5536</v>
      </c>
      <c r="P33" s="160">
        <v>5803</v>
      </c>
      <c r="Q33" s="160">
        <v>5940</v>
      </c>
      <c r="R33" s="160">
        <v>6399</v>
      </c>
      <c r="S33" s="160">
        <v>7020</v>
      </c>
      <c r="T33" s="160">
        <v>6993</v>
      </c>
      <c r="U33" s="160">
        <v>6660</v>
      </c>
      <c r="V33" s="160">
        <v>6952</v>
      </c>
      <c r="W33" s="160">
        <v>6784</v>
      </c>
      <c r="X33" s="160">
        <v>6676</v>
      </c>
      <c r="Y33" s="145">
        <v>6189</v>
      </c>
      <c r="Z33" s="145">
        <v>6429</v>
      </c>
      <c r="AA33" s="145">
        <v>6796</v>
      </c>
      <c r="AB33" s="159">
        <v>7252</v>
      </c>
    </row>
    <row r="34" spans="1:28" x14ac:dyDescent="0.2">
      <c r="A34" s="56" t="s">
        <v>47</v>
      </c>
      <c r="B34" s="57" t="s">
        <v>29</v>
      </c>
      <c r="C34" s="160">
        <v>1072</v>
      </c>
      <c r="D34" s="160">
        <v>1091</v>
      </c>
      <c r="E34" s="160">
        <v>1132</v>
      </c>
      <c r="F34" s="160">
        <v>1152</v>
      </c>
      <c r="G34" s="160">
        <v>1183</v>
      </c>
      <c r="H34" s="160">
        <v>1247</v>
      </c>
      <c r="I34" s="160">
        <v>1282</v>
      </c>
      <c r="J34" s="160">
        <v>1324</v>
      </c>
      <c r="K34" s="160">
        <v>1475</v>
      </c>
      <c r="L34" s="160">
        <v>1546</v>
      </c>
      <c r="M34" s="160">
        <v>1583</v>
      </c>
      <c r="N34" s="160">
        <v>1531</v>
      </c>
      <c r="O34" s="160">
        <v>1541</v>
      </c>
      <c r="P34" s="160">
        <v>1563</v>
      </c>
      <c r="Q34" s="160">
        <v>1589</v>
      </c>
      <c r="R34" s="160">
        <v>1694</v>
      </c>
      <c r="S34" s="160">
        <v>1820</v>
      </c>
      <c r="T34" s="160">
        <v>1760</v>
      </c>
      <c r="U34" s="160">
        <v>1868</v>
      </c>
      <c r="V34" s="160">
        <v>1899</v>
      </c>
      <c r="W34" s="160">
        <v>1973</v>
      </c>
      <c r="X34" s="160">
        <v>2117</v>
      </c>
      <c r="Y34" s="145">
        <v>1944</v>
      </c>
      <c r="Z34" s="145">
        <v>2157</v>
      </c>
      <c r="AA34" s="145">
        <v>2410</v>
      </c>
      <c r="AB34" s="159">
        <v>2546</v>
      </c>
    </row>
    <row r="35" spans="1:28" x14ac:dyDescent="0.2">
      <c r="A35" s="56" t="s">
        <v>47</v>
      </c>
      <c r="B35" s="57" t="s">
        <v>24</v>
      </c>
      <c r="C35" s="160">
        <v>1013</v>
      </c>
      <c r="D35" s="160">
        <v>1067</v>
      </c>
      <c r="E35" s="160">
        <v>1105</v>
      </c>
      <c r="F35" s="160">
        <v>1177</v>
      </c>
      <c r="G35" s="160">
        <v>1195</v>
      </c>
      <c r="H35" s="160">
        <v>1297</v>
      </c>
      <c r="I35" s="160">
        <v>1403</v>
      </c>
      <c r="J35" s="160">
        <v>1536</v>
      </c>
      <c r="K35" s="160">
        <v>1583</v>
      </c>
      <c r="L35" s="160">
        <v>1630</v>
      </c>
      <c r="M35" s="160">
        <v>1723</v>
      </c>
      <c r="N35" s="160">
        <v>1716</v>
      </c>
      <c r="O35" s="160">
        <v>1695</v>
      </c>
      <c r="P35" s="160">
        <v>1788</v>
      </c>
      <c r="Q35" s="160">
        <v>1807</v>
      </c>
      <c r="R35" s="160">
        <v>1820</v>
      </c>
      <c r="S35" s="160">
        <v>1869</v>
      </c>
      <c r="T35" s="160">
        <v>1850</v>
      </c>
      <c r="U35" s="160">
        <v>1892</v>
      </c>
      <c r="V35" s="160">
        <v>2028</v>
      </c>
      <c r="W35" s="160">
        <v>2035</v>
      </c>
      <c r="X35" s="160">
        <v>2148</v>
      </c>
      <c r="Y35" s="145">
        <v>2013</v>
      </c>
      <c r="Z35" s="145">
        <v>2162</v>
      </c>
      <c r="AA35" s="145">
        <v>2352</v>
      </c>
      <c r="AB35" s="159">
        <v>2596</v>
      </c>
    </row>
    <row r="36" spans="1:28" x14ac:dyDescent="0.2">
      <c r="A36" s="56" t="s">
        <v>47</v>
      </c>
      <c r="B36" s="57" t="s">
        <v>25</v>
      </c>
      <c r="C36" s="160">
        <v>9619</v>
      </c>
      <c r="D36" s="160">
        <v>9736</v>
      </c>
      <c r="E36" s="160">
        <v>10501</v>
      </c>
      <c r="F36" s="160">
        <v>11374</v>
      </c>
      <c r="G36" s="160">
        <v>12215</v>
      </c>
      <c r="H36" s="160">
        <v>13257</v>
      </c>
      <c r="I36" s="160">
        <v>14480</v>
      </c>
      <c r="J36" s="160">
        <v>15313</v>
      </c>
      <c r="K36" s="160">
        <v>16067</v>
      </c>
      <c r="L36" s="160">
        <v>16917</v>
      </c>
      <c r="M36" s="160">
        <v>16929</v>
      </c>
      <c r="N36" s="160">
        <v>17820</v>
      </c>
      <c r="O36" s="160">
        <v>17762</v>
      </c>
      <c r="P36" s="160">
        <v>17777</v>
      </c>
      <c r="Q36" s="160">
        <v>18591</v>
      </c>
      <c r="R36" s="160">
        <v>19337</v>
      </c>
      <c r="S36" s="160">
        <v>20048</v>
      </c>
      <c r="T36" s="160">
        <v>20534</v>
      </c>
      <c r="U36" s="160">
        <v>22408</v>
      </c>
      <c r="V36" s="160">
        <v>23901</v>
      </c>
      <c r="W36" s="160">
        <v>24657</v>
      </c>
      <c r="X36" s="160">
        <v>25781</v>
      </c>
      <c r="Y36" s="145">
        <v>24293</v>
      </c>
      <c r="Z36" s="145">
        <v>26869</v>
      </c>
      <c r="AA36" s="145">
        <v>30599</v>
      </c>
      <c r="AB36" s="159">
        <v>34281</v>
      </c>
    </row>
    <row r="37" spans="1:28" x14ac:dyDescent="0.2">
      <c r="A37" s="56" t="s">
        <v>47</v>
      </c>
      <c r="B37" s="57" t="s">
        <v>2</v>
      </c>
      <c r="C37" s="160">
        <v>426</v>
      </c>
      <c r="D37" s="160">
        <v>444</v>
      </c>
      <c r="E37" s="160">
        <v>459</v>
      </c>
      <c r="F37" s="160">
        <v>459</v>
      </c>
      <c r="G37" s="160">
        <v>482</v>
      </c>
      <c r="H37" s="160">
        <v>519</v>
      </c>
      <c r="I37" s="160">
        <v>551</v>
      </c>
      <c r="J37" s="160">
        <v>589</v>
      </c>
      <c r="K37" s="160">
        <v>636</v>
      </c>
      <c r="L37" s="160">
        <v>688</v>
      </c>
      <c r="M37" s="160">
        <v>709</v>
      </c>
      <c r="N37" s="160">
        <v>692</v>
      </c>
      <c r="O37" s="160">
        <v>679</v>
      </c>
      <c r="P37" s="160">
        <v>703</v>
      </c>
      <c r="Q37" s="160">
        <v>706</v>
      </c>
      <c r="R37" s="160">
        <v>712</v>
      </c>
      <c r="S37" s="160">
        <v>804</v>
      </c>
      <c r="T37" s="160">
        <v>853</v>
      </c>
      <c r="U37" s="160">
        <v>898</v>
      </c>
      <c r="V37" s="160">
        <v>934</v>
      </c>
      <c r="W37" s="160">
        <v>1043</v>
      </c>
      <c r="X37" s="160">
        <v>1093</v>
      </c>
      <c r="Y37" s="145">
        <v>1022</v>
      </c>
      <c r="Z37" s="145">
        <v>1123</v>
      </c>
      <c r="AA37" s="145">
        <v>1279</v>
      </c>
      <c r="AB37" s="159">
        <v>1239</v>
      </c>
    </row>
    <row r="38" spans="1:28" x14ac:dyDescent="0.2">
      <c r="A38" s="56" t="s">
        <v>47</v>
      </c>
      <c r="B38" s="57" t="s">
        <v>3</v>
      </c>
      <c r="C38" s="160">
        <v>1883</v>
      </c>
      <c r="D38" s="160">
        <v>1944</v>
      </c>
      <c r="E38" s="160">
        <v>2071</v>
      </c>
      <c r="F38" s="160">
        <v>2201</v>
      </c>
      <c r="G38" s="160">
        <v>2241</v>
      </c>
      <c r="H38" s="160">
        <v>2380</v>
      </c>
      <c r="I38" s="160">
        <v>2469</v>
      </c>
      <c r="J38" s="160">
        <v>2532</v>
      </c>
      <c r="K38" s="160">
        <v>2667</v>
      </c>
      <c r="L38" s="160">
        <v>2692</v>
      </c>
      <c r="M38" s="160">
        <v>2856</v>
      </c>
      <c r="N38" s="160">
        <v>2786</v>
      </c>
      <c r="O38" s="160">
        <v>2714</v>
      </c>
      <c r="P38" s="160">
        <v>2831</v>
      </c>
      <c r="Q38" s="160">
        <v>2893</v>
      </c>
      <c r="R38" s="160">
        <v>3044</v>
      </c>
      <c r="S38" s="160">
        <v>3182</v>
      </c>
      <c r="T38" s="160">
        <v>3164</v>
      </c>
      <c r="U38" s="160">
        <v>3228</v>
      </c>
      <c r="V38" s="160">
        <v>3424</v>
      </c>
      <c r="W38" s="160">
        <v>3395</v>
      </c>
      <c r="X38" s="160">
        <v>3566</v>
      </c>
      <c r="Y38" s="145">
        <v>3413</v>
      </c>
      <c r="Z38" s="145">
        <v>3568</v>
      </c>
      <c r="AA38" s="145">
        <v>3805</v>
      </c>
      <c r="AB38" s="159">
        <v>4150</v>
      </c>
    </row>
    <row r="39" spans="1:28" x14ac:dyDescent="0.2">
      <c r="A39" s="56" t="s">
        <v>47</v>
      </c>
      <c r="B39" s="57" t="s">
        <v>30</v>
      </c>
      <c r="C39" s="160">
        <v>1824</v>
      </c>
      <c r="D39" s="160">
        <v>1833</v>
      </c>
      <c r="E39" s="160">
        <v>1976</v>
      </c>
      <c r="F39" s="160">
        <v>2066</v>
      </c>
      <c r="G39" s="160">
        <v>2158</v>
      </c>
      <c r="H39" s="160">
        <v>2311</v>
      </c>
      <c r="I39" s="160">
        <v>2436</v>
      </c>
      <c r="J39" s="160">
        <v>2527</v>
      </c>
      <c r="K39" s="160">
        <v>2603</v>
      </c>
      <c r="L39" s="160">
        <v>2710</v>
      </c>
      <c r="M39" s="160">
        <v>2778</v>
      </c>
      <c r="N39" s="160">
        <v>2779</v>
      </c>
      <c r="O39" s="160">
        <v>2814</v>
      </c>
      <c r="P39" s="160">
        <v>2904</v>
      </c>
      <c r="Q39" s="160">
        <v>2983</v>
      </c>
      <c r="R39" s="160">
        <v>3082</v>
      </c>
      <c r="S39" s="160">
        <v>3180</v>
      </c>
      <c r="T39" s="160">
        <v>3250</v>
      </c>
      <c r="U39" s="160">
        <v>3264</v>
      </c>
      <c r="V39" s="160">
        <v>3368</v>
      </c>
      <c r="W39" s="160">
        <v>3454</v>
      </c>
      <c r="X39" s="160">
        <v>3629</v>
      </c>
      <c r="Y39" s="145">
        <v>3458</v>
      </c>
      <c r="Z39" s="145">
        <v>3667</v>
      </c>
      <c r="AA39" s="145">
        <v>3872</v>
      </c>
      <c r="AB39" s="159">
        <v>4330</v>
      </c>
    </row>
    <row r="40" spans="1:28" x14ac:dyDescent="0.2">
      <c r="A40" s="56" t="s">
        <v>47</v>
      </c>
      <c r="B40" s="57" t="s">
        <v>4</v>
      </c>
      <c r="C40" s="160">
        <v>1068</v>
      </c>
      <c r="D40" s="160">
        <v>1103</v>
      </c>
      <c r="E40" s="160">
        <v>1150</v>
      </c>
      <c r="F40" s="160">
        <v>1229</v>
      </c>
      <c r="G40" s="160">
        <v>1258</v>
      </c>
      <c r="H40" s="160">
        <v>1299</v>
      </c>
      <c r="I40" s="160">
        <v>1362</v>
      </c>
      <c r="J40" s="160">
        <v>1478</v>
      </c>
      <c r="K40" s="160">
        <v>1580</v>
      </c>
      <c r="L40" s="160">
        <v>1631</v>
      </c>
      <c r="M40" s="160">
        <v>1714</v>
      </c>
      <c r="N40" s="160">
        <v>1683</v>
      </c>
      <c r="O40" s="160">
        <v>1654</v>
      </c>
      <c r="P40" s="160">
        <v>1674</v>
      </c>
      <c r="Q40" s="160">
        <v>1689</v>
      </c>
      <c r="R40" s="160">
        <v>1700</v>
      </c>
      <c r="S40" s="160">
        <v>1741</v>
      </c>
      <c r="T40" s="160">
        <v>1771</v>
      </c>
      <c r="U40" s="160">
        <v>1798</v>
      </c>
      <c r="V40" s="160">
        <v>1946</v>
      </c>
      <c r="W40" s="160">
        <v>1898</v>
      </c>
      <c r="X40" s="160">
        <v>1911</v>
      </c>
      <c r="Y40" s="145">
        <v>1840</v>
      </c>
      <c r="Z40" s="145">
        <v>1975</v>
      </c>
      <c r="AA40" s="145">
        <v>2134</v>
      </c>
      <c r="AB40" s="159">
        <v>2384</v>
      </c>
    </row>
    <row r="41" spans="1:28" x14ac:dyDescent="0.2">
      <c r="A41" s="56" t="s">
        <v>47</v>
      </c>
      <c r="B41" s="57" t="s">
        <v>32</v>
      </c>
      <c r="C41" s="160">
        <v>743</v>
      </c>
      <c r="D41" s="160">
        <v>761</v>
      </c>
      <c r="E41" s="160">
        <v>779</v>
      </c>
      <c r="F41" s="160">
        <v>813</v>
      </c>
      <c r="G41" s="160">
        <v>831</v>
      </c>
      <c r="H41" s="160">
        <v>880</v>
      </c>
      <c r="I41" s="160">
        <v>915</v>
      </c>
      <c r="J41" s="160">
        <v>980</v>
      </c>
      <c r="K41" s="160">
        <v>1018</v>
      </c>
      <c r="L41" s="160">
        <v>1013</v>
      </c>
      <c r="M41" s="160">
        <v>1039</v>
      </c>
      <c r="N41" s="160">
        <v>1002</v>
      </c>
      <c r="O41" s="160">
        <v>979</v>
      </c>
      <c r="P41" s="160">
        <v>1013</v>
      </c>
      <c r="Q41" s="160">
        <v>1051</v>
      </c>
      <c r="R41" s="160">
        <v>1108</v>
      </c>
      <c r="S41" s="160">
        <v>1210</v>
      </c>
      <c r="T41" s="160">
        <v>1259</v>
      </c>
      <c r="U41" s="160">
        <v>1280</v>
      </c>
      <c r="V41" s="160">
        <v>1381</v>
      </c>
      <c r="W41" s="160">
        <v>1420</v>
      </c>
      <c r="X41" s="160">
        <v>1456</v>
      </c>
      <c r="Y41" s="145">
        <v>1310</v>
      </c>
      <c r="Z41" s="145">
        <v>1464</v>
      </c>
      <c r="AA41" s="145">
        <v>1621</v>
      </c>
      <c r="AB41" s="159">
        <v>1720</v>
      </c>
    </row>
    <row r="42" spans="1:28" x14ac:dyDescent="0.2">
      <c r="A42" s="56" t="s">
        <v>47</v>
      </c>
      <c r="B42" s="57" t="s">
        <v>5</v>
      </c>
      <c r="C42" s="160">
        <v>759</v>
      </c>
      <c r="D42" s="160">
        <v>767</v>
      </c>
      <c r="E42" s="160">
        <v>792</v>
      </c>
      <c r="F42" s="160">
        <v>817</v>
      </c>
      <c r="G42" s="160">
        <v>872</v>
      </c>
      <c r="H42" s="160">
        <v>935</v>
      </c>
      <c r="I42" s="160">
        <v>985</v>
      </c>
      <c r="J42" s="160">
        <v>1012</v>
      </c>
      <c r="K42" s="160">
        <v>1115</v>
      </c>
      <c r="L42" s="160">
        <v>1161</v>
      </c>
      <c r="M42" s="160">
        <v>1177</v>
      </c>
      <c r="N42" s="160">
        <v>1151</v>
      </c>
      <c r="O42" s="160">
        <v>1164</v>
      </c>
      <c r="P42" s="160">
        <v>1201</v>
      </c>
      <c r="Q42" s="160">
        <v>1243</v>
      </c>
      <c r="R42" s="160">
        <v>1367</v>
      </c>
      <c r="S42" s="160">
        <v>1452</v>
      </c>
      <c r="T42" s="160">
        <v>1489</v>
      </c>
      <c r="U42" s="160">
        <v>1568</v>
      </c>
      <c r="V42" s="160">
        <v>1668</v>
      </c>
      <c r="W42" s="160">
        <v>1755</v>
      </c>
      <c r="X42" s="160">
        <v>1830</v>
      </c>
      <c r="Y42" s="145">
        <v>1716</v>
      </c>
      <c r="Z42" s="145">
        <v>1849</v>
      </c>
      <c r="AA42" s="145">
        <v>2072</v>
      </c>
      <c r="AB42" s="159">
        <v>2351</v>
      </c>
    </row>
    <row r="43" spans="1:28" x14ac:dyDescent="0.2">
      <c r="A43" s="56" t="s">
        <v>47</v>
      </c>
      <c r="B43" s="57" t="s">
        <v>6</v>
      </c>
      <c r="C43" s="160">
        <v>553</v>
      </c>
      <c r="D43" s="160">
        <v>570</v>
      </c>
      <c r="E43" s="160">
        <v>598</v>
      </c>
      <c r="F43" s="160">
        <v>621</v>
      </c>
      <c r="G43" s="160">
        <v>642</v>
      </c>
      <c r="H43" s="160">
        <v>674</v>
      </c>
      <c r="I43" s="160">
        <v>708</v>
      </c>
      <c r="J43" s="160">
        <v>714</v>
      </c>
      <c r="K43" s="160">
        <v>739</v>
      </c>
      <c r="L43" s="160">
        <v>742</v>
      </c>
      <c r="M43" s="160">
        <v>797</v>
      </c>
      <c r="N43" s="160">
        <v>758</v>
      </c>
      <c r="O43" s="160">
        <v>756</v>
      </c>
      <c r="P43" s="160">
        <v>769</v>
      </c>
      <c r="Q43" s="160">
        <v>820</v>
      </c>
      <c r="R43" s="160">
        <v>891</v>
      </c>
      <c r="S43" s="160">
        <v>955</v>
      </c>
      <c r="T43" s="160">
        <v>992</v>
      </c>
      <c r="U43" s="160">
        <v>1019</v>
      </c>
      <c r="V43" s="160">
        <v>1076</v>
      </c>
      <c r="W43" s="160">
        <v>1084</v>
      </c>
      <c r="X43" s="160">
        <v>1087</v>
      </c>
      <c r="Y43" s="145">
        <v>1072</v>
      </c>
      <c r="Z43" s="145">
        <v>1176</v>
      </c>
      <c r="AA43" s="145">
        <v>1273</v>
      </c>
      <c r="AB43" s="159">
        <v>1415</v>
      </c>
    </row>
    <row r="44" spans="1:28" x14ac:dyDescent="0.2">
      <c r="A44" s="56" t="s">
        <v>47</v>
      </c>
      <c r="B44" s="57" t="s">
        <v>8</v>
      </c>
      <c r="C44" s="160">
        <v>2069</v>
      </c>
      <c r="D44" s="160">
        <v>2044</v>
      </c>
      <c r="E44" s="160">
        <v>2114</v>
      </c>
      <c r="F44" s="160">
        <v>2197</v>
      </c>
      <c r="G44" s="160">
        <v>2273</v>
      </c>
      <c r="H44" s="160">
        <v>2457</v>
      </c>
      <c r="I44" s="160">
        <v>2605</v>
      </c>
      <c r="J44" s="160">
        <v>2798</v>
      </c>
      <c r="K44" s="160">
        <v>2971</v>
      </c>
      <c r="L44" s="160">
        <v>3027</v>
      </c>
      <c r="M44" s="160">
        <v>3259</v>
      </c>
      <c r="N44" s="160">
        <v>3202</v>
      </c>
      <c r="O44" s="160">
        <v>3232</v>
      </c>
      <c r="P44" s="160">
        <v>3194</v>
      </c>
      <c r="Q44" s="160">
        <v>3180</v>
      </c>
      <c r="R44" s="160">
        <v>3292</v>
      </c>
      <c r="S44" s="160">
        <v>3422</v>
      </c>
      <c r="T44" s="160">
        <v>3569</v>
      </c>
      <c r="U44" s="160">
        <v>3568</v>
      </c>
      <c r="V44" s="160">
        <v>3677</v>
      </c>
      <c r="W44" s="160">
        <v>3821</v>
      </c>
      <c r="X44" s="160">
        <v>4005</v>
      </c>
      <c r="Y44" s="145">
        <v>3813</v>
      </c>
      <c r="Z44" s="145">
        <v>4043</v>
      </c>
      <c r="AA44" s="145">
        <v>4256</v>
      </c>
      <c r="AB44" s="159">
        <v>4475</v>
      </c>
    </row>
    <row r="45" spans="1:28" x14ac:dyDescent="0.2">
      <c r="A45" s="56" t="s">
        <v>47</v>
      </c>
      <c r="B45" s="57" t="s">
        <v>9</v>
      </c>
      <c r="C45" s="160">
        <v>3814</v>
      </c>
      <c r="D45" s="160">
        <v>3859</v>
      </c>
      <c r="E45" s="160">
        <v>4000</v>
      </c>
      <c r="F45" s="160">
        <v>4122</v>
      </c>
      <c r="G45" s="160">
        <v>4293</v>
      </c>
      <c r="H45" s="160">
        <v>4512</v>
      </c>
      <c r="I45" s="160">
        <v>4722</v>
      </c>
      <c r="J45" s="160">
        <v>4925</v>
      </c>
      <c r="K45" s="160">
        <v>5360</v>
      </c>
      <c r="L45" s="160">
        <v>5559</v>
      </c>
      <c r="M45" s="160">
        <v>5804</v>
      </c>
      <c r="N45" s="160">
        <v>5635</v>
      </c>
      <c r="O45" s="160">
        <v>5679</v>
      </c>
      <c r="P45" s="160">
        <v>5736</v>
      </c>
      <c r="Q45" s="160">
        <v>5961</v>
      </c>
      <c r="R45" s="160">
        <v>6261</v>
      </c>
      <c r="S45" s="160">
        <v>6548</v>
      </c>
      <c r="T45" s="160">
        <v>6695</v>
      </c>
      <c r="U45" s="160">
        <v>6916</v>
      </c>
      <c r="V45" s="160">
        <v>7151</v>
      </c>
      <c r="W45" s="160">
        <v>7044</v>
      </c>
      <c r="X45" s="160">
        <v>7348</v>
      </c>
      <c r="Y45" s="145">
        <v>7235</v>
      </c>
      <c r="Z45" s="145">
        <v>7661</v>
      </c>
      <c r="AA45" s="145">
        <v>8291</v>
      </c>
      <c r="AB45" s="159">
        <v>8837</v>
      </c>
    </row>
    <row r="46" spans="1:28" x14ac:dyDescent="0.2">
      <c r="A46" s="56" t="s">
        <v>47</v>
      </c>
      <c r="B46" s="57" t="s">
        <v>33</v>
      </c>
      <c r="C46" s="160">
        <v>10752</v>
      </c>
      <c r="D46" s="160">
        <v>11041</v>
      </c>
      <c r="E46" s="160">
        <v>11373</v>
      </c>
      <c r="F46" s="160">
        <v>12186</v>
      </c>
      <c r="G46" s="160">
        <v>12434</v>
      </c>
      <c r="H46" s="160">
        <v>13141</v>
      </c>
      <c r="I46" s="160">
        <v>14200</v>
      </c>
      <c r="J46" s="160">
        <v>15377</v>
      </c>
      <c r="K46" s="160">
        <v>16196</v>
      </c>
      <c r="L46" s="160">
        <v>16691</v>
      </c>
      <c r="M46" s="160">
        <v>17301</v>
      </c>
      <c r="N46" s="160">
        <v>17314</v>
      </c>
      <c r="O46" s="160">
        <v>16866</v>
      </c>
      <c r="P46" s="160">
        <v>17356</v>
      </c>
      <c r="Q46" s="160">
        <v>17648</v>
      </c>
      <c r="R46" s="160">
        <v>18504</v>
      </c>
      <c r="S46" s="160">
        <v>19046</v>
      </c>
      <c r="T46" s="160">
        <v>19220</v>
      </c>
      <c r="U46" s="160">
        <v>19591</v>
      </c>
      <c r="V46" s="160">
        <v>20680</v>
      </c>
      <c r="W46" s="160">
        <v>21075</v>
      </c>
      <c r="X46" s="160">
        <v>22271</v>
      </c>
      <c r="Y46" s="145">
        <v>21638</v>
      </c>
      <c r="Z46" s="145">
        <v>23740</v>
      </c>
      <c r="AA46" s="145">
        <v>26620</v>
      </c>
      <c r="AB46" s="159">
        <v>29391</v>
      </c>
    </row>
    <row r="47" spans="1:28" x14ac:dyDescent="0.2">
      <c r="A47" s="56" t="s">
        <v>47</v>
      </c>
      <c r="B47" s="57" t="s">
        <v>10</v>
      </c>
      <c r="C47" s="160">
        <v>2668</v>
      </c>
      <c r="D47" s="160">
        <v>2801</v>
      </c>
      <c r="E47" s="160">
        <v>2904</v>
      </c>
      <c r="F47" s="160">
        <v>3031</v>
      </c>
      <c r="G47" s="160">
        <v>3085</v>
      </c>
      <c r="H47" s="160">
        <v>3403</v>
      </c>
      <c r="I47" s="160">
        <v>3683</v>
      </c>
      <c r="J47" s="160">
        <v>3918</v>
      </c>
      <c r="K47" s="160">
        <v>4076</v>
      </c>
      <c r="L47" s="160">
        <v>4204</v>
      </c>
      <c r="M47" s="160">
        <v>4413</v>
      </c>
      <c r="N47" s="160">
        <v>4316</v>
      </c>
      <c r="O47" s="160">
        <v>4524</v>
      </c>
      <c r="P47" s="160">
        <v>4805</v>
      </c>
      <c r="Q47" s="160">
        <v>4938</v>
      </c>
      <c r="R47" s="160">
        <v>5216</v>
      </c>
      <c r="S47" s="160">
        <v>5427</v>
      </c>
      <c r="T47" s="160">
        <v>5495</v>
      </c>
      <c r="U47" s="160">
        <v>5622</v>
      </c>
      <c r="V47" s="160">
        <v>6045</v>
      </c>
      <c r="W47" s="160">
        <v>6169</v>
      </c>
      <c r="X47" s="160">
        <v>6397</v>
      </c>
      <c r="Y47" s="145">
        <v>5947</v>
      </c>
      <c r="Z47" s="145">
        <v>6267</v>
      </c>
      <c r="AA47" s="145">
        <v>7029</v>
      </c>
      <c r="AB47" s="159">
        <v>7651</v>
      </c>
    </row>
    <row r="48" spans="1:28" x14ac:dyDescent="0.2">
      <c r="A48" s="56" t="s">
        <v>47</v>
      </c>
      <c r="B48" s="57" t="s">
        <v>11</v>
      </c>
      <c r="C48" s="160">
        <v>794</v>
      </c>
      <c r="D48" s="160">
        <v>772</v>
      </c>
      <c r="E48" s="160">
        <v>820</v>
      </c>
      <c r="F48" s="160">
        <v>888</v>
      </c>
      <c r="G48" s="160">
        <v>935</v>
      </c>
      <c r="H48" s="160">
        <v>980</v>
      </c>
      <c r="I48" s="160">
        <v>1063</v>
      </c>
      <c r="J48" s="160">
        <v>1103</v>
      </c>
      <c r="K48" s="160">
        <v>1118</v>
      </c>
      <c r="L48" s="160">
        <v>1121</v>
      </c>
      <c r="M48" s="160">
        <v>1189</v>
      </c>
      <c r="N48" s="160">
        <v>1172</v>
      </c>
      <c r="O48" s="160">
        <v>1142</v>
      </c>
      <c r="P48" s="160">
        <v>1192</v>
      </c>
      <c r="Q48" s="160">
        <v>1232</v>
      </c>
      <c r="R48" s="160">
        <v>1193</v>
      </c>
      <c r="S48" s="160">
        <v>1281</v>
      </c>
      <c r="T48" s="160">
        <v>1291</v>
      </c>
      <c r="U48" s="160">
        <v>1295</v>
      </c>
      <c r="V48" s="160">
        <v>1278</v>
      </c>
      <c r="W48" s="160">
        <v>1200</v>
      </c>
      <c r="X48" s="160">
        <v>1166</v>
      </c>
      <c r="Y48" s="145">
        <v>1029</v>
      </c>
      <c r="Z48" s="145">
        <v>1123</v>
      </c>
      <c r="AA48" s="145">
        <v>1129</v>
      </c>
      <c r="AB48" s="159">
        <v>1261</v>
      </c>
    </row>
    <row r="49" spans="1:28" x14ac:dyDescent="0.2">
      <c r="A49" s="56" t="s">
        <v>47</v>
      </c>
      <c r="B49" s="57" t="s">
        <v>12</v>
      </c>
      <c r="C49" s="160">
        <v>657</v>
      </c>
      <c r="D49" s="160">
        <v>682</v>
      </c>
      <c r="E49" s="160">
        <v>734</v>
      </c>
      <c r="F49" s="160">
        <v>760</v>
      </c>
      <c r="G49" s="160">
        <v>786</v>
      </c>
      <c r="H49" s="160">
        <v>829</v>
      </c>
      <c r="I49" s="160">
        <v>883</v>
      </c>
      <c r="J49" s="160">
        <v>912</v>
      </c>
      <c r="K49" s="160">
        <v>923</v>
      </c>
      <c r="L49" s="160">
        <v>961</v>
      </c>
      <c r="M49" s="160">
        <v>1007</v>
      </c>
      <c r="N49" s="160">
        <v>982</v>
      </c>
      <c r="O49" s="160">
        <v>999</v>
      </c>
      <c r="P49" s="160">
        <v>1044</v>
      </c>
      <c r="Q49" s="160">
        <v>1088</v>
      </c>
      <c r="R49" s="160">
        <v>1191</v>
      </c>
      <c r="S49" s="160">
        <v>1269</v>
      </c>
      <c r="T49" s="160">
        <v>1359</v>
      </c>
      <c r="U49" s="160">
        <v>1399</v>
      </c>
      <c r="V49" s="160">
        <v>1469</v>
      </c>
      <c r="W49" s="160">
        <v>1562</v>
      </c>
      <c r="X49" s="160">
        <v>1635</v>
      </c>
      <c r="Y49" s="145">
        <v>1576</v>
      </c>
      <c r="Z49" s="145">
        <v>1709</v>
      </c>
      <c r="AA49" s="145">
        <v>1865</v>
      </c>
      <c r="AB49" s="159">
        <v>2005</v>
      </c>
    </row>
    <row r="50" spans="1:28" x14ac:dyDescent="0.2">
      <c r="A50" s="56" t="s">
        <v>47</v>
      </c>
      <c r="B50" s="57" t="s">
        <v>13</v>
      </c>
      <c r="C50" s="160">
        <v>1066</v>
      </c>
      <c r="D50" s="160">
        <v>1093</v>
      </c>
      <c r="E50" s="160">
        <v>1121</v>
      </c>
      <c r="F50" s="160">
        <v>1143</v>
      </c>
      <c r="G50" s="160">
        <v>1182</v>
      </c>
      <c r="H50" s="160">
        <v>1283</v>
      </c>
      <c r="I50" s="160">
        <v>1366</v>
      </c>
      <c r="J50" s="160">
        <v>1437</v>
      </c>
      <c r="K50" s="160">
        <v>1518</v>
      </c>
      <c r="L50" s="160">
        <v>1619</v>
      </c>
      <c r="M50" s="160">
        <v>1811</v>
      </c>
      <c r="N50" s="160">
        <v>1818</v>
      </c>
      <c r="O50" s="160">
        <v>1799</v>
      </c>
      <c r="P50" s="160">
        <v>1889</v>
      </c>
      <c r="Q50" s="160">
        <v>1853</v>
      </c>
      <c r="R50" s="160">
        <v>1919</v>
      </c>
      <c r="S50" s="160">
        <v>1949</v>
      </c>
      <c r="T50" s="160">
        <v>1992</v>
      </c>
      <c r="U50" s="160">
        <v>1967</v>
      </c>
      <c r="V50" s="160">
        <v>2165</v>
      </c>
      <c r="W50" s="160">
        <v>2219</v>
      </c>
      <c r="X50" s="160">
        <v>2283</v>
      </c>
      <c r="Y50" s="145">
        <v>2237</v>
      </c>
      <c r="Z50" s="145">
        <v>2382</v>
      </c>
      <c r="AA50" s="145">
        <v>2654</v>
      </c>
      <c r="AB50" s="159">
        <v>2960</v>
      </c>
    </row>
    <row r="51" spans="1:28" x14ac:dyDescent="0.2">
      <c r="A51" s="56" t="s">
        <v>47</v>
      </c>
      <c r="B51" s="57" t="s">
        <v>7</v>
      </c>
      <c r="C51" s="160">
        <v>248</v>
      </c>
      <c r="D51" s="160">
        <v>267</v>
      </c>
      <c r="E51" s="160">
        <v>275</v>
      </c>
      <c r="F51" s="160">
        <v>300</v>
      </c>
      <c r="G51" s="160">
        <v>301</v>
      </c>
      <c r="H51" s="160">
        <v>333</v>
      </c>
      <c r="I51" s="160">
        <v>362</v>
      </c>
      <c r="J51" s="160">
        <v>389</v>
      </c>
      <c r="K51" s="160">
        <v>399</v>
      </c>
      <c r="L51" s="160">
        <v>410</v>
      </c>
      <c r="M51" s="160">
        <v>437</v>
      </c>
      <c r="N51" s="160">
        <v>433</v>
      </c>
      <c r="O51" s="160">
        <v>449</v>
      </c>
      <c r="P51" s="160">
        <v>472</v>
      </c>
      <c r="Q51" s="160">
        <v>471</v>
      </c>
      <c r="R51" s="160">
        <v>470</v>
      </c>
      <c r="S51" s="160">
        <v>488</v>
      </c>
      <c r="T51" s="160">
        <v>480</v>
      </c>
      <c r="U51" s="160">
        <v>483</v>
      </c>
      <c r="V51" s="160">
        <v>503</v>
      </c>
      <c r="W51" s="160">
        <v>523</v>
      </c>
      <c r="X51" s="160">
        <v>568</v>
      </c>
      <c r="Y51" s="145">
        <v>554</v>
      </c>
      <c r="Z51" s="145">
        <v>582</v>
      </c>
      <c r="AA51" s="145">
        <v>583</v>
      </c>
      <c r="AB51" s="159">
        <v>645</v>
      </c>
    </row>
    <row r="52" spans="1:28" x14ac:dyDescent="0.2">
      <c r="A52" s="56" t="s">
        <v>47</v>
      </c>
      <c r="B52" s="57" t="s">
        <v>14</v>
      </c>
      <c r="C52" s="160">
        <v>1288</v>
      </c>
      <c r="D52" s="160">
        <v>1345</v>
      </c>
      <c r="E52" s="160">
        <v>1394</v>
      </c>
      <c r="F52" s="160">
        <v>1420</v>
      </c>
      <c r="G52" s="160">
        <v>1412</v>
      </c>
      <c r="H52" s="160">
        <v>1499</v>
      </c>
      <c r="I52" s="160">
        <v>1538</v>
      </c>
      <c r="J52" s="160">
        <v>1654</v>
      </c>
      <c r="K52" s="160">
        <v>1772</v>
      </c>
      <c r="L52" s="160">
        <v>1804</v>
      </c>
      <c r="M52" s="160">
        <v>1881</v>
      </c>
      <c r="N52" s="160">
        <v>1832</v>
      </c>
      <c r="O52" s="160">
        <v>1832</v>
      </c>
      <c r="P52" s="160">
        <v>1840</v>
      </c>
      <c r="Q52" s="160">
        <v>1914</v>
      </c>
      <c r="R52" s="160">
        <v>2032</v>
      </c>
      <c r="S52" s="160">
        <v>2088</v>
      </c>
      <c r="T52" s="160">
        <v>2070</v>
      </c>
      <c r="U52" s="160">
        <v>2128</v>
      </c>
      <c r="V52" s="160">
        <v>2189</v>
      </c>
      <c r="W52" s="160">
        <v>2206</v>
      </c>
      <c r="X52" s="160">
        <v>2308</v>
      </c>
      <c r="Y52" s="145">
        <v>2278</v>
      </c>
      <c r="Z52" s="145">
        <v>2421</v>
      </c>
      <c r="AA52" s="145">
        <v>2710</v>
      </c>
      <c r="AB52" s="159">
        <v>3069</v>
      </c>
    </row>
    <row r="53" spans="1:28" x14ac:dyDescent="0.2">
      <c r="A53" s="56" t="s">
        <v>47</v>
      </c>
      <c r="B53" s="57" t="s">
        <v>31</v>
      </c>
      <c r="C53" s="160">
        <v>3786</v>
      </c>
      <c r="D53" s="160">
        <v>3789</v>
      </c>
      <c r="E53" s="160">
        <v>3911</v>
      </c>
      <c r="F53" s="160">
        <v>4166</v>
      </c>
      <c r="G53" s="160">
        <v>4327</v>
      </c>
      <c r="H53" s="160">
        <v>4584</v>
      </c>
      <c r="I53" s="160">
        <v>4840</v>
      </c>
      <c r="J53" s="160">
        <v>5149</v>
      </c>
      <c r="K53" s="160">
        <v>5420</v>
      </c>
      <c r="L53" s="160">
        <v>5487</v>
      </c>
      <c r="M53" s="160">
        <v>5857</v>
      </c>
      <c r="N53" s="160">
        <v>5701</v>
      </c>
      <c r="O53" s="160">
        <v>5670</v>
      </c>
      <c r="P53" s="160">
        <v>5788</v>
      </c>
      <c r="Q53" s="160">
        <v>5912</v>
      </c>
      <c r="R53" s="160">
        <v>6191</v>
      </c>
      <c r="S53" s="160">
        <v>6903</v>
      </c>
      <c r="T53" s="160">
        <v>6993</v>
      </c>
      <c r="U53" s="160">
        <v>7195</v>
      </c>
      <c r="V53" s="160">
        <v>7721</v>
      </c>
      <c r="W53" s="160">
        <v>7913</v>
      </c>
      <c r="X53" s="160">
        <v>8292</v>
      </c>
      <c r="Y53" s="145">
        <v>8028</v>
      </c>
      <c r="Z53" s="145">
        <v>8624</v>
      </c>
      <c r="AA53" s="145">
        <v>9212</v>
      </c>
      <c r="AB53" s="159">
        <v>10391</v>
      </c>
    </row>
    <row r="54" spans="1:28" x14ac:dyDescent="0.2">
      <c r="A54" s="56" t="s">
        <v>47</v>
      </c>
      <c r="B54" s="57" t="s">
        <v>15</v>
      </c>
      <c r="C54" s="160">
        <v>274</v>
      </c>
      <c r="D54" s="160">
        <v>290</v>
      </c>
      <c r="E54" s="160">
        <v>308</v>
      </c>
      <c r="F54" s="160">
        <v>325</v>
      </c>
      <c r="G54" s="160">
        <v>326</v>
      </c>
      <c r="H54" s="160">
        <v>358</v>
      </c>
      <c r="I54" s="160">
        <v>396</v>
      </c>
      <c r="J54" s="160">
        <v>428</v>
      </c>
      <c r="K54" s="160">
        <v>434</v>
      </c>
      <c r="L54" s="160">
        <v>450</v>
      </c>
      <c r="M54" s="160">
        <v>479</v>
      </c>
      <c r="N54" s="160">
        <v>483</v>
      </c>
      <c r="O54" s="160">
        <v>493</v>
      </c>
      <c r="P54" s="160">
        <v>532</v>
      </c>
      <c r="Q54" s="160">
        <v>547</v>
      </c>
      <c r="R54" s="160">
        <v>528</v>
      </c>
      <c r="S54" s="160">
        <v>541</v>
      </c>
      <c r="T54" s="160">
        <v>560</v>
      </c>
      <c r="U54" s="160">
        <v>548</v>
      </c>
      <c r="V54" s="160">
        <v>555</v>
      </c>
      <c r="W54" s="160">
        <v>516</v>
      </c>
      <c r="X54" s="160">
        <v>559</v>
      </c>
      <c r="Y54" s="145">
        <v>522</v>
      </c>
      <c r="Z54" s="145">
        <v>563</v>
      </c>
      <c r="AA54" s="145">
        <v>642</v>
      </c>
      <c r="AB54" s="159">
        <v>699</v>
      </c>
    </row>
    <row r="55" spans="1:28" x14ac:dyDescent="0.2">
      <c r="A55" s="56" t="s">
        <v>47</v>
      </c>
      <c r="B55" s="57" t="s">
        <v>16</v>
      </c>
      <c r="C55" s="160">
        <v>2081</v>
      </c>
      <c r="D55" s="160">
        <v>1985</v>
      </c>
      <c r="E55" s="160">
        <v>1943</v>
      </c>
      <c r="F55" s="160">
        <v>1986</v>
      </c>
      <c r="G55" s="160">
        <v>2146</v>
      </c>
      <c r="H55" s="160">
        <v>2296</v>
      </c>
      <c r="I55" s="160">
        <v>2428</v>
      </c>
      <c r="J55" s="160">
        <v>2533</v>
      </c>
      <c r="K55" s="160">
        <v>2871</v>
      </c>
      <c r="L55" s="160">
        <v>2960</v>
      </c>
      <c r="M55" s="160">
        <v>3014</v>
      </c>
      <c r="N55" s="160">
        <v>3190</v>
      </c>
      <c r="O55" s="160">
        <v>3079</v>
      </c>
      <c r="P55" s="160">
        <v>3152</v>
      </c>
      <c r="Q55" s="160">
        <v>3450</v>
      </c>
      <c r="R55" s="160">
        <v>3695</v>
      </c>
      <c r="S55" s="160">
        <v>3865</v>
      </c>
      <c r="T55" s="160">
        <v>4040</v>
      </c>
      <c r="U55" s="160">
        <v>4045</v>
      </c>
      <c r="V55" s="160">
        <v>4217</v>
      </c>
      <c r="W55" s="160">
        <v>4227</v>
      </c>
      <c r="X55" s="160">
        <v>4370</v>
      </c>
      <c r="Y55" s="145">
        <v>3893</v>
      </c>
      <c r="Z55" s="145">
        <v>3938</v>
      </c>
      <c r="AA55" s="145">
        <v>4331</v>
      </c>
      <c r="AB55" s="159">
        <v>4770</v>
      </c>
    </row>
    <row r="56" spans="1:28" x14ac:dyDescent="0.2">
      <c r="A56" s="56" t="s">
        <v>47</v>
      </c>
      <c r="B56" s="57" t="s">
        <v>26</v>
      </c>
      <c r="C56" s="160">
        <v>2301</v>
      </c>
      <c r="D56" s="160">
        <v>2321</v>
      </c>
      <c r="E56" s="160">
        <v>2451</v>
      </c>
      <c r="F56" s="160">
        <v>2572</v>
      </c>
      <c r="G56" s="160">
        <v>2650</v>
      </c>
      <c r="H56" s="160">
        <v>2735</v>
      </c>
      <c r="I56" s="160">
        <v>2883</v>
      </c>
      <c r="J56" s="160">
        <v>3023</v>
      </c>
      <c r="K56" s="160">
        <v>3181</v>
      </c>
      <c r="L56" s="160">
        <v>3110</v>
      </c>
      <c r="M56" s="160">
        <v>3309</v>
      </c>
      <c r="N56" s="160">
        <v>3181</v>
      </c>
      <c r="O56" s="160">
        <v>3161</v>
      </c>
      <c r="P56" s="160">
        <v>3290</v>
      </c>
      <c r="Q56" s="160">
        <v>3348</v>
      </c>
      <c r="R56" s="160">
        <v>3530</v>
      </c>
      <c r="S56" s="160">
        <v>3876</v>
      </c>
      <c r="T56" s="160">
        <v>4002</v>
      </c>
      <c r="U56" s="160">
        <v>3948</v>
      </c>
      <c r="V56" s="160">
        <v>4192</v>
      </c>
      <c r="W56" s="160">
        <v>4346</v>
      </c>
      <c r="X56" s="160">
        <v>4498</v>
      </c>
      <c r="Y56" s="145">
        <v>4370</v>
      </c>
      <c r="Z56" s="145">
        <v>4850</v>
      </c>
      <c r="AA56" s="145">
        <v>4852</v>
      </c>
      <c r="AB56" s="159">
        <v>5181</v>
      </c>
    </row>
    <row r="57" spans="1:28" x14ac:dyDescent="0.2">
      <c r="A57" s="56" t="s">
        <v>47</v>
      </c>
      <c r="B57" s="57" t="s">
        <v>17</v>
      </c>
      <c r="C57" s="160">
        <v>1326</v>
      </c>
      <c r="D57" s="160">
        <v>1312</v>
      </c>
      <c r="E57" s="160">
        <v>1355</v>
      </c>
      <c r="F57" s="160">
        <v>1409</v>
      </c>
      <c r="G57" s="160">
        <v>1462</v>
      </c>
      <c r="H57" s="160">
        <v>1518</v>
      </c>
      <c r="I57" s="160">
        <v>1562</v>
      </c>
      <c r="J57" s="160">
        <v>1604</v>
      </c>
      <c r="K57" s="160">
        <v>1711</v>
      </c>
      <c r="L57" s="160">
        <v>1738</v>
      </c>
      <c r="M57" s="160">
        <v>1807</v>
      </c>
      <c r="N57" s="160">
        <v>1769</v>
      </c>
      <c r="O57" s="160">
        <v>1785</v>
      </c>
      <c r="P57" s="160">
        <v>1843</v>
      </c>
      <c r="Q57" s="160">
        <v>1872</v>
      </c>
      <c r="R57" s="160">
        <v>1963</v>
      </c>
      <c r="S57" s="160">
        <v>2114</v>
      </c>
      <c r="T57" s="160">
        <v>2153</v>
      </c>
      <c r="U57" s="160">
        <v>2165</v>
      </c>
      <c r="V57" s="160">
        <v>2284</v>
      </c>
      <c r="W57" s="160">
        <v>2385</v>
      </c>
      <c r="X57" s="160">
        <v>2441</v>
      </c>
      <c r="Y57" s="145">
        <v>2365</v>
      </c>
      <c r="Z57" s="145">
        <v>2531</v>
      </c>
      <c r="AA57" s="145">
        <v>2649</v>
      </c>
      <c r="AB57" s="159">
        <v>2810</v>
      </c>
    </row>
    <row r="58" spans="1:28" x14ac:dyDescent="0.2">
      <c r="A58" s="56" t="s">
        <v>47</v>
      </c>
      <c r="B58" s="57" t="s">
        <v>18</v>
      </c>
      <c r="C58" s="160">
        <v>380</v>
      </c>
      <c r="D58" s="160">
        <v>392</v>
      </c>
      <c r="E58" s="160">
        <v>389</v>
      </c>
      <c r="F58" s="160">
        <v>409</v>
      </c>
      <c r="G58" s="160">
        <v>416</v>
      </c>
      <c r="H58" s="160">
        <v>437</v>
      </c>
      <c r="I58" s="160">
        <v>479</v>
      </c>
      <c r="J58" s="160">
        <v>509</v>
      </c>
      <c r="K58" s="160">
        <v>534</v>
      </c>
      <c r="L58" s="160">
        <v>542</v>
      </c>
      <c r="M58" s="160">
        <v>587</v>
      </c>
      <c r="N58" s="160">
        <v>637</v>
      </c>
      <c r="O58" s="160">
        <v>633</v>
      </c>
      <c r="P58" s="160">
        <v>692</v>
      </c>
      <c r="Q58" s="160">
        <v>697</v>
      </c>
      <c r="R58" s="160">
        <v>731</v>
      </c>
      <c r="S58" s="160">
        <v>783</v>
      </c>
      <c r="T58" s="160">
        <v>737</v>
      </c>
      <c r="U58" s="160">
        <v>709</v>
      </c>
      <c r="V58" s="160">
        <v>763</v>
      </c>
      <c r="W58" s="160">
        <v>754</v>
      </c>
      <c r="X58" s="160">
        <v>811</v>
      </c>
      <c r="Y58" s="145">
        <v>748</v>
      </c>
      <c r="Z58" s="145">
        <v>766</v>
      </c>
      <c r="AA58" s="145">
        <v>785</v>
      </c>
      <c r="AB58" s="159">
        <v>855</v>
      </c>
    </row>
    <row r="59" spans="1:28" x14ac:dyDescent="0.2">
      <c r="A59" s="56" t="s">
        <v>47</v>
      </c>
      <c r="B59" s="57" t="s">
        <v>19</v>
      </c>
      <c r="C59" s="160">
        <v>1376</v>
      </c>
      <c r="D59" s="160">
        <v>1399</v>
      </c>
      <c r="E59" s="160">
        <v>1495</v>
      </c>
      <c r="F59" s="160">
        <v>1568</v>
      </c>
      <c r="G59" s="160">
        <v>1638</v>
      </c>
      <c r="H59" s="160">
        <v>1694</v>
      </c>
      <c r="I59" s="160">
        <v>1788</v>
      </c>
      <c r="J59" s="160">
        <v>1879</v>
      </c>
      <c r="K59" s="160">
        <v>1986</v>
      </c>
      <c r="L59" s="160">
        <v>1964</v>
      </c>
      <c r="M59" s="160">
        <v>2059</v>
      </c>
      <c r="N59" s="160">
        <v>2044</v>
      </c>
      <c r="O59" s="160">
        <v>2070</v>
      </c>
      <c r="P59" s="160">
        <v>2112</v>
      </c>
      <c r="Q59" s="160">
        <v>2097</v>
      </c>
      <c r="R59" s="160">
        <v>2096</v>
      </c>
      <c r="S59" s="160">
        <v>2203</v>
      </c>
      <c r="T59" s="160">
        <v>2237</v>
      </c>
      <c r="U59" s="160">
        <v>2257</v>
      </c>
      <c r="V59" s="160">
        <v>2374</v>
      </c>
      <c r="W59" s="160">
        <v>2435</v>
      </c>
      <c r="X59" s="160">
        <v>2461</v>
      </c>
      <c r="Y59" s="145">
        <v>2194</v>
      </c>
      <c r="Z59" s="145">
        <v>2297</v>
      </c>
      <c r="AA59" s="145">
        <v>2600</v>
      </c>
      <c r="AB59" s="159">
        <v>2901</v>
      </c>
    </row>
    <row r="60" spans="1:28" x14ac:dyDescent="0.2">
      <c r="A60" s="56" t="s">
        <v>47</v>
      </c>
      <c r="B60" s="57" t="s">
        <v>20</v>
      </c>
      <c r="C60" s="160">
        <v>3501</v>
      </c>
      <c r="D60" s="160">
        <v>3545</v>
      </c>
      <c r="E60" s="160">
        <v>3618</v>
      </c>
      <c r="F60" s="160">
        <v>3807</v>
      </c>
      <c r="G60" s="160">
        <v>3968</v>
      </c>
      <c r="H60" s="160">
        <v>4220</v>
      </c>
      <c r="I60" s="160">
        <v>4455</v>
      </c>
      <c r="J60" s="160">
        <v>4782</v>
      </c>
      <c r="K60" s="160">
        <v>5192</v>
      </c>
      <c r="L60" s="160">
        <v>5284</v>
      </c>
      <c r="M60" s="160">
        <v>5601</v>
      </c>
      <c r="N60" s="160">
        <v>5540</v>
      </c>
      <c r="O60" s="160">
        <v>5462</v>
      </c>
      <c r="P60" s="160">
        <v>5564</v>
      </c>
      <c r="Q60" s="160">
        <v>5724</v>
      </c>
      <c r="R60" s="160">
        <v>6005</v>
      </c>
      <c r="S60" s="160">
        <v>6230</v>
      </c>
      <c r="T60" s="160">
        <v>6247</v>
      </c>
      <c r="U60" s="160">
        <v>6399</v>
      </c>
      <c r="V60" s="160">
        <v>6826</v>
      </c>
      <c r="W60" s="160">
        <v>6766</v>
      </c>
      <c r="X60" s="160">
        <v>6930</v>
      </c>
      <c r="Y60" s="145">
        <v>6523</v>
      </c>
      <c r="Z60" s="145">
        <v>6807</v>
      </c>
      <c r="AA60" s="145">
        <v>7478</v>
      </c>
      <c r="AB60" s="159">
        <v>8273</v>
      </c>
    </row>
    <row r="61" spans="1:28" x14ac:dyDescent="0.2">
      <c r="A61" s="56" t="s">
        <v>47</v>
      </c>
      <c r="B61" s="57" t="s">
        <v>21</v>
      </c>
      <c r="C61" s="160">
        <v>1279</v>
      </c>
      <c r="D61" s="160">
        <v>1329</v>
      </c>
      <c r="E61" s="160">
        <v>1417</v>
      </c>
      <c r="F61" s="160">
        <v>1526</v>
      </c>
      <c r="G61" s="160">
        <v>1587</v>
      </c>
      <c r="H61" s="160">
        <v>1723</v>
      </c>
      <c r="I61" s="160">
        <v>1801</v>
      </c>
      <c r="J61" s="160">
        <v>1923</v>
      </c>
      <c r="K61" s="160">
        <v>1986</v>
      </c>
      <c r="L61" s="160">
        <v>2136</v>
      </c>
      <c r="M61" s="160">
        <v>2127</v>
      </c>
      <c r="N61" s="160">
        <v>2167</v>
      </c>
      <c r="O61" s="160">
        <v>2107</v>
      </c>
      <c r="P61" s="160">
        <v>2139</v>
      </c>
      <c r="Q61" s="160">
        <v>2200</v>
      </c>
      <c r="R61" s="160">
        <v>2292</v>
      </c>
      <c r="S61" s="160">
        <v>2286</v>
      </c>
      <c r="T61" s="160">
        <v>2285</v>
      </c>
      <c r="U61" s="160">
        <v>2289</v>
      </c>
      <c r="V61" s="160">
        <v>2434</v>
      </c>
      <c r="W61" s="160">
        <v>2384</v>
      </c>
      <c r="X61" s="160">
        <v>2584</v>
      </c>
      <c r="Y61" s="145">
        <v>2418</v>
      </c>
      <c r="Z61" s="145">
        <v>2676</v>
      </c>
      <c r="AA61" s="145">
        <v>2840</v>
      </c>
      <c r="AB61" s="159">
        <v>3128</v>
      </c>
    </row>
    <row r="62" spans="1:28" x14ac:dyDescent="0.2">
      <c r="A62" s="56" t="s">
        <v>47</v>
      </c>
      <c r="B62" s="57" t="s">
        <v>27</v>
      </c>
      <c r="C62" s="160">
        <v>844</v>
      </c>
      <c r="D62" s="160">
        <v>861</v>
      </c>
      <c r="E62" s="160">
        <v>906</v>
      </c>
      <c r="F62" s="160">
        <v>980</v>
      </c>
      <c r="G62" s="160">
        <v>1016</v>
      </c>
      <c r="H62" s="160">
        <v>1066</v>
      </c>
      <c r="I62" s="160">
        <v>1157</v>
      </c>
      <c r="J62" s="160">
        <v>1241</v>
      </c>
      <c r="K62" s="160">
        <v>1320</v>
      </c>
      <c r="L62" s="160">
        <v>1333</v>
      </c>
      <c r="M62" s="160">
        <v>1413</v>
      </c>
      <c r="N62" s="160">
        <v>1383</v>
      </c>
      <c r="O62" s="160">
        <v>1386</v>
      </c>
      <c r="P62" s="160">
        <v>1429</v>
      </c>
      <c r="Q62" s="160">
        <v>1393</v>
      </c>
      <c r="R62" s="160">
        <v>1402</v>
      </c>
      <c r="S62" s="160">
        <v>1505</v>
      </c>
      <c r="T62" s="160">
        <v>1536</v>
      </c>
      <c r="U62" s="160">
        <v>1673</v>
      </c>
      <c r="V62" s="160">
        <v>1750</v>
      </c>
      <c r="W62" s="160">
        <v>1849</v>
      </c>
      <c r="X62" s="160">
        <v>1931</v>
      </c>
      <c r="Y62" s="145">
        <v>1781</v>
      </c>
      <c r="Z62" s="145">
        <v>1944</v>
      </c>
      <c r="AA62" s="145">
        <v>2128</v>
      </c>
      <c r="AB62" s="159">
        <v>2521</v>
      </c>
    </row>
    <row r="63" spans="1:28" x14ac:dyDescent="0.2">
      <c r="A63" s="56" t="s">
        <v>47</v>
      </c>
      <c r="B63" s="57" t="s">
        <v>28</v>
      </c>
      <c r="C63" s="160">
        <v>2290</v>
      </c>
      <c r="D63" s="160">
        <v>2357</v>
      </c>
      <c r="E63" s="160">
        <v>2403</v>
      </c>
      <c r="F63" s="160">
        <v>2487</v>
      </c>
      <c r="G63" s="160">
        <v>2623</v>
      </c>
      <c r="H63" s="160">
        <v>2785</v>
      </c>
      <c r="I63" s="160">
        <v>2966</v>
      </c>
      <c r="J63" s="160">
        <v>3085</v>
      </c>
      <c r="K63" s="160">
        <v>3287</v>
      </c>
      <c r="L63" s="160">
        <v>3446</v>
      </c>
      <c r="M63" s="160">
        <v>3576</v>
      </c>
      <c r="N63" s="160">
        <v>3431</v>
      </c>
      <c r="O63" s="160">
        <v>3529</v>
      </c>
      <c r="P63" s="160">
        <v>3700</v>
      </c>
      <c r="Q63" s="160">
        <v>3769</v>
      </c>
      <c r="R63" s="160">
        <v>3702</v>
      </c>
      <c r="S63" s="160">
        <v>3890</v>
      </c>
      <c r="T63" s="160">
        <v>4165</v>
      </c>
      <c r="U63" s="160">
        <v>4254</v>
      </c>
      <c r="V63" s="160">
        <v>4463</v>
      </c>
      <c r="W63" s="160">
        <v>4700</v>
      </c>
      <c r="X63" s="160">
        <v>4829</v>
      </c>
      <c r="Y63" s="145">
        <v>4730</v>
      </c>
      <c r="Z63" s="145">
        <v>5147</v>
      </c>
      <c r="AA63" s="145">
        <v>5765</v>
      </c>
      <c r="AB63" s="159">
        <v>6284</v>
      </c>
    </row>
    <row r="64" spans="1:28" ht="29.1" customHeight="1" x14ac:dyDescent="0.2">
      <c r="A64" s="57" t="s">
        <v>182</v>
      </c>
      <c r="B64" s="57" t="s">
        <v>54</v>
      </c>
      <c r="C64" s="59">
        <v>7072.0073190000003</v>
      </c>
      <c r="D64" s="59">
        <v>7084.0655349999997</v>
      </c>
      <c r="E64" s="59">
        <v>7242.2545200000004</v>
      </c>
      <c r="F64" s="59">
        <v>7835.1285600000001</v>
      </c>
      <c r="G64" s="59">
        <v>8219.5599419999999</v>
      </c>
      <c r="H64" s="59">
        <v>8337.5988240000006</v>
      </c>
      <c r="I64" s="59">
        <v>8833.2595980000006</v>
      </c>
      <c r="J64" s="59">
        <v>9343.5605290000003</v>
      </c>
      <c r="K64" s="59">
        <v>10672.924118999999</v>
      </c>
      <c r="L64" s="59">
        <v>11952.175395</v>
      </c>
      <c r="M64" s="59">
        <v>13315.672472</v>
      </c>
      <c r="N64" s="59">
        <v>12962.172780999999</v>
      </c>
      <c r="O64" s="59">
        <v>13389.694052000001</v>
      </c>
      <c r="P64" s="59">
        <v>13791.829626270001</v>
      </c>
      <c r="Q64" s="59">
        <v>14711.117421999999</v>
      </c>
      <c r="R64" s="59">
        <v>15546.04750703</v>
      </c>
      <c r="S64" s="59">
        <v>16139.09102842</v>
      </c>
      <c r="T64" s="59">
        <v>15634.28236134</v>
      </c>
      <c r="U64" s="59">
        <v>14335.80489906</v>
      </c>
      <c r="V64" s="59">
        <v>14277.40981843</v>
      </c>
      <c r="W64" s="59">
        <v>14499.432973819999</v>
      </c>
      <c r="X64" s="59">
        <v>14810.60712004</v>
      </c>
      <c r="Y64" s="59">
        <v>13439.00863391</v>
      </c>
      <c r="Z64" s="59">
        <v>13762.57726299</v>
      </c>
      <c r="AA64" s="59">
        <v>14936.177877550001</v>
      </c>
      <c r="AB64" s="59">
        <v>16101.54096253</v>
      </c>
    </row>
    <row r="65" spans="1:28" x14ac:dyDescent="0.2">
      <c r="A65" s="56" t="s">
        <v>182</v>
      </c>
      <c r="B65" s="56" t="s">
        <v>55</v>
      </c>
      <c r="C65" s="59">
        <v>275.62918999999999</v>
      </c>
      <c r="D65" s="59">
        <v>281.66814099999999</v>
      </c>
      <c r="E65" s="59">
        <v>289.74564600000002</v>
      </c>
      <c r="F65" s="59">
        <v>295.24446799999998</v>
      </c>
      <c r="G65" s="59">
        <v>304.93193400000001</v>
      </c>
      <c r="H65" s="59">
        <v>333.06250799999998</v>
      </c>
      <c r="I65" s="59">
        <v>344.35326361</v>
      </c>
      <c r="J65" s="59">
        <v>361.90798699999999</v>
      </c>
      <c r="K65" s="59">
        <v>385.43927500000001</v>
      </c>
      <c r="L65" s="59">
        <v>396.73702300000002</v>
      </c>
      <c r="M65" s="59">
        <v>423.16300000000001</v>
      </c>
      <c r="N65" s="59">
        <v>410.62134900000001</v>
      </c>
      <c r="O65" s="59">
        <v>409.13819999999998</v>
      </c>
      <c r="P65" s="59">
        <v>444.36643299999997</v>
      </c>
      <c r="Q65" s="59">
        <v>466.57584795000002</v>
      </c>
      <c r="R65" s="59">
        <v>489.05304415000001</v>
      </c>
      <c r="S65" s="59">
        <v>501.30935462000002</v>
      </c>
      <c r="T65" s="59">
        <v>482.96258045000002</v>
      </c>
      <c r="U65" s="59">
        <v>462.04269668000001</v>
      </c>
      <c r="V65" s="59">
        <v>506.30826087999998</v>
      </c>
      <c r="W65" s="59">
        <v>505.69642470000002</v>
      </c>
      <c r="X65" s="59">
        <v>569.66697001</v>
      </c>
      <c r="Y65" s="59">
        <v>560.435878</v>
      </c>
      <c r="Z65" s="59">
        <v>592.27839673000005</v>
      </c>
      <c r="AA65" s="59">
        <v>652.93293128000005</v>
      </c>
      <c r="AB65" s="59">
        <v>713.77120934000004</v>
      </c>
    </row>
    <row r="66" spans="1:28" x14ac:dyDescent="0.2">
      <c r="A66" s="56" t="s">
        <v>182</v>
      </c>
      <c r="B66" s="56" t="s">
        <v>56</v>
      </c>
      <c r="C66" s="59">
        <v>561.709204</v>
      </c>
      <c r="D66" s="59">
        <v>570.14505999999994</v>
      </c>
      <c r="E66" s="59">
        <v>587.139455</v>
      </c>
      <c r="F66" s="59">
        <v>591.053946</v>
      </c>
      <c r="G66" s="59">
        <v>592.50597900000002</v>
      </c>
      <c r="H66" s="59">
        <v>630.75212199999999</v>
      </c>
      <c r="I66" s="59">
        <v>643.77734399999997</v>
      </c>
      <c r="J66" s="59">
        <v>667.60229000000004</v>
      </c>
      <c r="K66" s="59">
        <v>741.14358300000004</v>
      </c>
      <c r="L66" s="59">
        <v>762.13481300000001</v>
      </c>
      <c r="M66" s="59">
        <v>800.47882500000003</v>
      </c>
      <c r="N66" s="59">
        <v>774.01654599999995</v>
      </c>
      <c r="O66" s="59">
        <v>778.44035499999995</v>
      </c>
      <c r="P66" s="59">
        <v>787.09369303999995</v>
      </c>
      <c r="Q66" s="59">
        <v>808.05894699999999</v>
      </c>
      <c r="R66" s="59">
        <v>863.16552165999997</v>
      </c>
      <c r="S66" s="59">
        <v>955.99879600999998</v>
      </c>
      <c r="T66" s="59">
        <v>914.93235416000005</v>
      </c>
      <c r="U66" s="59">
        <v>997.25067292999995</v>
      </c>
      <c r="V66" s="59">
        <v>1006.3975615000001</v>
      </c>
      <c r="W66" s="59">
        <v>1054.0885336199999</v>
      </c>
      <c r="X66" s="59">
        <v>1140.97787752</v>
      </c>
      <c r="Y66" s="59">
        <v>1003.08356614</v>
      </c>
      <c r="Z66" s="59">
        <v>1116.163137</v>
      </c>
      <c r="AA66" s="59">
        <v>1309.29146732</v>
      </c>
      <c r="AB66" s="59">
        <v>1398.3504303099901</v>
      </c>
    </row>
    <row r="67" spans="1:28" x14ac:dyDescent="0.2">
      <c r="A67" s="56" t="s">
        <v>182</v>
      </c>
      <c r="B67" s="56" t="s">
        <v>57</v>
      </c>
      <c r="C67" s="59">
        <v>122.854612</v>
      </c>
      <c r="D67" s="59">
        <v>129.58590000000001</v>
      </c>
      <c r="E67" s="59">
        <v>133.738302</v>
      </c>
      <c r="F67" s="59">
        <v>139.36044899999999</v>
      </c>
      <c r="G67" s="59">
        <v>144.10410300000001</v>
      </c>
      <c r="H67" s="59">
        <v>163.72648899999999</v>
      </c>
      <c r="I67" s="59">
        <v>175.46985430999999</v>
      </c>
      <c r="J67" s="59">
        <v>185.83285000000001</v>
      </c>
      <c r="K67" s="59">
        <v>199.39608200000001</v>
      </c>
      <c r="L67" s="59">
        <v>203.391502</v>
      </c>
      <c r="M67" s="59">
        <v>217.64856699999899</v>
      </c>
      <c r="N67" s="59">
        <v>215.44839899999999</v>
      </c>
      <c r="O67" s="59">
        <v>216.79702499999999</v>
      </c>
      <c r="P67" s="59">
        <v>229.70610600000001</v>
      </c>
      <c r="Q67" s="59">
        <v>242.18241198000001</v>
      </c>
      <c r="R67" s="59">
        <v>267.03723789999998</v>
      </c>
      <c r="S67" s="59">
        <v>291.66441118</v>
      </c>
      <c r="T67" s="59">
        <v>288.66096491000002</v>
      </c>
      <c r="U67" s="59">
        <v>291.13747169999999</v>
      </c>
      <c r="V67" s="59">
        <v>311.53161750999999</v>
      </c>
      <c r="W67" s="59">
        <v>323.08417195999999</v>
      </c>
      <c r="X67" s="59">
        <v>323.51540196000002</v>
      </c>
      <c r="Y67" s="59">
        <v>294.33975820000001</v>
      </c>
      <c r="Z67" s="59">
        <v>317.33708074999998</v>
      </c>
      <c r="AA67" s="59">
        <v>348.83060243</v>
      </c>
      <c r="AB67" s="59">
        <v>364.81711674000002</v>
      </c>
    </row>
    <row r="68" spans="1:28" x14ac:dyDescent="0.2">
      <c r="A68" s="56" t="s">
        <v>182</v>
      </c>
      <c r="B68" s="56" t="s">
        <v>58</v>
      </c>
      <c r="C68" s="59">
        <v>1443.180656</v>
      </c>
      <c r="D68" s="59">
        <v>1481.3681730000001</v>
      </c>
      <c r="E68" s="59">
        <v>1578.39473</v>
      </c>
      <c r="F68" s="59">
        <v>1662.2188630000001</v>
      </c>
      <c r="G68" s="59">
        <v>1734.2707760000001</v>
      </c>
      <c r="H68" s="59">
        <v>1786.061608</v>
      </c>
      <c r="I68" s="59">
        <v>1859.732966</v>
      </c>
      <c r="J68" s="59">
        <v>1947.7623719999999</v>
      </c>
      <c r="K68" s="59">
        <v>2058.3407809999999</v>
      </c>
      <c r="L68" s="59">
        <v>2065.1803559999998</v>
      </c>
      <c r="M68" s="59">
        <v>2158.8726722800002</v>
      </c>
      <c r="N68" s="59">
        <v>2140.0414350000001</v>
      </c>
      <c r="O68" s="59">
        <v>2177.134618</v>
      </c>
      <c r="P68" s="59">
        <v>2211.3602409999999</v>
      </c>
      <c r="Q68" s="59">
        <v>2267.5355549999999</v>
      </c>
      <c r="R68" s="59">
        <v>2284.60484804</v>
      </c>
      <c r="S68" s="59">
        <v>2372.8396725399998</v>
      </c>
      <c r="T68" s="59">
        <v>2411.3513130000001</v>
      </c>
      <c r="U68" s="59">
        <v>2417.6771071399999</v>
      </c>
      <c r="V68" s="59">
        <v>2517.0959165999998</v>
      </c>
      <c r="W68" s="59">
        <v>2549.6419208100001</v>
      </c>
      <c r="X68" s="59">
        <v>2573.3392821900002</v>
      </c>
      <c r="Y68" s="59">
        <v>2332.27340439</v>
      </c>
      <c r="Z68" s="59">
        <v>2432.40709388</v>
      </c>
      <c r="AA68" s="59">
        <v>2778.4621580399998</v>
      </c>
      <c r="AB68" s="59">
        <v>3109.7038153999902</v>
      </c>
    </row>
    <row r="69" spans="1:28" x14ac:dyDescent="0.2">
      <c r="A69" s="56" t="s">
        <v>182</v>
      </c>
      <c r="B69" s="56" t="s">
        <v>96</v>
      </c>
      <c r="C69" s="59">
        <v>198.776567</v>
      </c>
      <c r="D69" s="59">
        <v>198.30824100000001</v>
      </c>
      <c r="E69" s="59">
        <v>209.43226100000001</v>
      </c>
      <c r="F69" s="59">
        <v>218.13164599999999</v>
      </c>
      <c r="G69" s="59">
        <v>228.013158</v>
      </c>
      <c r="H69" s="59">
        <v>236.500035</v>
      </c>
      <c r="I69" s="59">
        <v>235.305058</v>
      </c>
      <c r="J69" s="59">
        <v>232.87100599999999</v>
      </c>
      <c r="K69" s="59">
        <v>255.49781200000001</v>
      </c>
      <c r="L69" s="59">
        <v>261.81487600000003</v>
      </c>
      <c r="M69" s="59">
        <v>272.33917000000002</v>
      </c>
      <c r="N69" s="59">
        <v>266.56052699999998</v>
      </c>
      <c r="O69" s="59">
        <v>261.32150200000001</v>
      </c>
      <c r="P69" s="59">
        <v>269.77000700000002</v>
      </c>
      <c r="Q69" s="59">
        <v>270.046221</v>
      </c>
      <c r="R69" s="59">
        <v>276.85190908999999</v>
      </c>
      <c r="S69" s="59">
        <v>291.02055515000001</v>
      </c>
      <c r="T69" s="59">
        <v>285.87613642999997</v>
      </c>
      <c r="U69" s="59">
        <v>294.15887398000001</v>
      </c>
      <c r="V69" s="59">
        <v>321.63510263000001</v>
      </c>
      <c r="W69" s="59">
        <v>329.371153329999</v>
      </c>
      <c r="X69" s="59">
        <v>341.809765999999</v>
      </c>
      <c r="Y69" s="59">
        <v>324.84920294</v>
      </c>
      <c r="Z69" s="59">
        <v>340.19193727999999</v>
      </c>
      <c r="AA69" s="59">
        <v>370.00822928999997</v>
      </c>
      <c r="AB69" s="59">
        <v>373.13345326000001</v>
      </c>
    </row>
    <row r="70" spans="1:28" x14ac:dyDescent="0.2">
      <c r="A70" s="56" t="s">
        <v>182</v>
      </c>
      <c r="B70" s="56" t="s">
        <v>59</v>
      </c>
      <c r="C70" s="59">
        <v>61.494030000000002</v>
      </c>
      <c r="D70" s="59">
        <v>66.750467999999998</v>
      </c>
      <c r="E70" s="59">
        <v>67.685502999999997</v>
      </c>
      <c r="F70" s="59">
        <v>73.665731999999906</v>
      </c>
      <c r="G70" s="59">
        <v>78.579385000000002</v>
      </c>
      <c r="H70" s="59">
        <v>89.997489999999999</v>
      </c>
      <c r="I70" s="59">
        <v>98.222345919999995</v>
      </c>
      <c r="J70" s="59">
        <v>105.08514</v>
      </c>
      <c r="K70" s="59">
        <v>111.99670500000001</v>
      </c>
      <c r="L70" s="59">
        <v>113.038813</v>
      </c>
      <c r="M70" s="59">
        <v>120.206444</v>
      </c>
      <c r="N70" s="59">
        <v>118.76650100000001</v>
      </c>
      <c r="O70" s="59">
        <v>125.18428299999999</v>
      </c>
      <c r="P70" s="59">
        <v>132.230041</v>
      </c>
      <c r="Q70" s="59">
        <v>131.66443249</v>
      </c>
      <c r="R70" s="59">
        <v>126.74159877</v>
      </c>
      <c r="S70" s="59">
        <v>137.70919423999999</v>
      </c>
      <c r="T70" s="59">
        <v>140.44868911</v>
      </c>
      <c r="U70" s="59">
        <v>142.91136238999999</v>
      </c>
      <c r="V70" s="59">
        <v>151.56326504</v>
      </c>
      <c r="W70" s="59">
        <v>160.76002399000001</v>
      </c>
      <c r="X70" s="59">
        <v>174.6696221</v>
      </c>
      <c r="Y70" s="59">
        <v>163.84804695</v>
      </c>
      <c r="Z70" s="59">
        <v>174.03256071000001</v>
      </c>
      <c r="AA70" s="59">
        <v>193.56697704999999</v>
      </c>
      <c r="AB70" s="59">
        <v>203.53806327000001</v>
      </c>
    </row>
    <row r="71" spans="1:28" x14ac:dyDescent="0.2">
      <c r="A71" s="56" t="s">
        <v>182</v>
      </c>
      <c r="B71" s="56" t="s">
        <v>60</v>
      </c>
      <c r="C71" s="59">
        <v>85.253788999999998</v>
      </c>
      <c r="D71" s="59">
        <v>88.212536</v>
      </c>
      <c r="E71" s="59">
        <v>89.155508999999995</v>
      </c>
      <c r="F71" s="59">
        <v>92.850435000000004</v>
      </c>
      <c r="G71" s="59">
        <v>93.914786000000007</v>
      </c>
      <c r="H71" s="59">
        <v>101.73826699999999</v>
      </c>
      <c r="I71" s="59">
        <v>109.40034199999999</v>
      </c>
      <c r="J71" s="59">
        <v>113.392246</v>
      </c>
      <c r="K71" s="59">
        <v>118.332944</v>
      </c>
      <c r="L71" s="59">
        <v>121.024208</v>
      </c>
      <c r="M71" s="59">
        <v>127.388811</v>
      </c>
      <c r="N71" s="59">
        <v>128.39639600000001</v>
      </c>
      <c r="O71" s="59">
        <v>129.08846399999999</v>
      </c>
      <c r="P71" s="59">
        <v>137.27530300000001</v>
      </c>
      <c r="Q71" s="59">
        <v>131.49568400000001</v>
      </c>
      <c r="R71" s="59">
        <v>131.02670129000001</v>
      </c>
      <c r="S71" s="59">
        <v>140.01228465</v>
      </c>
      <c r="T71" s="59">
        <v>150.47276489999999</v>
      </c>
      <c r="U71" s="59">
        <v>151.03313369</v>
      </c>
      <c r="V71" s="59">
        <v>168.4049421</v>
      </c>
      <c r="W71" s="59">
        <v>177.93930669</v>
      </c>
      <c r="X71" s="59">
        <v>194.00337141</v>
      </c>
      <c r="Y71" s="59">
        <v>166.21129486999999</v>
      </c>
      <c r="Z71" s="59">
        <v>168.46680583</v>
      </c>
      <c r="AA71" s="59">
        <v>182.18835214999999</v>
      </c>
      <c r="AB71" s="59">
        <v>192.85498056</v>
      </c>
    </row>
    <row r="72" spans="1:28" x14ac:dyDescent="0.2">
      <c r="A72" s="56" t="s">
        <v>182</v>
      </c>
      <c r="B72" s="56" t="s">
        <v>97</v>
      </c>
      <c r="C72" s="59">
        <v>84.944507000000002</v>
      </c>
      <c r="D72" s="59">
        <v>86.819748000000004</v>
      </c>
      <c r="E72" s="59">
        <v>92.379132999999996</v>
      </c>
      <c r="F72" s="59">
        <v>95.951586000000006</v>
      </c>
      <c r="G72" s="59">
        <v>99.486495000000005</v>
      </c>
      <c r="H72" s="59">
        <v>103.07247</v>
      </c>
      <c r="I72" s="59">
        <v>104.584858</v>
      </c>
      <c r="J72" s="59">
        <v>106.32346099999999</v>
      </c>
      <c r="K72" s="59">
        <v>113.581324</v>
      </c>
      <c r="L72" s="59">
        <v>116.200001</v>
      </c>
      <c r="M72" s="59">
        <v>122.48425326</v>
      </c>
      <c r="N72" s="59">
        <v>119.60988999999999</v>
      </c>
      <c r="O72" s="59">
        <v>117.986457</v>
      </c>
      <c r="P72" s="59">
        <v>120.953096</v>
      </c>
      <c r="Q72" s="59">
        <v>129.10377099999999</v>
      </c>
      <c r="R72" s="59">
        <v>134.84953049000001</v>
      </c>
      <c r="S72" s="59">
        <v>154.47983932</v>
      </c>
      <c r="T72" s="59">
        <v>160.78977065999999</v>
      </c>
      <c r="U72" s="59">
        <v>164.82923058</v>
      </c>
      <c r="V72" s="59">
        <v>216.82861446999999</v>
      </c>
      <c r="W72" s="59">
        <v>214.48859931999999</v>
      </c>
      <c r="X72" s="59">
        <v>220.48765</v>
      </c>
      <c r="Y72" s="59">
        <v>168.23169881000001</v>
      </c>
      <c r="Z72" s="59">
        <v>179.34340886999999</v>
      </c>
      <c r="AA72" s="59">
        <v>199.26076563000001</v>
      </c>
      <c r="AB72" s="59">
        <v>188.80665228999999</v>
      </c>
    </row>
    <row r="73" spans="1:28" x14ac:dyDescent="0.2">
      <c r="A73" s="56" t="s">
        <v>182</v>
      </c>
      <c r="B73" s="56" t="s">
        <v>61</v>
      </c>
      <c r="C73" s="59">
        <v>186.86960099999999</v>
      </c>
      <c r="D73" s="59">
        <v>190.46466699999999</v>
      </c>
      <c r="E73" s="59">
        <v>199.36750900000001</v>
      </c>
      <c r="F73" s="59">
        <v>211.880921</v>
      </c>
      <c r="G73" s="59">
        <v>221.124199</v>
      </c>
      <c r="H73" s="59">
        <v>231.763091</v>
      </c>
      <c r="I73" s="59">
        <v>238.12607700000001</v>
      </c>
      <c r="J73" s="59">
        <v>239.46882299999999</v>
      </c>
      <c r="K73" s="59">
        <v>256.010525999999</v>
      </c>
      <c r="L73" s="59">
        <v>261.973997</v>
      </c>
      <c r="M73" s="59">
        <v>275.62232247999998</v>
      </c>
      <c r="N73" s="59">
        <v>262.71595300000001</v>
      </c>
      <c r="O73" s="59">
        <v>255.87674000000001</v>
      </c>
      <c r="P73" s="59">
        <v>264.84578499999998</v>
      </c>
      <c r="Q73" s="59">
        <v>272.97261800000001</v>
      </c>
      <c r="R73" s="59">
        <v>279.25777763000002</v>
      </c>
      <c r="S73" s="59">
        <v>302.25398467000002</v>
      </c>
      <c r="T73" s="59">
        <v>308.81947772000001</v>
      </c>
      <c r="U73" s="59">
        <v>313.92870171999999</v>
      </c>
      <c r="V73" s="59">
        <v>321.39446120000002</v>
      </c>
      <c r="W73" s="59">
        <v>301.2254643</v>
      </c>
      <c r="X73" s="59">
        <v>322.24935562000002</v>
      </c>
      <c r="Y73" s="59">
        <v>296.66803148999998</v>
      </c>
      <c r="Z73" s="59">
        <v>334.75146907999999</v>
      </c>
      <c r="AA73" s="59">
        <v>349.65875016000001</v>
      </c>
      <c r="AB73" s="59">
        <v>378.16028922999999</v>
      </c>
    </row>
    <row r="74" spans="1:28" x14ac:dyDescent="0.2">
      <c r="A74" s="56" t="s">
        <v>182</v>
      </c>
      <c r="B74" s="56" t="s">
        <v>62</v>
      </c>
      <c r="C74" s="59">
        <v>744.09542499999998</v>
      </c>
      <c r="D74" s="59">
        <v>769.26724999999999</v>
      </c>
      <c r="E74" s="59">
        <v>803.428179</v>
      </c>
      <c r="F74" s="59">
        <v>868.36544800000001</v>
      </c>
      <c r="G74" s="59">
        <v>894.64200699999901</v>
      </c>
      <c r="H74" s="59">
        <v>944.20414399999902</v>
      </c>
      <c r="I74" s="59">
        <v>1023.91311</v>
      </c>
      <c r="J74" s="59">
        <v>1118.5947510000001</v>
      </c>
      <c r="K74" s="59">
        <v>1173.55683</v>
      </c>
      <c r="L74" s="59">
        <v>1198.2293990000001</v>
      </c>
      <c r="M74" s="59">
        <v>1264.2603690000001</v>
      </c>
      <c r="N74" s="59">
        <v>1258.8678179999999</v>
      </c>
      <c r="O74" s="59">
        <v>1269.1652280000001</v>
      </c>
      <c r="P74" s="59">
        <v>1313.7317720000001</v>
      </c>
      <c r="Q74" s="59">
        <v>1280.6236530000001</v>
      </c>
      <c r="R74" s="59">
        <v>1262.35585298</v>
      </c>
      <c r="S74" s="59">
        <v>1319.65989124</v>
      </c>
      <c r="T74" s="59">
        <v>1286.0202793599999</v>
      </c>
      <c r="U74" s="59">
        <v>1269.62318469</v>
      </c>
      <c r="V74" s="59">
        <v>1312.3988114199999</v>
      </c>
      <c r="W74" s="59">
        <v>1361.7348735099999</v>
      </c>
      <c r="X74" s="59">
        <v>1431.1376659499999</v>
      </c>
      <c r="Y74" s="59">
        <v>1434.3878183899999</v>
      </c>
      <c r="Z74" s="59">
        <v>1612.5979504300001</v>
      </c>
      <c r="AA74" s="59">
        <v>1804.1017592999999</v>
      </c>
      <c r="AB74" s="59">
        <v>2114.9107987799998</v>
      </c>
    </row>
    <row r="75" spans="1:28" x14ac:dyDescent="0.2">
      <c r="A75" s="56" t="s">
        <v>182</v>
      </c>
      <c r="B75" s="56" t="s">
        <v>63</v>
      </c>
      <c r="C75" s="59">
        <v>1263.954393</v>
      </c>
      <c r="D75" s="59">
        <v>1293.381758</v>
      </c>
      <c r="E75" s="59">
        <v>1337.3154319999901</v>
      </c>
      <c r="F75" s="59">
        <v>1424.849878</v>
      </c>
      <c r="G75" s="59">
        <v>1463.731115</v>
      </c>
      <c r="H75" s="59">
        <v>1545.761788</v>
      </c>
      <c r="I75" s="59">
        <v>1596.300992</v>
      </c>
      <c r="J75" s="59">
        <v>1674.17285156</v>
      </c>
      <c r="K75" s="59">
        <v>1790.542948</v>
      </c>
      <c r="L75" s="59">
        <v>1821.2826219999999</v>
      </c>
      <c r="M75" s="59">
        <v>1928.6487619</v>
      </c>
      <c r="N75" s="59">
        <v>1905.5575309999999</v>
      </c>
      <c r="O75" s="59">
        <v>1871.0894519999999</v>
      </c>
      <c r="P75" s="59">
        <v>1931.730542</v>
      </c>
      <c r="Q75" s="59">
        <v>1955.5355503799999</v>
      </c>
      <c r="R75" s="59">
        <v>2071.9826610800001</v>
      </c>
      <c r="S75" s="59">
        <v>2139.2061894600001</v>
      </c>
      <c r="T75" s="59">
        <v>2117.4240375899999</v>
      </c>
      <c r="U75" s="59">
        <v>2165.6458688600001</v>
      </c>
      <c r="V75" s="59">
        <v>2309.61700969</v>
      </c>
      <c r="W75" s="59">
        <v>2320.0023519599999</v>
      </c>
      <c r="X75" s="59">
        <v>2450.7789131499999</v>
      </c>
      <c r="Y75" s="59">
        <v>2422.3072291100002</v>
      </c>
      <c r="Z75" s="59">
        <v>2501.24707373</v>
      </c>
      <c r="AA75" s="59">
        <v>2616.3165265399998</v>
      </c>
      <c r="AB75" s="59">
        <v>2882.2015704599999</v>
      </c>
    </row>
    <row r="76" spans="1:28" x14ac:dyDescent="0.2">
      <c r="A76" s="56" t="s">
        <v>182</v>
      </c>
      <c r="B76" s="56" t="s">
        <v>64</v>
      </c>
      <c r="C76" s="59">
        <v>2474.3841299999999</v>
      </c>
      <c r="D76" s="59">
        <v>2500.8567800000001</v>
      </c>
      <c r="E76" s="59">
        <v>2675.1979385</v>
      </c>
      <c r="F76" s="59">
        <v>2785.2476634999998</v>
      </c>
      <c r="G76" s="59">
        <v>2911.5270635000002</v>
      </c>
      <c r="H76" s="59">
        <v>3100.7368339999998</v>
      </c>
      <c r="I76" s="59">
        <v>3251.0765504999999</v>
      </c>
      <c r="J76" s="59">
        <v>3364.8549125</v>
      </c>
      <c r="K76" s="59">
        <v>3544.8436465</v>
      </c>
      <c r="L76" s="59">
        <v>3723.0595935000001</v>
      </c>
      <c r="M76" s="59">
        <v>3788.2717269999998</v>
      </c>
      <c r="N76" s="59">
        <v>3758.6422315</v>
      </c>
      <c r="O76" s="59">
        <v>3802.3924735000001</v>
      </c>
      <c r="P76" s="59">
        <v>3910.56568118</v>
      </c>
      <c r="Q76" s="59">
        <v>3991.3281065199999</v>
      </c>
      <c r="R76" s="59">
        <v>4119.97532495</v>
      </c>
      <c r="S76" s="59">
        <v>4266.8142055500002</v>
      </c>
      <c r="T76" s="59">
        <v>4312.9894978399998</v>
      </c>
      <c r="U76" s="59">
        <v>4361.4173658899999</v>
      </c>
      <c r="V76" s="59">
        <v>4496.3573367400004</v>
      </c>
      <c r="W76" s="59">
        <v>4623.3036999799997</v>
      </c>
      <c r="X76" s="59">
        <v>4878.2420114699999</v>
      </c>
      <c r="Y76" s="59">
        <v>4706.6708824500001</v>
      </c>
      <c r="Z76" s="59">
        <v>5035.91180239</v>
      </c>
      <c r="AA76" s="59">
        <v>5310.3148469500002</v>
      </c>
      <c r="AB76" s="59">
        <v>5846.2036175699996</v>
      </c>
    </row>
    <row r="77" spans="1:28" x14ac:dyDescent="0.2">
      <c r="A77" s="56" t="s">
        <v>182</v>
      </c>
      <c r="B77" s="56" t="s">
        <v>65</v>
      </c>
      <c r="C77" s="59">
        <v>3225.005682</v>
      </c>
      <c r="D77" s="59">
        <v>3263.0030929999998</v>
      </c>
      <c r="E77" s="59">
        <v>3372.0528989999998</v>
      </c>
      <c r="F77" s="59">
        <v>3462.8465799999999</v>
      </c>
      <c r="G77" s="59">
        <v>3592.598641</v>
      </c>
      <c r="H77" s="59">
        <v>3776.8446439999998</v>
      </c>
      <c r="I77" s="59">
        <v>3954.418713</v>
      </c>
      <c r="J77" s="59">
        <v>4131.9434780000001</v>
      </c>
      <c r="K77" s="59">
        <v>4487.1233050000001</v>
      </c>
      <c r="L77" s="59">
        <v>4643.7451680000004</v>
      </c>
      <c r="M77" s="59">
        <v>4861.4372370000001</v>
      </c>
      <c r="N77" s="59">
        <v>4691.6906730000001</v>
      </c>
      <c r="O77" s="59">
        <v>4732.3099810000003</v>
      </c>
      <c r="P77" s="59">
        <v>4755.0810009999996</v>
      </c>
      <c r="Q77" s="59">
        <v>4915.7812219999996</v>
      </c>
      <c r="R77" s="59">
        <v>5128.3332280799996</v>
      </c>
      <c r="S77" s="59">
        <v>5363.3701061299998</v>
      </c>
      <c r="T77" s="59">
        <v>5508.9845586199999</v>
      </c>
      <c r="U77" s="59">
        <v>5719.4162186799904</v>
      </c>
      <c r="V77" s="59">
        <v>5939.0884728000001</v>
      </c>
      <c r="W77" s="59">
        <v>5923.5630707800001</v>
      </c>
      <c r="X77" s="59">
        <v>6162.5110780900004</v>
      </c>
      <c r="Y77" s="59">
        <v>6181.10962939</v>
      </c>
      <c r="Z77" s="59">
        <v>6463.0115207099998</v>
      </c>
      <c r="AA77" s="59">
        <v>6968.5272103099996</v>
      </c>
      <c r="AB77" s="59">
        <v>7406.4282394100001</v>
      </c>
    </row>
    <row r="78" spans="1:28" x14ac:dyDescent="0.2">
      <c r="A78" s="56" t="s">
        <v>182</v>
      </c>
      <c r="B78" s="56" t="s">
        <v>66</v>
      </c>
      <c r="C78" s="59">
        <v>191.675276</v>
      </c>
      <c r="D78" s="59">
        <v>201.44259199999999</v>
      </c>
      <c r="E78" s="59">
        <v>211.41848400000001</v>
      </c>
      <c r="F78" s="59">
        <v>222.85466400000001</v>
      </c>
      <c r="G78" s="59">
        <v>221.70044099999899</v>
      </c>
      <c r="H78" s="59">
        <v>241.17199400000001</v>
      </c>
      <c r="I78" s="59">
        <v>265.47713800000002</v>
      </c>
      <c r="J78" s="59">
        <v>285.80498899999998</v>
      </c>
      <c r="K78" s="59">
        <v>291.85447699999997</v>
      </c>
      <c r="L78" s="59">
        <v>301.16656799999998</v>
      </c>
      <c r="M78" s="59">
        <v>316.28066000000001</v>
      </c>
      <c r="N78" s="59">
        <v>314.07171699999998</v>
      </c>
      <c r="O78" s="59">
        <v>313.32472200000001</v>
      </c>
      <c r="P78" s="59">
        <v>333.28904399999999</v>
      </c>
      <c r="Q78" s="59">
        <v>334.84554300000002</v>
      </c>
      <c r="R78" s="59">
        <v>321.56459007000001</v>
      </c>
      <c r="S78" s="59">
        <v>326.25475577999998</v>
      </c>
      <c r="T78" s="59">
        <v>322.43912931</v>
      </c>
      <c r="U78" s="59">
        <v>332.48810512</v>
      </c>
      <c r="V78" s="59">
        <v>346.59172494000001</v>
      </c>
      <c r="W78" s="59">
        <v>353.48595454999997</v>
      </c>
      <c r="X78" s="59">
        <v>390.99234933000002</v>
      </c>
      <c r="Y78" s="59">
        <v>366.78780326999998</v>
      </c>
      <c r="Z78" s="59">
        <v>388.79695270000002</v>
      </c>
      <c r="AA78" s="59">
        <v>423.03022530999999</v>
      </c>
      <c r="AB78" s="59">
        <v>467.36606841999998</v>
      </c>
    </row>
    <row r="79" spans="1:28" x14ac:dyDescent="0.2">
      <c r="A79" s="56" t="s">
        <v>182</v>
      </c>
      <c r="B79" s="56" t="s">
        <v>67</v>
      </c>
      <c r="C79" s="59">
        <v>11077.109257</v>
      </c>
      <c r="D79" s="59">
        <v>11225.335402000001</v>
      </c>
      <c r="E79" s="59">
        <v>12074.205797000001</v>
      </c>
      <c r="F79" s="59">
        <v>12998.458644</v>
      </c>
      <c r="G79" s="59">
        <v>13924.962512</v>
      </c>
      <c r="H79" s="59">
        <v>15075.823340999999</v>
      </c>
      <c r="I79" s="59">
        <v>16402.351560999999</v>
      </c>
      <c r="J79" s="59">
        <v>17287.0739029</v>
      </c>
      <c r="K79" s="59">
        <v>18161.144402000002</v>
      </c>
      <c r="L79" s="59">
        <v>19095.496029000002</v>
      </c>
      <c r="M79" s="59">
        <v>19173.002263869999</v>
      </c>
      <c r="N79" s="59">
        <v>20010.357536</v>
      </c>
      <c r="O79" s="59">
        <v>19976.803800000002</v>
      </c>
      <c r="P79" s="59">
        <v>20077.13305611</v>
      </c>
      <c r="Q79" s="59">
        <v>20977.738100999999</v>
      </c>
      <c r="R79" s="59">
        <v>21952.04990288</v>
      </c>
      <c r="S79" s="59">
        <v>22832.40932337</v>
      </c>
      <c r="T79" s="59">
        <v>23439.030517219999</v>
      </c>
      <c r="U79" s="59">
        <v>25430.161425049999</v>
      </c>
      <c r="V79" s="59">
        <v>27095.75255999</v>
      </c>
      <c r="W79" s="59">
        <v>28027.906550880001</v>
      </c>
      <c r="X79" s="59">
        <v>29303.666791209998</v>
      </c>
      <c r="Y79" s="59">
        <v>27640.54226513</v>
      </c>
      <c r="Z79" s="59">
        <v>30491.539087360001</v>
      </c>
      <c r="AA79" s="59">
        <v>34603.190257260001</v>
      </c>
      <c r="AB79" s="59">
        <v>38705.780714389999</v>
      </c>
    </row>
    <row r="80" spans="1:28" x14ac:dyDescent="0.2">
      <c r="A80" s="56" t="s">
        <v>182</v>
      </c>
      <c r="B80" s="56" t="s">
        <v>68</v>
      </c>
      <c r="C80" s="59">
        <v>1160.3243199999999</v>
      </c>
      <c r="D80" s="59">
        <v>1186.1212169999999</v>
      </c>
      <c r="E80" s="59">
        <v>1216.7862239999999</v>
      </c>
      <c r="F80" s="59">
        <v>1247.7802039999999</v>
      </c>
      <c r="G80" s="59">
        <v>1290.624726</v>
      </c>
      <c r="H80" s="59">
        <v>1391.047231</v>
      </c>
      <c r="I80" s="59">
        <v>1476.3409220000001</v>
      </c>
      <c r="J80" s="59">
        <v>1554.40095</v>
      </c>
      <c r="K80" s="59">
        <v>1654.165274</v>
      </c>
      <c r="L80" s="59">
        <v>1771.283827</v>
      </c>
      <c r="M80" s="59">
        <v>1972.101136</v>
      </c>
      <c r="N80" s="59">
        <v>1976.4384279999999</v>
      </c>
      <c r="O80" s="59">
        <v>1952.4328820000001</v>
      </c>
      <c r="P80" s="59">
        <v>2055.1210110000002</v>
      </c>
      <c r="Q80" s="59">
        <v>2023.3569640000001</v>
      </c>
      <c r="R80" s="59">
        <v>2080.28072337</v>
      </c>
      <c r="S80" s="59">
        <v>2120.0052977700002</v>
      </c>
      <c r="T80" s="59">
        <v>2180.8478592199999</v>
      </c>
      <c r="U80" s="59">
        <v>2151.9950530000001</v>
      </c>
      <c r="V80" s="59">
        <v>2351.6017990800001</v>
      </c>
      <c r="W80" s="59">
        <v>2385.51451877</v>
      </c>
      <c r="X80" s="59">
        <v>2457.7682559099999</v>
      </c>
      <c r="Y80" s="59">
        <v>2413.5013749999998</v>
      </c>
      <c r="Z80" s="59">
        <v>2554.0437001099999</v>
      </c>
      <c r="AA80" s="59">
        <v>2819.0199763300002</v>
      </c>
      <c r="AB80" s="59">
        <v>3131.8505460599999</v>
      </c>
    </row>
    <row r="81" spans="1:28" x14ac:dyDescent="0.2">
      <c r="A81" s="56" t="s">
        <v>182</v>
      </c>
      <c r="B81" s="56" t="s">
        <v>69</v>
      </c>
      <c r="C81" s="59">
        <v>3660.4523135999998</v>
      </c>
      <c r="D81" s="59">
        <v>3698.1368219300002</v>
      </c>
      <c r="E81" s="59">
        <v>3866.8349560000001</v>
      </c>
      <c r="F81" s="59">
        <v>4049.4521810000001</v>
      </c>
      <c r="G81" s="59">
        <v>4209.8734649999997</v>
      </c>
      <c r="H81" s="59">
        <v>4557.1747189999996</v>
      </c>
      <c r="I81" s="59">
        <v>4798.4448739999998</v>
      </c>
      <c r="J81" s="59">
        <v>5149.0613147399999</v>
      </c>
      <c r="K81" s="59">
        <v>5436.4668848000001</v>
      </c>
      <c r="L81" s="59">
        <v>5690.057519</v>
      </c>
      <c r="M81" s="59">
        <v>5922.6725829999996</v>
      </c>
      <c r="N81" s="59">
        <v>5906.0895719999999</v>
      </c>
      <c r="O81" s="59">
        <v>5857.9590449999996</v>
      </c>
      <c r="P81" s="59">
        <v>5877.9878580000004</v>
      </c>
      <c r="Q81" s="59">
        <v>5949.3835630000003</v>
      </c>
      <c r="R81" s="59">
        <v>6225.7589968399998</v>
      </c>
      <c r="S81" s="59">
        <v>6429.3105398300004</v>
      </c>
      <c r="T81" s="59">
        <v>6616.3080438899997</v>
      </c>
      <c r="U81" s="59">
        <v>6629.3635033</v>
      </c>
      <c r="V81" s="59">
        <v>6821.3331842600001</v>
      </c>
      <c r="W81" s="59">
        <v>7010.3489463899996</v>
      </c>
      <c r="X81" s="59">
        <v>7422.1358008200004</v>
      </c>
      <c r="Y81" s="59">
        <v>7009.1716360999999</v>
      </c>
      <c r="Z81" s="59">
        <v>7576.9747590799998</v>
      </c>
      <c r="AA81" s="59">
        <v>8110.5324769500003</v>
      </c>
      <c r="AB81" s="59">
        <v>8551.9475662900004</v>
      </c>
    </row>
    <row r="82" spans="1:28" x14ac:dyDescent="0.2">
      <c r="A82" s="56" t="s">
        <v>182</v>
      </c>
      <c r="B82" s="56" t="s">
        <v>70</v>
      </c>
      <c r="C82" s="59">
        <v>269.42520350000001</v>
      </c>
      <c r="D82" s="59">
        <v>290.0382065</v>
      </c>
      <c r="E82" s="59">
        <v>304.19655999999998</v>
      </c>
      <c r="F82" s="59">
        <v>321.35874899999999</v>
      </c>
      <c r="G82" s="59">
        <v>318.42048</v>
      </c>
      <c r="H82" s="59">
        <v>341.3922675</v>
      </c>
      <c r="I82" s="59">
        <v>381.00068281</v>
      </c>
      <c r="J82" s="59">
        <v>415.49221649999998</v>
      </c>
      <c r="K82" s="59">
        <v>417.71811300000002</v>
      </c>
      <c r="L82" s="59">
        <v>422.84901200000002</v>
      </c>
      <c r="M82" s="59">
        <v>433.04278199999999</v>
      </c>
      <c r="N82" s="59">
        <v>419.93076300000001</v>
      </c>
      <c r="O82" s="59">
        <v>423.74809549999998</v>
      </c>
      <c r="P82" s="59">
        <v>427.088615</v>
      </c>
      <c r="Q82" s="59">
        <v>446.93341972000002</v>
      </c>
      <c r="R82" s="59">
        <v>468.110668279999</v>
      </c>
      <c r="S82" s="59">
        <v>484.07248357999998</v>
      </c>
      <c r="T82" s="59">
        <v>495.96757352999998</v>
      </c>
      <c r="U82" s="59">
        <v>530.01588370000002</v>
      </c>
      <c r="V82" s="59">
        <v>568.59578563000002</v>
      </c>
      <c r="W82" s="59">
        <v>579.86811087000001</v>
      </c>
      <c r="X82" s="59">
        <v>584.01478071999998</v>
      </c>
      <c r="Y82" s="59">
        <v>543.24708411999995</v>
      </c>
      <c r="Z82" s="59">
        <v>569.73038042999997</v>
      </c>
      <c r="AA82" s="59">
        <v>654.51481161999902</v>
      </c>
      <c r="AB82" s="59">
        <v>727.85617381999998</v>
      </c>
    </row>
    <row r="83" spans="1:28" x14ac:dyDescent="0.2">
      <c r="A83" s="56" t="s">
        <v>182</v>
      </c>
      <c r="B83" s="56" t="s">
        <v>71</v>
      </c>
      <c r="C83" s="59">
        <v>276.96229499999998</v>
      </c>
      <c r="D83" s="59">
        <v>276.659606</v>
      </c>
      <c r="E83" s="59">
        <v>285.868944</v>
      </c>
      <c r="F83" s="59">
        <v>306.30499800000001</v>
      </c>
      <c r="G83" s="59">
        <v>301.99115999999998</v>
      </c>
      <c r="H83" s="59">
        <v>301.17670800000002</v>
      </c>
      <c r="I83" s="59">
        <v>319.322543</v>
      </c>
      <c r="J83" s="59">
        <v>335.926536</v>
      </c>
      <c r="K83" s="59">
        <v>355.42294500000003</v>
      </c>
      <c r="L83" s="59">
        <v>387.678111</v>
      </c>
      <c r="M83" s="59">
        <v>395.99322799999999</v>
      </c>
      <c r="N83" s="59">
        <v>401.233024</v>
      </c>
      <c r="O83" s="59">
        <v>404.87028500000002</v>
      </c>
      <c r="P83" s="59">
        <v>427.70564899999999</v>
      </c>
      <c r="Q83" s="59">
        <v>422.02093600000001</v>
      </c>
      <c r="R83" s="59">
        <v>435.03710324000002</v>
      </c>
      <c r="S83" s="59">
        <v>480.91980280000001</v>
      </c>
      <c r="T83" s="59">
        <v>463.09607875</v>
      </c>
      <c r="U83" s="59">
        <v>448.54769399999998</v>
      </c>
      <c r="V83" s="59">
        <v>489.72672468000002</v>
      </c>
      <c r="W83" s="59">
        <v>462.55645343999998</v>
      </c>
      <c r="X83" s="59">
        <v>457.78326976</v>
      </c>
      <c r="Y83" s="59">
        <v>437.13073100000003</v>
      </c>
      <c r="Z83" s="59">
        <v>486.259402149999</v>
      </c>
      <c r="AA83" s="59">
        <v>489.64184103999997</v>
      </c>
      <c r="AB83" s="59">
        <v>543.41084413999999</v>
      </c>
    </row>
    <row r="84" spans="1:28" x14ac:dyDescent="0.2">
      <c r="A84" s="56" t="s">
        <v>182</v>
      </c>
      <c r="B84" s="56" t="s">
        <v>72</v>
      </c>
      <c r="C84" s="59">
        <v>615.99764000000005</v>
      </c>
      <c r="D84" s="59">
        <v>624.69378800000004</v>
      </c>
      <c r="E84" s="59">
        <v>654.71082899999999</v>
      </c>
      <c r="F84" s="59">
        <v>700.557682</v>
      </c>
      <c r="G84" s="59">
        <v>732.22013600000002</v>
      </c>
      <c r="H84" s="59">
        <v>776.92693499999996</v>
      </c>
      <c r="I84" s="59">
        <v>814.81372199999998</v>
      </c>
      <c r="J84" s="59">
        <v>861.34704899999997</v>
      </c>
      <c r="K84" s="59">
        <v>912.78153199999997</v>
      </c>
      <c r="L84" s="59">
        <v>934.29172200000005</v>
      </c>
      <c r="M84" s="59">
        <v>981.006439</v>
      </c>
      <c r="N84" s="59">
        <v>971.00422700000001</v>
      </c>
      <c r="O84" s="59">
        <v>978.51397699999995</v>
      </c>
      <c r="P84" s="59">
        <v>1016.056011</v>
      </c>
      <c r="Q84" s="59">
        <v>1038.3901040000001</v>
      </c>
      <c r="R84" s="59">
        <v>1083.9895425699999</v>
      </c>
      <c r="S84" s="59">
        <v>1172.2945008500001</v>
      </c>
      <c r="T84" s="59">
        <v>1224.7370226600001</v>
      </c>
      <c r="U84" s="59">
        <v>1260.77406963</v>
      </c>
      <c r="V84" s="59">
        <v>1326.8896818200001</v>
      </c>
      <c r="W84" s="59">
        <v>1390.59688246</v>
      </c>
      <c r="X84" s="59">
        <v>1442.650218</v>
      </c>
      <c r="Y84" s="59">
        <v>1426.3345976099999</v>
      </c>
      <c r="Z84" s="59">
        <v>1507.68029108</v>
      </c>
      <c r="AA84" s="59">
        <v>1534.9732775699999</v>
      </c>
      <c r="AB84" s="59">
        <v>1650.7982631899999</v>
      </c>
    </row>
    <row r="85" spans="1:28" x14ac:dyDescent="0.2">
      <c r="A85" s="56" t="s">
        <v>182</v>
      </c>
      <c r="B85" s="56" t="s">
        <v>73</v>
      </c>
      <c r="C85" s="59">
        <v>179.03308200000001</v>
      </c>
      <c r="D85" s="59">
        <v>175.09461999999999</v>
      </c>
      <c r="E85" s="59">
        <v>184.843377</v>
      </c>
      <c r="F85" s="59">
        <v>191.84530000000001</v>
      </c>
      <c r="G85" s="59">
        <v>208.451438</v>
      </c>
      <c r="H85" s="59">
        <v>220.24211500000001</v>
      </c>
      <c r="I85" s="59">
        <v>244.68647300000001</v>
      </c>
      <c r="J85" s="59">
        <v>260.92698200000001</v>
      </c>
      <c r="K85" s="59">
        <v>293.01342</v>
      </c>
      <c r="L85" s="59">
        <v>284.229964</v>
      </c>
      <c r="M85" s="59">
        <v>303.17051500000002</v>
      </c>
      <c r="N85" s="59">
        <v>296.82019700000001</v>
      </c>
      <c r="O85" s="59">
        <v>287.646928</v>
      </c>
      <c r="P85" s="59">
        <v>300.492818</v>
      </c>
      <c r="Q85" s="59">
        <v>256.89095600000002</v>
      </c>
      <c r="R85" s="59">
        <v>233.32337681000001</v>
      </c>
      <c r="S85" s="59">
        <v>261.84990988999999</v>
      </c>
      <c r="T85" s="59">
        <v>269.79252165999998</v>
      </c>
      <c r="U85" s="59">
        <v>260.23739716</v>
      </c>
      <c r="V85" s="59">
        <v>306.25299419999999</v>
      </c>
      <c r="W85" s="59">
        <v>307.59298396000003</v>
      </c>
      <c r="X85" s="59">
        <v>304.18738903000002</v>
      </c>
      <c r="Y85" s="59">
        <v>245.32810157</v>
      </c>
      <c r="Z85" s="59">
        <v>278.99348273999999</v>
      </c>
      <c r="AA85" s="59">
        <v>284.25560098</v>
      </c>
      <c r="AB85" s="59">
        <v>320.4294658</v>
      </c>
    </row>
    <row r="86" spans="1:28" x14ac:dyDescent="0.2">
      <c r="A86" s="56" t="s">
        <v>182</v>
      </c>
      <c r="B86" s="56" t="s">
        <v>53</v>
      </c>
      <c r="C86" s="59">
        <v>17493.06192344</v>
      </c>
      <c r="D86" s="59">
        <v>17834.107751579999</v>
      </c>
      <c r="E86" s="59">
        <v>18449.593056500002</v>
      </c>
      <c r="F86" s="59">
        <v>19634.049899500002</v>
      </c>
      <c r="G86" s="59">
        <v>20110.246941000001</v>
      </c>
      <c r="H86" s="59">
        <v>21165.458140999999</v>
      </c>
      <c r="I86" s="59">
        <v>22656.329342000001</v>
      </c>
      <c r="J86" s="59">
        <v>24322.440770860001</v>
      </c>
      <c r="K86" s="59">
        <v>25635.33546545</v>
      </c>
      <c r="L86" s="59">
        <v>26110.686451000001</v>
      </c>
      <c r="M86" s="59">
        <v>27290.10466737</v>
      </c>
      <c r="N86" s="59">
        <v>26971.896637500002</v>
      </c>
      <c r="O86" s="59">
        <v>26434.611581000001</v>
      </c>
      <c r="P86" s="59">
        <v>27191.610220999999</v>
      </c>
      <c r="Q86" s="59">
        <v>27741.386475359999</v>
      </c>
      <c r="R86" s="59">
        <v>29097.616338489999</v>
      </c>
      <c r="S86" s="59">
        <v>30684.45945255</v>
      </c>
      <c r="T86" s="59">
        <v>31092.256779840001</v>
      </c>
      <c r="U86" s="59">
        <v>31604.511266090001</v>
      </c>
      <c r="V86" s="59">
        <v>33970.759844239998</v>
      </c>
      <c r="W86" s="59">
        <v>34538.287363089999</v>
      </c>
      <c r="X86" s="59">
        <v>35987.929493919997</v>
      </c>
      <c r="Y86" s="59">
        <v>34772.184113980002</v>
      </c>
      <c r="Z86" s="59">
        <v>37522.562293050003</v>
      </c>
      <c r="AA86" s="59">
        <v>41010.78172228</v>
      </c>
      <c r="AB86" s="59">
        <v>45034.727007779999</v>
      </c>
    </row>
    <row r="87" spans="1:28" x14ac:dyDescent="0.2">
      <c r="A87" s="56" t="s">
        <v>182</v>
      </c>
      <c r="B87" s="56" t="s">
        <v>74</v>
      </c>
      <c r="C87" s="59">
        <v>80.937686999999997</v>
      </c>
      <c r="D87" s="59">
        <v>86.251822000000004</v>
      </c>
      <c r="E87" s="59">
        <v>88.727526999999995</v>
      </c>
      <c r="F87" s="59">
        <v>93.308426999999995</v>
      </c>
      <c r="G87" s="59">
        <v>95.741603999999995</v>
      </c>
      <c r="H87" s="59">
        <v>108.099159</v>
      </c>
      <c r="I87" s="59">
        <v>115.58900833</v>
      </c>
      <c r="J87" s="59">
        <v>122.15607</v>
      </c>
      <c r="K87" s="59">
        <v>130.22100399999999</v>
      </c>
      <c r="L87" s="59">
        <v>131.343964</v>
      </c>
      <c r="M87" s="59">
        <v>139.18582499999999</v>
      </c>
      <c r="N87" s="59">
        <v>137.749863</v>
      </c>
      <c r="O87" s="59">
        <v>138.328551</v>
      </c>
      <c r="P87" s="59">
        <v>145.309853</v>
      </c>
      <c r="Q87" s="59">
        <v>142.48467887999999</v>
      </c>
      <c r="R87" s="59">
        <v>151.14567818</v>
      </c>
      <c r="S87" s="59">
        <v>158.73070282</v>
      </c>
      <c r="T87" s="59">
        <v>158.41815312</v>
      </c>
      <c r="U87" s="59">
        <v>152.55871607</v>
      </c>
      <c r="V87" s="59">
        <v>160.05679427999999</v>
      </c>
      <c r="W87" s="59">
        <v>177.88211175000001</v>
      </c>
      <c r="X87" s="59">
        <v>179.88223232000001</v>
      </c>
      <c r="Y87" s="59">
        <v>166.04598490000001</v>
      </c>
      <c r="Z87" s="59">
        <v>179.92752307999999</v>
      </c>
      <c r="AA87" s="59">
        <v>212.68791242</v>
      </c>
      <c r="AB87" s="59">
        <v>231.55487844999999</v>
      </c>
    </row>
    <row r="88" spans="1:28" x14ac:dyDescent="0.2">
      <c r="A88" s="56" t="s">
        <v>182</v>
      </c>
      <c r="B88" s="56" t="s">
        <v>75</v>
      </c>
      <c r="C88" s="59">
        <v>798.74268800000004</v>
      </c>
      <c r="D88" s="59">
        <v>776.11981900000001</v>
      </c>
      <c r="E88" s="59">
        <v>825.08613400000002</v>
      </c>
      <c r="F88" s="59">
        <v>892.94472199999996</v>
      </c>
      <c r="G88" s="59">
        <v>940.63540899999998</v>
      </c>
      <c r="H88" s="59">
        <v>985.25757599999997</v>
      </c>
      <c r="I88" s="59">
        <v>1068.2370599999999</v>
      </c>
      <c r="J88" s="59">
        <v>1109.3630149999999</v>
      </c>
      <c r="K88" s="59">
        <v>1125.0288619999999</v>
      </c>
      <c r="L88" s="59">
        <v>1127.798166</v>
      </c>
      <c r="M88" s="59">
        <v>1196.4275222599999</v>
      </c>
      <c r="N88" s="59">
        <v>1179.2576409999999</v>
      </c>
      <c r="O88" s="59">
        <v>1148.4528929999999</v>
      </c>
      <c r="P88" s="59">
        <v>1199.326579</v>
      </c>
      <c r="Q88" s="59">
        <v>1239.0887209699999</v>
      </c>
      <c r="R88" s="59">
        <v>1201.55206679</v>
      </c>
      <c r="S88" s="59">
        <v>1291.0420898699999</v>
      </c>
      <c r="T88" s="59">
        <v>1300.5909332700001</v>
      </c>
      <c r="U88" s="59">
        <v>1304.77827914</v>
      </c>
      <c r="V88" s="59">
        <v>1289.32728501</v>
      </c>
      <c r="W88" s="59">
        <v>1211.4444243599901</v>
      </c>
      <c r="X88" s="59">
        <v>1175.8563091399999</v>
      </c>
      <c r="Y88" s="59">
        <v>1038.9599740599999</v>
      </c>
      <c r="Z88" s="59">
        <v>1135.29016348</v>
      </c>
      <c r="AA88" s="59">
        <v>1142.0189712900001</v>
      </c>
      <c r="AB88" s="59">
        <v>1272.9607723700001</v>
      </c>
    </row>
    <row r="89" spans="1:28" x14ac:dyDescent="0.2">
      <c r="A89" s="56" t="s">
        <v>182</v>
      </c>
      <c r="B89" s="56" t="s">
        <v>76</v>
      </c>
      <c r="C89" s="59">
        <v>473.47726899999998</v>
      </c>
      <c r="D89" s="59">
        <v>452.83227199999999</v>
      </c>
      <c r="E89" s="59">
        <v>448.772944</v>
      </c>
      <c r="F89" s="59">
        <v>447.688335</v>
      </c>
      <c r="G89" s="59">
        <v>454.85950800000001</v>
      </c>
      <c r="H89" s="59">
        <v>455.73114700000002</v>
      </c>
      <c r="I89" s="59">
        <v>463.89238</v>
      </c>
      <c r="J89" s="59">
        <v>465.36845499999998</v>
      </c>
      <c r="K89" s="59">
        <v>493.35173900000001</v>
      </c>
      <c r="L89" s="59">
        <v>491.48450700000001</v>
      </c>
      <c r="M89" s="59">
        <v>501.042822</v>
      </c>
      <c r="N89" s="59">
        <v>480.87374299999999</v>
      </c>
      <c r="O89" s="59">
        <v>499.460938</v>
      </c>
      <c r="P89" s="59">
        <v>508.21435600000001</v>
      </c>
      <c r="Q89" s="59">
        <v>515.293994</v>
      </c>
      <c r="R89" s="59">
        <v>550.85770166999998</v>
      </c>
      <c r="S89" s="59">
        <v>594.18170606000001</v>
      </c>
      <c r="T89" s="59">
        <v>592.27554805</v>
      </c>
      <c r="U89" s="59">
        <v>562.46937674000003</v>
      </c>
      <c r="V89" s="59">
        <v>585.46550501000002</v>
      </c>
      <c r="W89" s="59">
        <v>619.28036512999995</v>
      </c>
      <c r="X89" s="59">
        <v>607.28662799999995</v>
      </c>
      <c r="Y89" s="59">
        <v>567.91900043999999</v>
      </c>
      <c r="Z89" s="59">
        <v>629.91871202000004</v>
      </c>
      <c r="AA89" s="59">
        <v>688.90511356000002</v>
      </c>
      <c r="AB89" s="59">
        <v>728.86511926000003</v>
      </c>
    </row>
    <row r="90" spans="1:28" x14ac:dyDescent="0.2">
      <c r="A90" s="56" t="s">
        <v>182</v>
      </c>
      <c r="B90" s="56" t="s">
        <v>77</v>
      </c>
      <c r="C90" s="59">
        <v>1414.1861555</v>
      </c>
      <c r="D90" s="59">
        <v>1477.5120755</v>
      </c>
      <c r="E90" s="59">
        <v>1527.507648</v>
      </c>
      <c r="F90" s="59">
        <v>1603.170374</v>
      </c>
      <c r="G90" s="59">
        <v>1624.439036</v>
      </c>
      <c r="H90" s="59">
        <v>1782.1999315</v>
      </c>
      <c r="I90" s="59">
        <v>1932.96567607</v>
      </c>
      <c r="J90" s="59">
        <v>2054.7890385000001</v>
      </c>
      <c r="K90" s="59">
        <v>2147.6391189999999</v>
      </c>
      <c r="L90" s="59">
        <v>2233.5270700000001</v>
      </c>
      <c r="M90" s="59">
        <v>2357.8845179999998</v>
      </c>
      <c r="N90" s="59">
        <v>2316.6475300000002</v>
      </c>
      <c r="O90" s="59">
        <v>2505.1777935</v>
      </c>
      <c r="P90" s="59">
        <v>2679.2258120000001</v>
      </c>
      <c r="Q90" s="59">
        <v>2740.5291758499998</v>
      </c>
      <c r="R90" s="59">
        <v>2939.2046444100001</v>
      </c>
      <c r="S90" s="59">
        <v>3035.8962923200002</v>
      </c>
      <c r="T90" s="59">
        <v>3138.2389129899998</v>
      </c>
      <c r="U90" s="59">
        <v>3210.7570463100001</v>
      </c>
      <c r="V90" s="59">
        <v>3431.1095233699998</v>
      </c>
      <c r="W90" s="59">
        <v>3467.2537350100001</v>
      </c>
      <c r="X90" s="59">
        <v>3554.3573691500001</v>
      </c>
      <c r="Y90" s="59">
        <v>3274.22561662</v>
      </c>
      <c r="Z90" s="59">
        <v>3395.8129388399998</v>
      </c>
      <c r="AA90" s="59">
        <v>3818.4706238700001</v>
      </c>
      <c r="AB90" s="59">
        <v>4160.7303371999997</v>
      </c>
    </row>
    <row r="91" spans="1:28" x14ac:dyDescent="0.2">
      <c r="A91" s="56" t="s">
        <v>182</v>
      </c>
      <c r="B91" s="56" t="s">
        <v>78</v>
      </c>
      <c r="C91" s="59">
        <v>2061.9377840000002</v>
      </c>
      <c r="D91" s="59">
        <v>2139.2511730000001</v>
      </c>
      <c r="E91" s="59">
        <v>2221.9416249999999</v>
      </c>
      <c r="F91" s="59">
        <v>2307.2152929999902</v>
      </c>
      <c r="G91" s="59">
        <v>2307.164225</v>
      </c>
      <c r="H91" s="59">
        <v>2424.8948850000002</v>
      </c>
      <c r="I91" s="59">
        <v>2522.4271429999999</v>
      </c>
      <c r="J91" s="59">
        <v>2737.7544710000002</v>
      </c>
      <c r="K91" s="59">
        <v>2915.8845029999902</v>
      </c>
      <c r="L91" s="59">
        <v>2977.0253290000001</v>
      </c>
      <c r="M91" s="59">
        <v>3115.0090132599998</v>
      </c>
      <c r="N91" s="59">
        <v>3047.8794910000001</v>
      </c>
      <c r="O91" s="59">
        <v>3018.7358060000001</v>
      </c>
      <c r="P91" s="59">
        <v>3039.5561170000001</v>
      </c>
      <c r="Q91" s="59">
        <v>3097.7993339999998</v>
      </c>
      <c r="R91" s="59">
        <v>3228.61241131</v>
      </c>
      <c r="S91" s="59">
        <v>3307.5151206300002</v>
      </c>
      <c r="T91" s="59">
        <v>3307.1818981900001</v>
      </c>
      <c r="U91" s="59">
        <v>3419.9060822699998</v>
      </c>
      <c r="V91" s="59">
        <v>3581.2856378400002</v>
      </c>
      <c r="W91" s="59">
        <v>3572.88397743</v>
      </c>
      <c r="X91" s="59">
        <v>3699.98130954</v>
      </c>
      <c r="Y91" s="59">
        <v>3639.4557942400002</v>
      </c>
      <c r="Z91" s="59">
        <v>3881.66902871</v>
      </c>
      <c r="AA91" s="59">
        <v>4259.2567775099997</v>
      </c>
      <c r="AB91" s="59">
        <v>4791.6183795899997</v>
      </c>
    </row>
    <row r="92" spans="1:28" x14ac:dyDescent="0.2">
      <c r="A92" s="56" t="s">
        <v>182</v>
      </c>
      <c r="B92" s="56" t="s">
        <v>79</v>
      </c>
      <c r="C92" s="59">
        <v>2451.347319</v>
      </c>
      <c r="D92" s="59">
        <v>2518.0413779999999</v>
      </c>
      <c r="E92" s="59">
        <v>2564.958466</v>
      </c>
      <c r="F92" s="59">
        <v>2659.031129</v>
      </c>
      <c r="G92" s="59">
        <v>2795.82429</v>
      </c>
      <c r="H92" s="59">
        <v>2966.4084779999998</v>
      </c>
      <c r="I92" s="59">
        <v>3160.087712</v>
      </c>
      <c r="J92" s="59">
        <v>3280.9326106200001</v>
      </c>
      <c r="K92" s="59">
        <v>3486.93522841</v>
      </c>
      <c r="L92" s="59">
        <v>3650.4126489999999</v>
      </c>
      <c r="M92" s="59">
        <v>3794.2787654200001</v>
      </c>
      <c r="N92" s="59">
        <v>3641.0969839999998</v>
      </c>
      <c r="O92" s="59">
        <v>3744.4239130000001</v>
      </c>
      <c r="P92" s="59">
        <v>3914.1431939999902</v>
      </c>
      <c r="Q92" s="59">
        <v>3980.0299018800001</v>
      </c>
      <c r="R92" s="59">
        <v>3904.4606322999998</v>
      </c>
      <c r="S92" s="59">
        <v>4106.3734937999998</v>
      </c>
      <c r="T92" s="59">
        <v>4398.4751999399996</v>
      </c>
      <c r="U92" s="59">
        <v>4503.1105820000002</v>
      </c>
      <c r="V92" s="59">
        <v>4748.5470326699997</v>
      </c>
      <c r="W92" s="59">
        <v>4977.6436667500002</v>
      </c>
      <c r="X92" s="59">
        <v>5136.5157351199996</v>
      </c>
      <c r="Y92" s="59">
        <v>5007.71454507</v>
      </c>
      <c r="Z92" s="59">
        <v>5468.2589366599996</v>
      </c>
      <c r="AA92" s="59">
        <v>6095.1826547199998</v>
      </c>
      <c r="AB92" s="59">
        <v>6607.2728305600003</v>
      </c>
    </row>
    <row r="93" spans="1:28" x14ac:dyDescent="0.2">
      <c r="A93" s="56" t="s">
        <v>182</v>
      </c>
      <c r="B93" s="56" t="s">
        <v>80</v>
      </c>
      <c r="C93" s="59">
        <v>134.424286</v>
      </c>
      <c r="D93" s="59">
        <v>147.86526900000001</v>
      </c>
      <c r="E93" s="59">
        <v>156.108227</v>
      </c>
      <c r="F93" s="59">
        <v>170.56875600000001</v>
      </c>
      <c r="G93" s="59">
        <v>173.51115799999999</v>
      </c>
      <c r="H93" s="59">
        <v>194.189099</v>
      </c>
      <c r="I93" s="59">
        <v>206.39535100000001</v>
      </c>
      <c r="J93" s="59">
        <v>223.768607</v>
      </c>
      <c r="K93" s="59">
        <v>232.68485999999999</v>
      </c>
      <c r="L93" s="59">
        <v>234.21902900000001</v>
      </c>
      <c r="M93" s="59">
        <v>241.316913</v>
      </c>
      <c r="N93" s="59">
        <v>234.37808100000001</v>
      </c>
      <c r="O93" s="59">
        <v>216.689572</v>
      </c>
      <c r="P93" s="59">
        <v>222.39585700000001</v>
      </c>
      <c r="Q93" s="59">
        <v>216.84693999999999</v>
      </c>
      <c r="R93" s="59">
        <v>203.02010415000001</v>
      </c>
      <c r="S93" s="59">
        <v>211.64123072000001</v>
      </c>
      <c r="T93" s="59">
        <v>213.02098390999899</v>
      </c>
      <c r="U93" s="59">
        <v>214.51325044000001</v>
      </c>
      <c r="V93" s="59">
        <v>231.38660848999999</v>
      </c>
      <c r="W93" s="59">
        <v>221.83252085999999</v>
      </c>
      <c r="X93" s="59">
        <v>248.55107358999999</v>
      </c>
      <c r="Y93" s="59">
        <v>239.73759612999899</v>
      </c>
      <c r="Z93" s="59">
        <v>257.32372535000002</v>
      </c>
      <c r="AA93" s="59">
        <v>273.36486991999999</v>
      </c>
      <c r="AB93" s="59">
        <v>298.01173423</v>
      </c>
    </row>
    <row r="94" spans="1:28" x14ac:dyDescent="0.2">
      <c r="A94" s="56" t="s">
        <v>182</v>
      </c>
      <c r="B94" s="56" t="s">
        <v>81</v>
      </c>
      <c r="C94" s="59">
        <v>4600.253103</v>
      </c>
      <c r="D94" s="59">
        <v>4656.4724434999998</v>
      </c>
      <c r="E94" s="59">
        <v>4767.0142134999996</v>
      </c>
      <c r="F94" s="59">
        <v>5053.8978944999999</v>
      </c>
      <c r="G94" s="59">
        <v>5284.4280099999996</v>
      </c>
      <c r="H94" s="59">
        <v>5637.0959560000001</v>
      </c>
      <c r="I94" s="59">
        <v>5959.3964180000003</v>
      </c>
      <c r="J94" s="59">
        <v>6363.7878245499996</v>
      </c>
      <c r="K94" s="59">
        <v>6807.5530525000004</v>
      </c>
      <c r="L94" s="59">
        <v>6931.0915800000002</v>
      </c>
      <c r="M94" s="59">
        <v>7370.9284436600001</v>
      </c>
      <c r="N94" s="59">
        <v>7259.1906664999997</v>
      </c>
      <c r="O94" s="59">
        <v>7197.6154550000001</v>
      </c>
      <c r="P94" s="59">
        <v>7354.2157280000001</v>
      </c>
      <c r="Q94" s="59">
        <v>7522.6767462600001</v>
      </c>
      <c r="R94" s="59">
        <v>7939.2858466400003</v>
      </c>
      <c r="S94" s="59">
        <v>8416.3237129699992</v>
      </c>
      <c r="T94" s="59">
        <v>8551.0804056199995</v>
      </c>
      <c r="U94" s="59">
        <v>8896.7050393999998</v>
      </c>
      <c r="V94" s="59">
        <v>9043.2872354699994</v>
      </c>
      <c r="W94" s="59">
        <v>9260.9170002200008</v>
      </c>
      <c r="X94" s="59">
        <v>9776.6183505499994</v>
      </c>
      <c r="Y94" s="59">
        <v>9248.6073899099993</v>
      </c>
      <c r="Z94" s="59">
        <v>10233.789707579999</v>
      </c>
      <c r="AA94" s="59">
        <v>11215.37705814</v>
      </c>
      <c r="AB94" s="59">
        <v>12714.437845009999</v>
      </c>
    </row>
    <row r="95" spans="1:28" x14ac:dyDescent="0.2">
      <c r="A95" s="56" t="s">
        <v>182</v>
      </c>
      <c r="B95" s="56" t="s">
        <v>82</v>
      </c>
      <c r="C95" s="59">
        <v>92.877792999999997</v>
      </c>
      <c r="D95" s="59">
        <v>99.173375999999905</v>
      </c>
      <c r="E95" s="59">
        <v>103.010401</v>
      </c>
      <c r="F95" s="59">
        <v>105.676672</v>
      </c>
      <c r="G95" s="59">
        <v>109.428507</v>
      </c>
      <c r="H95" s="59">
        <v>118.683291</v>
      </c>
      <c r="I95" s="59">
        <v>126.49170700000001</v>
      </c>
      <c r="J95" s="59">
        <v>135.15624700000001</v>
      </c>
      <c r="K95" s="59">
        <v>143.18497300000001</v>
      </c>
      <c r="L95" s="59">
        <v>146.925602</v>
      </c>
      <c r="M95" s="59">
        <v>167.284694</v>
      </c>
      <c r="N95" s="59">
        <v>167.12992700000001</v>
      </c>
      <c r="O95" s="59">
        <v>161.327618</v>
      </c>
      <c r="P95" s="59">
        <v>172.51552899999999</v>
      </c>
      <c r="Q95" s="59">
        <v>184.67184499999999</v>
      </c>
      <c r="R95" s="59">
        <v>180.39158588000001</v>
      </c>
      <c r="S95" s="59">
        <v>193.94930706</v>
      </c>
      <c r="T95" s="59">
        <v>195.83834064000001</v>
      </c>
      <c r="U95" s="59">
        <v>203.08900815999999</v>
      </c>
      <c r="V95" s="59">
        <v>240.73275269999999</v>
      </c>
      <c r="W95" s="59">
        <v>234.27242465</v>
      </c>
      <c r="X95" s="59">
        <v>240.69664803000001</v>
      </c>
      <c r="Y95" s="59">
        <v>207.70196862999899</v>
      </c>
      <c r="Z95" s="59">
        <v>232.24864611000001</v>
      </c>
      <c r="AA95" s="59">
        <v>281.03206470999999</v>
      </c>
      <c r="AB95" s="59">
        <v>304.42038667999998</v>
      </c>
    </row>
    <row r="96" spans="1:28" x14ac:dyDescent="0.2">
      <c r="A96" s="56" t="s">
        <v>182</v>
      </c>
      <c r="B96" s="56" t="s">
        <v>83</v>
      </c>
      <c r="C96" s="59">
        <v>114.918491</v>
      </c>
      <c r="D96" s="59">
        <v>114.69134699999999</v>
      </c>
      <c r="E96" s="59">
        <v>124.575024</v>
      </c>
      <c r="F96" s="59">
        <v>129.718422</v>
      </c>
      <c r="G96" s="59">
        <v>137.33125200000001</v>
      </c>
      <c r="H96" s="59">
        <v>145.51684299999999</v>
      </c>
      <c r="I96" s="59">
        <v>146.90655100000001</v>
      </c>
      <c r="J96" s="59">
        <v>144.304496</v>
      </c>
      <c r="K96" s="59">
        <v>157.79983300000001</v>
      </c>
      <c r="L96" s="59">
        <v>159.27154899999999</v>
      </c>
      <c r="M96" s="59">
        <v>169.34089772999999</v>
      </c>
      <c r="N96" s="59">
        <v>165.34666899999999</v>
      </c>
      <c r="O96" s="59">
        <v>158.36085299999999</v>
      </c>
      <c r="P96" s="59">
        <v>165.654033</v>
      </c>
      <c r="Q96" s="59">
        <v>169.341218</v>
      </c>
      <c r="R96" s="59">
        <v>169.71307149999899</v>
      </c>
      <c r="S96" s="59">
        <v>185.1031869</v>
      </c>
      <c r="T96" s="59">
        <v>172.30241985999999</v>
      </c>
      <c r="U96" s="59">
        <v>180.28263862</v>
      </c>
      <c r="V96" s="59">
        <v>202.73142414</v>
      </c>
      <c r="W96" s="59">
        <v>196.50820659999999</v>
      </c>
      <c r="X96" s="59">
        <v>199.77446603999999</v>
      </c>
      <c r="Y96" s="59">
        <v>198.21081634999999</v>
      </c>
      <c r="Z96" s="59">
        <v>202.46619921000001</v>
      </c>
      <c r="AA96" s="59">
        <v>214.45168734000001</v>
      </c>
      <c r="AB96" s="59">
        <v>216.04982741000001</v>
      </c>
    </row>
    <row r="97" spans="1:28" x14ac:dyDescent="0.2">
      <c r="A97" s="56" t="s">
        <v>182</v>
      </c>
      <c r="B97" s="56" t="s">
        <v>84</v>
      </c>
      <c r="C97" s="59">
        <v>208.19072800000001</v>
      </c>
      <c r="D97" s="59">
        <v>217.37643800000001</v>
      </c>
      <c r="E97" s="59">
        <v>222.059392</v>
      </c>
      <c r="F97" s="59">
        <v>236.16864099999901</v>
      </c>
      <c r="G97" s="59">
        <v>241.734319</v>
      </c>
      <c r="H97" s="59">
        <v>265.19002599999999</v>
      </c>
      <c r="I97" s="59">
        <v>293.168296</v>
      </c>
      <c r="J97" s="59">
        <v>322.47584499999999</v>
      </c>
      <c r="K97" s="59">
        <v>335.33964400000002</v>
      </c>
      <c r="L97" s="59">
        <v>341.405541999999</v>
      </c>
      <c r="M97" s="59">
        <v>362.22154599999999</v>
      </c>
      <c r="N97" s="59">
        <v>359.67905500000001</v>
      </c>
      <c r="O97" s="59">
        <v>347.357913</v>
      </c>
      <c r="P97" s="59">
        <v>365.07559099999997</v>
      </c>
      <c r="Q97" s="59">
        <v>385.70922000000002</v>
      </c>
      <c r="R97" s="59">
        <v>419.91160058999998</v>
      </c>
      <c r="S97" s="59">
        <v>418.28502908000002</v>
      </c>
      <c r="T97" s="59">
        <v>417.55847175000002</v>
      </c>
      <c r="U97" s="59">
        <v>441.79981779000002</v>
      </c>
      <c r="V97" s="59">
        <v>476.31662839000001</v>
      </c>
      <c r="W97" s="59">
        <v>475.49920443000002</v>
      </c>
      <c r="X97" s="59">
        <v>468.37780270000002</v>
      </c>
      <c r="Y97" s="59">
        <v>421.04010163999999</v>
      </c>
      <c r="Z97" s="59">
        <v>457.20992222000001</v>
      </c>
      <c r="AA97" s="59">
        <v>482.735440979999</v>
      </c>
      <c r="AB97" s="59">
        <v>516.11927419999995</v>
      </c>
    </row>
    <row r="98" spans="1:28" x14ac:dyDescent="0.2">
      <c r="A98" s="56" t="s">
        <v>182</v>
      </c>
      <c r="B98" s="56" t="s">
        <v>15</v>
      </c>
      <c r="C98" s="59">
        <v>274.05560100000002</v>
      </c>
      <c r="D98" s="59">
        <v>290.08759099999997</v>
      </c>
      <c r="E98" s="59">
        <v>307.82627600000001</v>
      </c>
      <c r="F98" s="59">
        <v>324.70564899999999</v>
      </c>
      <c r="G98" s="59">
        <v>325.57429300000001</v>
      </c>
      <c r="H98" s="59">
        <v>357.90545200000003</v>
      </c>
      <c r="I98" s="59">
        <v>395.57445200000001</v>
      </c>
      <c r="J98" s="59">
        <v>427.89651199999997</v>
      </c>
      <c r="K98" s="59">
        <v>434.07039600000002</v>
      </c>
      <c r="L98" s="59">
        <v>449.55096300000002</v>
      </c>
      <c r="M98" s="59">
        <v>479.48710899999998</v>
      </c>
      <c r="N98" s="59">
        <v>482.81525199999999</v>
      </c>
      <c r="O98" s="59">
        <v>493.41905300000002</v>
      </c>
      <c r="P98" s="59">
        <v>532.19585299999903</v>
      </c>
      <c r="Q98" s="59">
        <v>546.91566499999999</v>
      </c>
      <c r="R98" s="59">
        <v>527.69989499999997</v>
      </c>
      <c r="S98" s="59">
        <v>540.95835195999996</v>
      </c>
      <c r="T98" s="59">
        <v>559.70315699000002</v>
      </c>
      <c r="U98" s="59">
        <v>547.55781598999999</v>
      </c>
      <c r="V98" s="59">
        <v>555.21305800000005</v>
      </c>
      <c r="W98" s="59">
        <v>515.53252099999997</v>
      </c>
      <c r="X98" s="59">
        <v>558.58922200999996</v>
      </c>
      <c r="Y98" s="59">
        <v>522.33745599999997</v>
      </c>
      <c r="Z98" s="59">
        <v>562.75317201999997</v>
      </c>
      <c r="AA98" s="59">
        <v>641.65334399999995</v>
      </c>
      <c r="AB98" s="59">
        <v>699.41608996000002</v>
      </c>
    </row>
    <row r="99" spans="1:28" x14ac:dyDescent="0.2">
      <c r="A99" s="56" t="s">
        <v>182</v>
      </c>
      <c r="B99" s="56" t="s">
        <v>85</v>
      </c>
      <c r="C99" s="59">
        <v>1843.091968</v>
      </c>
      <c r="D99" s="59">
        <v>1741.967232</v>
      </c>
      <c r="E99" s="59">
        <v>1694.252205</v>
      </c>
      <c r="F99" s="59">
        <v>1731.677555</v>
      </c>
      <c r="G99" s="59">
        <v>1879.7560914999999</v>
      </c>
      <c r="H99" s="59">
        <v>2008.8887445</v>
      </c>
      <c r="I99" s="59">
        <v>2129.5790630000001</v>
      </c>
      <c r="J99" s="59">
        <v>2225.0090165000001</v>
      </c>
      <c r="K99" s="59">
        <v>2520.9487389999999</v>
      </c>
      <c r="L99" s="59">
        <v>2585.0867035000001</v>
      </c>
      <c r="M99" s="59">
        <v>2641.7964904999999</v>
      </c>
      <c r="N99" s="59">
        <v>2821.4553774999999</v>
      </c>
      <c r="O99" s="59">
        <v>2716.4257345000001</v>
      </c>
      <c r="P99" s="59">
        <v>2776.549395</v>
      </c>
      <c r="Q99" s="59">
        <v>3064.6839559999999</v>
      </c>
      <c r="R99" s="59">
        <v>3299.0237965299998</v>
      </c>
      <c r="S99" s="59">
        <v>3446.59614917</v>
      </c>
      <c r="T99" s="59">
        <v>3639.8703237899999</v>
      </c>
      <c r="U99" s="59">
        <v>3631.5603254299999</v>
      </c>
      <c r="V99" s="59">
        <v>3775.0216666800002</v>
      </c>
      <c r="W99" s="59">
        <v>3771.9534166600001</v>
      </c>
      <c r="X99" s="59">
        <v>3881.5979561200002</v>
      </c>
      <c r="Y99" s="59">
        <v>3425.1042296099999</v>
      </c>
      <c r="Z99" s="59">
        <v>3428.94369882</v>
      </c>
      <c r="AA99" s="59">
        <v>3786.78276228</v>
      </c>
      <c r="AB99" s="59">
        <v>4173.9419774799999</v>
      </c>
    </row>
    <row r="100" spans="1:28" x14ac:dyDescent="0.2">
      <c r="A100" s="56" t="s">
        <v>182</v>
      </c>
      <c r="B100" s="56" t="s">
        <v>86</v>
      </c>
      <c r="C100" s="59">
        <v>507.01907799999998</v>
      </c>
      <c r="D100" s="59">
        <v>479.67633799999999</v>
      </c>
      <c r="E100" s="59">
        <v>483.82193000000001</v>
      </c>
      <c r="F100" s="59">
        <v>504.78172799999999</v>
      </c>
      <c r="G100" s="59">
        <v>509.50184400000001</v>
      </c>
      <c r="H100" s="59">
        <v>500.378152</v>
      </c>
      <c r="I100" s="59">
        <v>522.227441</v>
      </c>
      <c r="J100" s="59">
        <v>556.92089299999998</v>
      </c>
      <c r="K100" s="59">
        <v>607.28575799999999</v>
      </c>
      <c r="L100" s="59">
        <v>672.30409799999995</v>
      </c>
      <c r="M100" s="59">
        <v>743.00004899999999</v>
      </c>
      <c r="N100" s="59">
        <v>816.51810599999999</v>
      </c>
      <c r="O100" s="59">
        <v>793.16339400000004</v>
      </c>
      <c r="P100" s="59">
        <v>824.04599700000006</v>
      </c>
      <c r="Q100" s="59">
        <v>838.91292399999998</v>
      </c>
      <c r="R100" s="59">
        <v>1017.3169582</v>
      </c>
      <c r="S100" s="59">
        <v>1129.35886443</v>
      </c>
      <c r="T100" s="59">
        <v>1127.74147322</v>
      </c>
      <c r="U100" s="59">
        <v>1020.858922</v>
      </c>
      <c r="V100" s="59">
        <v>1058.1991589500001</v>
      </c>
      <c r="W100" s="59">
        <v>1023.27108735</v>
      </c>
      <c r="X100" s="59">
        <v>980.61432194999998</v>
      </c>
      <c r="Y100" s="59">
        <v>898.84747600000003</v>
      </c>
      <c r="Z100" s="59">
        <v>902.60523740999997</v>
      </c>
      <c r="AA100" s="59">
        <v>911.82664575000001</v>
      </c>
      <c r="AB100" s="59">
        <v>986.1797358</v>
      </c>
    </row>
    <row r="101" spans="1:28" x14ac:dyDescent="0.2">
      <c r="A101" s="56" t="s">
        <v>182</v>
      </c>
      <c r="B101" s="56" t="s">
        <v>87</v>
      </c>
      <c r="C101" s="59">
        <v>131.488675</v>
      </c>
      <c r="D101" s="59">
        <v>130.56099499999999</v>
      </c>
      <c r="E101" s="59">
        <v>130.5709545</v>
      </c>
      <c r="F101" s="59">
        <v>132.8723885</v>
      </c>
      <c r="G101" s="59">
        <v>141.93119999999999</v>
      </c>
      <c r="H101" s="59">
        <v>151.5466945</v>
      </c>
      <c r="I101" s="59">
        <v>160.31849750000001</v>
      </c>
      <c r="J101" s="59">
        <v>166.71244799999999</v>
      </c>
      <c r="K101" s="59">
        <v>185.3880595</v>
      </c>
      <c r="L101" s="59">
        <v>191.354905</v>
      </c>
      <c r="M101" s="59">
        <v>191.3393695</v>
      </c>
      <c r="N101" s="59">
        <v>191.09061199999999</v>
      </c>
      <c r="O101" s="59">
        <v>182.60420099999999</v>
      </c>
      <c r="P101" s="59">
        <v>192.45156850000001</v>
      </c>
      <c r="Q101" s="59">
        <v>205.65273250000001</v>
      </c>
      <c r="R101" s="59">
        <v>235.07917351</v>
      </c>
      <c r="S101" s="59">
        <v>242.91915166000001</v>
      </c>
      <c r="T101" s="59">
        <v>230.55996078000001</v>
      </c>
      <c r="U101" s="59">
        <v>242.43101621</v>
      </c>
      <c r="V101" s="59">
        <v>263.1842039</v>
      </c>
      <c r="W101" s="59">
        <v>260.37566189</v>
      </c>
      <c r="X101" s="59">
        <v>272.46868382999997</v>
      </c>
      <c r="Y101" s="59">
        <v>219.45750354</v>
      </c>
      <c r="Z101" s="59">
        <v>248.14280743</v>
      </c>
      <c r="AA101" s="59">
        <v>276.76156996999998</v>
      </c>
      <c r="AB101" s="59">
        <v>302.97384904</v>
      </c>
    </row>
    <row r="102" spans="1:28" x14ac:dyDescent="0.2">
      <c r="A102" s="56" t="s">
        <v>182</v>
      </c>
      <c r="B102" s="56" t="s">
        <v>88</v>
      </c>
      <c r="C102" s="59">
        <v>73.505099999999999</v>
      </c>
      <c r="D102" s="59">
        <v>76.736557000000005</v>
      </c>
      <c r="E102" s="59">
        <v>78.566346999999993</v>
      </c>
      <c r="F102" s="59">
        <v>82.140923999999998</v>
      </c>
      <c r="G102" s="59">
        <v>82.214638999999906</v>
      </c>
      <c r="H102" s="59">
        <v>89.268242000000001</v>
      </c>
      <c r="I102" s="59">
        <v>97.905735820000004</v>
      </c>
      <c r="J102" s="59">
        <v>105.288994</v>
      </c>
      <c r="K102" s="59">
        <v>111.190795999999</v>
      </c>
      <c r="L102" s="59">
        <v>113.208803</v>
      </c>
      <c r="M102" s="59">
        <v>122.771197</v>
      </c>
      <c r="N102" s="59">
        <v>123.52385700000001</v>
      </c>
      <c r="O102" s="59">
        <v>122.496932</v>
      </c>
      <c r="P102" s="59">
        <v>128.13758899999999</v>
      </c>
      <c r="Q102" s="59">
        <v>127.80651478999999</v>
      </c>
      <c r="R102" s="59">
        <v>127.09227799999999</v>
      </c>
      <c r="S102" s="59">
        <v>132.14905576000001</v>
      </c>
      <c r="T102" s="59">
        <v>133.87111962</v>
      </c>
      <c r="U102" s="59">
        <v>136.38228495999999</v>
      </c>
      <c r="V102" s="59">
        <v>154.94213414000001</v>
      </c>
      <c r="W102" s="59">
        <v>178.12678120999999</v>
      </c>
      <c r="X102" s="59">
        <v>190.52162407999899</v>
      </c>
      <c r="Y102" s="59">
        <v>166.99297730000001</v>
      </c>
      <c r="Z102" s="59">
        <v>185.61076822000001</v>
      </c>
      <c r="AA102" s="59">
        <v>203.2036713</v>
      </c>
      <c r="AB102" s="59">
        <v>227.11409721999999</v>
      </c>
    </row>
    <row r="103" spans="1:28" x14ac:dyDescent="0.2">
      <c r="A103" s="56" t="s">
        <v>182</v>
      </c>
      <c r="B103" s="56" t="s">
        <v>18</v>
      </c>
      <c r="C103" s="59">
        <v>380.16176000000002</v>
      </c>
      <c r="D103" s="59">
        <v>392.44915800000001</v>
      </c>
      <c r="E103" s="59">
        <v>389.434021999999</v>
      </c>
      <c r="F103" s="59">
        <v>409.23654299999998</v>
      </c>
      <c r="G103" s="59">
        <v>415.84029700000002</v>
      </c>
      <c r="H103" s="59">
        <v>436.89691599999998</v>
      </c>
      <c r="I103" s="59">
        <v>478.61449900000002</v>
      </c>
      <c r="J103" s="59">
        <v>508.98283900000001</v>
      </c>
      <c r="K103" s="59">
        <v>534.20870600000001</v>
      </c>
      <c r="L103" s="59">
        <v>541.65162699999996</v>
      </c>
      <c r="M103" s="59">
        <v>586.77996599999994</v>
      </c>
      <c r="N103" s="59">
        <v>636.57860400000004</v>
      </c>
      <c r="O103" s="59">
        <v>632.98367799999903</v>
      </c>
      <c r="P103" s="59">
        <v>692.00525000000005</v>
      </c>
      <c r="Q103" s="59">
        <v>697.47561399999995</v>
      </c>
      <c r="R103" s="59">
        <v>731.08337200000005</v>
      </c>
      <c r="S103" s="59">
        <v>783.16831597999999</v>
      </c>
      <c r="T103" s="59">
        <v>736.63273300000003</v>
      </c>
      <c r="U103" s="59">
        <v>709.21134900000004</v>
      </c>
      <c r="V103" s="59">
        <v>762.86205499999903</v>
      </c>
      <c r="W103" s="59">
        <v>754.22050495999997</v>
      </c>
      <c r="X103" s="59">
        <v>811.47370415</v>
      </c>
      <c r="Y103" s="59">
        <v>748.32678699999997</v>
      </c>
      <c r="Z103" s="59">
        <v>766.46302490999994</v>
      </c>
      <c r="AA103" s="59">
        <v>785.46302806999995</v>
      </c>
      <c r="AB103" s="59">
        <v>854.94356300999902</v>
      </c>
    </row>
    <row r="104" spans="1:28" x14ac:dyDescent="0.2">
      <c r="A104" s="56" t="s">
        <v>182</v>
      </c>
      <c r="B104" s="56" t="s">
        <v>89</v>
      </c>
      <c r="C104" s="59">
        <v>471.33631500000001</v>
      </c>
      <c r="D104" s="59">
        <v>484.55026199999998</v>
      </c>
      <c r="E104" s="59">
        <v>515.81016599999998</v>
      </c>
      <c r="F104" s="59">
        <v>546.44477500000005</v>
      </c>
      <c r="G104" s="59">
        <v>580.63746500000002</v>
      </c>
      <c r="H104" s="59">
        <v>612.85518000000002</v>
      </c>
      <c r="I104" s="59">
        <v>641.221045</v>
      </c>
      <c r="J104" s="59">
        <v>665.61440500000003</v>
      </c>
      <c r="K104" s="59">
        <v>729.01088700000003</v>
      </c>
      <c r="L104" s="59">
        <v>763.14565800000003</v>
      </c>
      <c r="M104" s="59">
        <v>784.40480600000001</v>
      </c>
      <c r="N104" s="59">
        <v>778.463076</v>
      </c>
      <c r="O104" s="59">
        <v>785.72365600000001</v>
      </c>
      <c r="P104" s="59">
        <v>820.67694100000006</v>
      </c>
      <c r="Q104" s="59">
        <v>864.78054399999996</v>
      </c>
      <c r="R104" s="59">
        <v>895.56176046999997</v>
      </c>
      <c r="S104" s="59">
        <v>937.14746600000001</v>
      </c>
      <c r="T104" s="59">
        <v>915.35270392999996</v>
      </c>
      <c r="U104" s="59">
        <v>945.74274849000005</v>
      </c>
      <c r="V104" s="59">
        <v>1019.72446595</v>
      </c>
      <c r="W104" s="59">
        <v>953.20664561000001</v>
      </c>
      <c r="X104" s="59">
        <v>1014.33845388</v>
      </c>
      <c r="Y104" s="59">
        <v>884.83655699999997</v>
      </c>
      <c r="Z104" s="59">
        <v>1011.51543265</v>
      </c>
      <c r="AA104" s="59">
        <v>1112.1560245200001</v>
      </c>
      <c r="AB104" s="59">
        <v>1232.4319363499999</v>
      </c>
    </row>
    <row r="105" spans="1:28" x14ac:dyDescent="0.2">
      <c r="A105" s="56" t="s">
        <v>182</v>
      </c>
      <c r="B105" s="56" t="s">
        <v>90</v>
      </c>
      <c r="C105" s="59">
        <v>244.69223499999899</v>
      </c>
      <c r="D105" s="59">
        <v>271.95247899999998</v>
      </c>
      <c r="E105" s="59">
        <v>330.879437</v>
      </c>
      <c r="F105" s="59">
        <v>352.66382599999997</v>
      </c>
      <c r="G105" s="59">
        <v>333.75710400000003</v>
      </c>
      <c r="H105" s="59">
        <v>368.82187399999998</v>
      </c>
      <c r="I105" s="59">
        <v>397.93302299999999</v>
      </c>
      <c r="J105" s="59">
        <v>383.82608399999998</v>
      </c>
      <c r="K105" s="59">
        <v>366.177753</v>
      </c>
      <c r="L105" s="59">
        <v>350.96270800000002</v>
      </c>
      <c r="M105" s="59">
        <v>378.43484982000001</v>
      </c>
      <c r="N105" s="59">
        <v>351.35676100000001</v>
      </c>
      <c r="O105" s="59">
        <v>329.36462999999998</v>
      </c>
      <c r="P105" s="59">
        <v>366.53402299999999</v>
      </c>
      <c r="Q105" s="59">
        <v>384.95528300000001</v>
      </c>
      <c r="R105" s="59">
        <v>400.84950276000001</v>
      </c>
      <c r="S105" s="59">
        <v>413.12713184</v>
      </c>
      <c r="T105" s="59">
        <v>416.47455557000001</v>
      </c>
      <c r="U105" s="59">
        <v>415.22631854999997</v>
      </c>
      <c r="V105" s="59">
        <v>385.63981065000002</v>
      </c>
      <c r="W105" s="59">
        <v>375.55493636</v>
      </c>
      <c r="X105" s="59">
        <v>386.26487061</v>
      </c>
      <c r="Y105" s="59">
        <v>345.72502838000003</v>
      </c>
      <c r="Z105" s="59">
        <v>370.59441872999997</v>
      </c>
      <c r="AA105" s="59">
        <v>447.49562641</v>
      </c>
      <c r="AB105" s="59">
        <v>514.39375927000003</v>
      </c>
    </row>
    <row r="106" spans="1:28" x14ac:dyDescent="0.2">
      <c r="A106" s="56" t="s">
        <v>182</v>
      </c>
      <c r="B106" s="56" t="s">
        <v>91</v>
      </c>
      <c r="C106" s="59">
        <v>174.513722</v>
      </c>
      <c r="D106" s="59">
        <v>184.85232999999999</v>
      </c>
      <c r="E106" s="59">
        <v>203.647142</v>
      </c>
      <c r="F106" s="59">
        <v>198.46690599999999</v>
      </c>
      <c r="G106" s="59">
        <v>207.32832099999999</v>
      </c>
      <c r="H106" s="59">
        <v>242.02436399999999</v>
      </c>
      <c r="I106" s="59">
        <v>260.66958813999997</v>
      </c>
      <c r="J106" s="59">
        <v>274.334498</v>
      </c>
      <c r="K106" s="59">
        <v>262.01608099999999</v>
      </c>
      <c r="L106" s="59">
        <v>279.44144499999999</v>
      </c>
      <c r="M106" s="59">
        <v>275.86793399999999</v>
      </c>
      <c r="N106" s="59">
        <v>264.55866400000002</v>
      </c>
      <c r="O106" s="59">
        <v>271.60235699999998</v>
      </c>
      <c r="P106" s="59">
        <v>288.24932899999999</v>
      </c>
      <c r="Q106" s="59">
        <v>305.93665469000001</v>
      </c>
      <c r="R106" s="59">
        <v>307.16524375</v>
      </c>
      <c r="S106" s="59">
        <v>333.58165293000002</v>
      </c>
      <c r="T106" s="59">
        <v>315.78184412000002</v>
      </c>
      <c r="U106" s="59">
        <v>351.95749469999998</v>
      </c>
      <c r="V106" s="59">
        <v>383.72035226999998</v>
      </c>
      <c r="W106" s="59">
        <v>400.04713092999998</v>
      </c>
      <c r="X106" s="59">
        <v>431.76731810000001</v>
      </c>
      <c r="Y106" s="59">
        <v>396.06743660000001</v>
      </c>
      <c r="Z106" s="59">
        <v>451.81115879999999</v>
      </c>
      <c r="AA106" s="59">
        <v>493.70454840999997</v>
      </c>
      <c r="AB106" s="59">
        <v>536.96099190999996</v>
      </c>
    </row>
    <row r="107" spans="1:28" x14ac:dyDescent="0.2">
      <c r="A107" s="56" t="s">
        <v>182</v>
      </c>
      <c r="B107" s="56" t="s">
        <v>92</v>
      </c>
      <c r="C107" s="59">
        <v>291.20775900000001</v>
      </c>
      <c r="D107" s="59">
        <v>290.208755</v>
      </c>
      <c r="E107" s="59">
        <v>309.26946199999998</v>
      </c>
      <c r="F107" s="59">
        <v>327.78792900000002</v>
      </c>
      <c r="G107" s="59">
        <v>338.07298700000001</v>
      </c>
      <c r="H107" s="59">
        <v>340.37761999999998</v>
      </c>
      <c r="I107" s="59">
        <v>354.23896000000002</v>
      </c>
      <c r="J107" s="59">
        <v>359.04522200000002</v>
      </c>
      <c r="K107" s="59">
        <v>395.988587</v>
      </c>
      <c r="L107" s="59">
        <v>438.73312800000002</v>
      </c>
      <c r="M107" s="59">
        <v>445.16322500000001</v>
      </c>
      <c r="N107" s="59">
        <v>441.93192599999998</v>
      </c>
      <c r="O107" s="59">
        <v>436.79655700000001</v>
      </c>
      <c r="P107" s="59">
        <v>465.373783</v>
      </c>
      <c r="Q107" s="59">
        <v>463.45975700000002</v>
      </c>
      <c r="R107" s="59">
        <v>519.99194847000001</v>
      </c>
      <c r="S107" s="59">
        <v>555.52943016999996</v>
      </c>
      <c r="T107" s="59">
        <v>537.97653263999996</v>
      </c>
      <c r="U107" s="59">
        <v>502.631337999999</v>
      </c>
      <c r="V107" s="59">
        <v>518.62864086000002</v>
      </c>
      <c r="W107" s="59">
        <v>544.51340542000003</v>
      </c>
      <c r="X107" s="59">
        <v>536.52745815000003</v>
      </c>
      <c r="Y107" s="59">
        <v>497.16588000000002</v>
      </c>
      <c r="Z107" s="59">
        <v>524.50872926</v>
      </c>
      <c r="AA107" s="59">
        <v>539.93331062000004</v>
      </c>
      <c r="AB107" s="59">
        <v>563.09369850999997</v>
      </c>
    </row>
    <row r="108" spans="1:28" x14ac:dyDescent="0.2">
      <c r="A108" s="56" t="s">
        <v>182</v>
      </c>
      <c r="B108" s="56" t="s">
        <v>93</v>
      </c>
      <c r="C108" s="59">
        <v>69.211117000000002</v>
      </c>
      <c r="D108" s="59">
        <v>75.005143000000004</v>
      </c>
      <c r="E108" s="59">
        <v>75.640693999999996</v>
      </c>
      <c r="F108" s="59">
        <v>81.228773000000004</v>
      </c>
      <c r="G108" s="59">
        <v>82.185028000000003</v>
      </c>
      <c r="H108" s="59">
        <v>87.527445999999998</v>
      </c>
      <c r="I108" s="59">
        <v>94.165376739999999</v>
      </c>
      <c r="J108" s="59">
        <v>102.268756</v>
      </c>
      <c r="K108" s="59">
        <v>108.865753</v>
      </c>
      <c r="L108" s="59">
        <v>106.40881</v>
      </c>
      <c r="M108" s="59">
        <v>112.324257</v>
      </c>
      <c r="N108" s="59">
        <v>108.943409</v>
      </c>
      <c r="O108" s="59">
        <v>110.533732</v>
      </c>
      <c r="P108" s="59">
        <v>119.30592</v>
      </c>
      <c r="Q108" s="59">
        <v>125.75168681</v>
      </c>
      <c r="R108" s="59">
        <v>129.79440249000001</v>
      </c>
      <c r="S108" s="59">
        <v>129.60755402000001</v>
      </c>
      <c r="T108" s="59">
        <v>124.86603095</v>
      </c>
      <c r="U108" s="59">
        <v>130.59155935999999</v>
      </c>
      <c r="V108" s="59">
        <v>149.16651349</v>
      </c>
      <c r="W108" s="59">
        <v>152.48802053</v>
      </c>
      <c r="X108" s="59">
        <v>163.53580768</v>
      </c>
      <c r="Y108" s="59">
        <v>144.54369717</v>
      </c>
      <c r="Z108" s="59">
        <v>151.00953641999999</v>
      </c>
      <c r="AA108" s="59">
        <v>166.88827538999999</v>
      </c>
      <c r="AB108" s="59">
        <v>181.16754243</v>
      </c>
    </row>
    <row r="109" spans="1:28" x14ac:dyDescent="0.2">
      <c r="A109" s="56" t="s">
        <v>182</v>
      </c>
      <c r="B109" s="56" t="s">
        <v>94</v>
      </c>
      <c r="C109" s="59">
        <v>248.01438400000001</v>
      </c>
      <c r="D109" s="59">
        <v>267.014624999999</v>
      </c>
      <c r="E109" s="59">
        <v>275.09290800000002</v>
      </c>
      <c r="F109" s="59">
        <v>299.702654</v>
      </c>
      <c r="G109" s="59">
        <v>301.40572600000002</v>
      </c>
      <c r="H109" s="59">
        <v>332.69720899999999</v>
      </c>
      <c r="I109" s="59">
        <v>362.113529999999</v>
      </c>
      <c r="J109" s="59">
        <v>388.613337</v>
      </c>
      <c r="K109" s="59">
        <v>398.53734600000001</v>
      </c>
      <c r="L109" s="59">
        <v>409.740993</v>
      </c>
      <c r="M109" s="59">
        <v>437.37148400000001</v>
      </c>
      <c r="N109" s="59">
        <v>433.092037</v>
      </c>
      <c r="O109" s="59">
        <v>449.423440999999</v>
      </c>
      <c r="P109" s="59">
        <v>472.349737</v>
      </c>
      <c r="Q109" s="59">
        <v>470.61764399999998</v>
      </c>
      <c r="R109" s="59">
        <v>469.975585999999</v>
      </c>
      <c r="S109" s="59">
        <v>487.92169705999999</v>
      </c>
      <c r="T109" s="59">
        <v>480.09191300999998</v>
      </c>
      <c r="U109" s="59">
        <v>482.59260995</v>
      </c>
      <c r="V109" s="59">
        <v>502.98071797</v>
      </c>
      <c r="W109" s="59">
        <v>522.94825000000003</v>
      </c>
      <c r="X109" s="59">
        <v>568.29054199999996</v>
      </c>
      <c r="Y109" s="59">
        <v>554.38370194000004</v>
      </c>
      <c r="Z109" s="59">
        <v>581.99766503000001</v>
      </c>
      <c r="AA109" s="59">
        <v>583.09046401000001</v>
      </c>
      <c r="AB109" s="59">
        <v>644.56064300000003</v>
      </c>
    </row>
    <row r="110" spans="1:28" x14ac:dyDescent="0.2">
      <c r="A110" s="56" t="s">
        <v>182</v>
      </c>
      <c r="B110" s="56" t="s">
        <v>95</v>
      </c>
      <c r="C110" s="59">
        <v>126.121093</v>
      </c>
      <c r="D110" s="59">
        <v>132.91445100000001</v>
      </c>
      <c r="E110" s="59">
        <v>134.47227799999999</v>
      </c>
      <c r="F110" s="59">
        <v>142.590857</v>
      </c>
      <c r="G110" s="59">
        <v>146.78924799999999</v>
      </c>
      <c r="H110" s="59">
        <v>165.960757</v>
      </c>
      <c r="I110" s="59">
        <v>182.48305836</v>
      </c>
      <c r="J110" s="59">
        <v>190.87254200000001</v>
      </c>
      <c r="K110" s="59">
        <v>201.63290000000001</v>
      </c>
      <c r="L110" s="59">
        <v>204.40858700000001</v>
      </c>
      <c r="M110" s="59">
        <v>211.01523299999999</v>
      </c>
      <c r="N110" s="59">
        <v>199.86609899999999</v>
      </c>
      <c r="O110" s="59">
        <v>201.03221600000001</v>
      </c>
      <c r="P110" s="59">
        <v>211.15464900000001</v>
      </c>
      <c r="Q110" s="59">
        <v>208.31558382</v>
      </c>
      <c r="R110" s="59">
        <v>210.54794813999999</v>
      </c>
      <c r="S110" s="59">
        <v>221.92989165</v>
      </c>
      <c r="T110" s="59">
        <v>216.10588927999899</v>
      </c>
      <c r="U110" s="59">
        <v>213.40081107</v>
      </c>
      <c r="V110" s="59">
        <v>227.51228745999899</v>
      </c>
      <c r="W110" s="59">
        <v>224.02664325000001</v>
      </c>
      <c r="X110" s="59">
        <v>224.66088808000001</v>
      </c>
      <c r="Y110" s="59">
        <v>236.81172846999999</v>
      </c>
      <c r="Z110" s="59">
        <v>249.53249102000001</v>
      </c>
      <c r="AA110" s="59">
        <v>283.71369449000002</v>
      </c>
      <c r="AB110" s="59">
        <v>303.306754519999</v>
      </c>
    </row>
    <row r="111" spans="1:28" ht="27" customHeight="1" x14ac:dyDescent="0.2">
      <c r="A111" s="57" t="s">
        <v>183</v>
      </c>
      <c r="B111" s="42" t="s">
        <v>112</v>
      </c>
      <c r="C111" s="59">
        <v>762.45773699999995</v>
      </c>
      <c r="D111" s="59">
        <v>814.11767399999997</v>
      </c>
      <c r="E111" s="59">
        <v>847.03033649999998</v>
      </c>
      <c r="F111" s="59">
        <v>908.41217700000004</v>
      </c>
      <c r="G111" s="59">
        <v>930.72342300000003</v>
      </c>
      <c r="H111" s="59">
        <v>1032.0445095</v>
      </c>
      <c r="I111" s="59">
        <v>1114.3384245</v>
      </c>
      <c r="J111" s="59">
        <v>1209.8406195</v>
      </c>
      <c r="K111" s="59">
        <v>1261.618152</v>
      </c>
      <c r="L111" s="59">
        <v>1274.712215</v>
      </c>
      <c r="M111" s="59">
        <v>1346.8511074099999</v>
      </c>
      <c r="N111" s="59">
        <v>1321.0447214999999</v>
      </c>
      <c r="O111" s="59">
        <v>1258.404943</v>
      </c>
      <c r="P111" s="59">
        <v>1307.2948584999999</v>
      </c>
      <c r="Q111" s="59">
        <v>1332.9577354999999</v>
      </c>
      <c r="R111" s="59">
        <v>1333.19509518</v>
      </c>
      <c r="S111" s="59">
        <v>1374.8621153700001</v>
      </c>
      <c r="T111" s="59">
        <v>1382.00448869</v>
      </c>
      <c r="U111" s="59">
        <v>1426.82670452</v>
      </c>
      <c r="V111" s="59">
        <v>1558.29234836</v>
      </c>
      <c r="W111" s="59">
        <v>1555.1583023999999</v>
      </c>
      <c r="X111" s="59">
        <v>1640.86303217</v>
      </c>
      <c r="Y111" s="59">
        <v>1488.2505568500001</v>
      </c>
      <c r="Z111" s="59">
        <v>1596.94497144</v>
      </c>
      <c r="AA111" s="59">
        <v>1748.4272315799999</v>
      </c>
      <c r="AB111" s="59">
        <v>1893.36384873</v>
      </c>
    </row>
    <row r="112" spans="1:28" x14ac:dyDescent="0.2">
      <c r="A112" s="56" t="s">
        <v>183</v>
      </c>
      <c r="B112" s="42" t="s">
        <v>113</v>
      </c>
      <c r="C112" s="59">
        <v>404.89578299999999</v>
      </c>
      <c r="D112" s="59">
        <v>429.71340600000002</v>
      </c>
      <c r="E112" s="59">
        <v>452.22745900000001</v>
      </c>
      <c r="F112" s="59">
        <v>462.02354500000001</v>
      </c>
      <c r="G112" s="59">
        <v>477.385603</v>
      </c>
      <c r="H112" s="59">
        <v>544.40758200000005</v>
      </c>
      <c r="I112" s="59">
        <v>588.85516339000003</v>
      </c>
      <c r="J112" s="59">
        <v>620.09892000000002</v>
      </c>
      <c r="K112" s="59">
        <v>628.87251100000003</v>
      </c>
      <c r="L112" s="59">
        <v>649.15485999999999</v>
      </c>
      <c r="M112" s="59">
        <v>661.63870999999995</v>
      </c>
      <c r="N112" s="59">
        <v>636.38059499999997</v>
      </c>
      <c r="O112" s="59">
        <v>645.54546200000004</v>
      </c>
      <c r="P112" s="59">
        <v>682.83996000000002</v>
      </c>
      <c r="Q112" s="59">
        <v>700.6172388</v>
      </c>
      <c r="R112" s="59">
        <v>713.44953399999997</v>
      </c>
      <c r="S112" s="59">
        <v>760.4777239</v>
      </c>
      <c r="T112" s="59">
        <v>731.58165976999999</v>
      </c>
      <c r="U112" s="59">
        <v>759.73757362000003</v>
      </c>
      <c r="V112" s="59">
        <v>821.91421525999999</v>
      </c>
      <c r="W112" s="59">
        <v>852.78900073</v>
      </c>
      <c r="X112" s="59">
        <v>893.99864302000003</v>
      </c>
      <c r="Y112" s="59">
        <v>845.14685445999999</v>
      </c>
      <c r="Z112" s="59">
        <v>929.94234558999995</v>
      </c>
      <c r="AA112" s="59">
        <v>1040.76155799</v>
      </c>
      <c r="AB112" s="59">
        <v>1125.5473419099901</v>
      </c>
    </row>
    <row r="113" spans="1:28" x14ac:dyDescent="0.2">
      <c r="A113" s="56" t="s">
        <v>183</v>
      </c>
      <c r="B113" s="42" t="s">
        <v>114</v>
      </c>
      <c r="C113" s="59">
        <v>1830.266832</v>
      </c>
      <c r="D113" s="59">
        <v>1903.060101</v>
      </c>
      <c r="E113" s="59">
        <v>1965.4810560000001</v>
      </c>
      <c r="F113" s="59">
        <v>2051.4102939999998</v>
      </c>
      <c r="G113" s="59">
        <v>2086.4912979999999</v>
      </c>
      <c r="H113" s="59">
        <v>2292.1697009999998</v>
      </c>
      <c r="I113" s="59">
        <v>2470.5037040799998</v>
      </c>
      <c r="J113" s="59">
        <v>2622.4638540000001</v>
      </c>
      <c r="K113" s="59">
        <v>2754.0197159999998</v>
      </c>
      <c r="L113" s="59">
        <v>2856.0016869999999</v>
      </c>
      <c r="M113" s="59">
        <v>3024.3799899999999</v>
      </c>
      <c r="N113" s="59">
        <v>2973.1803799999998</v>
      </c>
      <c r="O113" s="59">
        <v>3157.8415460000001</v>
      </c>
      <c r="P113" s="59">
        <v>3380.405616</v>
      </c>
      <c r="Q113" s="59">
        <v>3480.5389877699999</v>
      </c>
      <c r="R113" s="59">
        <v>3721.2019164600001</v>
      </c>
      <c r="S113" s="59">
        <v>3852.1899496199999</v>
      </c>
      <c r="T113" s="59">
        <v>3936.1667336199998</v>
      </c>
      <c r="U113" s="59">
        <v>3992.3611956199902</v>
      </c>
      <c r="V113" s="59">
        <v>4277.8785187200001</v>
      </c>
      <c r="W113" s="59">
        <v>4331.23381711</v>
      </c>
      <c r="X113" s="59">
        <v>4478.7520249299996</v>
      </c>
      <c r="Y113" s="59">
        <v>4152.0636002299998</v>
      </c>
      <c r="Z113" s="59">
        <v>4326.25726777</v>
      </c>
      <c r="AA113" s="59">
        <v>4842.4447621600002</v>
      </c>
      <c r="AB113" s="59">
        <v>5264.9543137199998</v>
      </c>
    </row>
    <row r="114" spans="1:28" x14ac:dyDescent="0.2">
      <c r="A114" s="56" t="s">
        <v>183</v>
      </c>
      <c r="B114" s="42" t="s">
        <v>115</v>
      </c>
      <c r="C114" s="59">
        <v>432.71529500000003</v>
      </c>
      <c r="D114" s="59">
        <v>468.54158699999999</v>
      </c>
      <c r="E114" s="59">
        <v>486.219132</v>
      </c>
      <c r="F114" s="59">
        <v>517.10181999999998</v>
      </c>
      <c r="G114" s="59">
        <v>520.85687700000005</v>
      </c>
      <c r="H114" s="59">
        <v>566.68137100000001</v>
      </c>
      <c r="I114" s="59">
        <v>623.46572263999997</v>
      </c>
      <c r="J114" s="59">
        <v>675.46531800000002</v>
      </c>
      <c r="K114" s="59">
        <v>693.22360100000003</v>
      </c>
      <c r="L114" s="59">
        <v>699.19848200000001</v>
      </c>
      <c r="M114" s="59">
        <v>727.09105699999998</v>
      </c>
      <c r="N114" s="59">
        <v>706.49545899999998</v>
      </c>
      <c r="O114" s="59">
        <v>720.65217700000005</v>
      </c>
      <c r="P114" s="59">
        <v>741.52877100000001</v>
      </c>
      <c r="Q114" s="59">
        <v>757.02418040999999</v>
      </c>
      <c r="R114" s="59">
        <v>781.24129360999996</v>
      </c>
      <c r="S114" s="59">
        <v>813.98291959999995</v>
      </c>
      <c r="T114" s="59">
        <v>827.57336468999995</v>
      </c>
      <c r="U114" s="59">
        <v>869.65655770000001</v>
      </c>
      <c r="V114" s="59">
        <v>944.71380008999995</v>
      </c>
      <c r="W114" s="59">
        <v>985.21033636000004</v>
      </c>
      <c r="X114" s="59">
        <v>1023.84134625</v>
      </c>
      <c r="Y114" s="59">
        <v>949.34775363999995</v>
      </c>
      <c r="Z114" s="59">
        <v>1010.88322164</v>
      </c>
      <c r="AA114" s="59">
        <v>1145.30772811</v>
      </c>
      <c r="AB114" s="59">
        <v>1260.3155092699999</v>
      </c>
    </row>
    <row r="115" spans="1:28" x14ac:dyDescent="0.2">
      <c r="A115" s="56" t="s">
        <v>183</v>
      </c>
      <c r="B115" s="42" t="s">
        <v>13</v>
      </c>
      <c r="C115" s="59">
        <v>1065.7781560000001</v>
      </c>
      <c r="D115" s="59">
        <v>1093.4590029999999</v>
      </c>
      <c r="E115" s="59">
        <v>1121.011493</v>
      </c>
      <c r="F115" s="59">
        <v>1142.9682399999999</v>
      </c>
      <c r="G115" s="59">
        <v>1181.9087910000001</v>
      </c>
      <c r="H115" s="59">
        <v>1282.501475</v>
      </c>
      <c r="I115" s="59">
        <v>1366.489069</v>
      </c>
      <c r="J115" s="59">
        <v>1437.451039</v>
      </c>
      <c r="K115" s="59">
        <v>1517.665614</v>
      </c>
      <c r="L115" s="59">
        <v>1619.005979</v>
      </c>
      <c r="M115" s="59">
        <v>1811.323294</v>
      </c>
      <c r="N115" s="59">
        <v>1817.9303950000001</v>
      </c>
      <c r="O115" s="59">
        <v>1799.4182960000001</v>
      </c>
      <c r="P115" s="59">
        <v>1889.3401899999999</v>
      </c>
      <c r="Q115" s="59">
        <v>1853.3775820000001</v>
      </c>
      <c r="R115" s="59">
        <v>1918.66169603</v>
      </c>
      <c r="S115" s="59">
        <v>1948.7013810000001</v>
      </c>
      <c r="T115" s="59">
        <v>1992.11235794</v>
      </c>
      <c r="U115" s="59">
        <v>1967.4853229999901</v>
      </c>
      <c r="V115" s="59">
        <v>2164.7720250299999</v>
      </c>
      <c r="W115" s="59">
        <v>2218.7372139999902</v>
      </c>
      <c r="X115" s="59">
        <v>2283.4679859799999</v>
      </c>
      <c r="Y115" s="59">
        <v>2237.293075</v>
      </c>
      <c r="Z115" s="59">
        <v>2382.2356719999998</v>
      </c>
      <c r="AA115" s="59">
        <v>2654.27450112</v>
      </c>
      <c r="AB115" s="59">
        <v>2959.7343670099999</v>
      </c>
    </row>
    <row r="116" spans="1:28" x14ac:dyDescent="0.2">
      <c r="A116" s="56" t="s">
        <v>183</v>
      </c>
      <c r="B116" s="42" t="s">
        <v>116</v>
      </c>
      <c r="C116" s="59">
        <v>274.05560100000002</v>
      </c>
      <c r="D116" s="59">
        <v>290.08759099999997</v>
      </c>
      <c r="E116" s="59">
        <v>307.82627600000001</v>
      </c>
      <c r="F116" s="59">
        <v>324.70564899999999</v>
      </c>
      <c r="G116" s="59">
        <v>325.57429300000001</v>
      </c>
      <c r="H116" s="59">
        <v>357.90545200000003</v>
      </c>
      <c r="I116" s="59">
        <v>395.57445200000001</v>
      </c>
      <c r="J116" s="59">
        <v>427.89651199999997</v>
      </c>
      <c r="K116" s="59">
        <v>434.07039600000002</v>
      </c>
      <c r="L116" s="59">
        <v>449.55096300000002</v>
      </c>
      <c r="M116" s="59">
        <v>479.48710899999998</v>
      </c>
      <c r="N116" s="59">
        <v>482.81525199999999</v>
      </c>
      <c r="O116" s="59">
        <v>493.41905300000002</v>
      </c>
      <c r="P116" s="59">
        <v>532.19585299999903</v>
      </c>
      <c r="Q116" s="59">
        <v>546.91566499999999</v>
      </c>
      <c r="R116" s="59">
        <v>527.69989499999997</v>
      </c>
      <c r="S116" s="59">
        <v>540.95835195999996</v>
      </c>
      <c r="T116" s="59">
        <v>559.70315699000002</v>
      </c>
      <c r="U116" s="59">
        <v>547.55781598999999</v>
      </c>
      <c r="V116" s="59">
        <v>555.21305800000005</v>
      </c>
      <c r="W116" s="59">
        <v>515.53252099999997</v>
      </c>
      <c r="X116" s="59">
        <v>558.58922200999996</v>
      </c>
      <c r="Y116" s="59">
        <v>522.33745599999997</v>
      </c>
      <c r="Z116" s="59">
        <v>562.75317201999997</v>
      </c>
      <c r="AA116" s="59">
        <v>641.65334399999995</v>
      </c>
      <c r="AB116" s="59">
        <v>699.41608996000002</v>
      </c>
    </row>
    <row r="117" spans="1:28" x14ac:dyDescent="0.2">
      <c r="A117" s="56" t="s">
        <v>183</v>
      </c>
      <c r="B117" s="42" t="s">
        <v>117</v>
      </c>
      <c r="C117" s="59">
        <v>248.01438400000001</v>
      </c>
      <c r="D117" s="59">
        <v>267.014624999999</v>
      </c>
      <c r="E117" s="59">
        <v>275.09290800000002</v>
      </c>
      <c r="F117" s="59">
        <v>299.702654</v>
      </c>
      <c r="G117" s="59">
        <v>301.40572600000002</v>
      </c>
      <c r="H117" s="59">
        <v>332.69720899999999</v>
      </c>
      <c r="I117" s="59">
        <v>362.113529999999</v>
      </c>
      <c r="J117" s="59">
        <v>388.613337</v>
      </c>
      <c r="K117" s="59">
        <v>398.53734600000001</v>
      </c>
      <c r="L117" s="59">
        <v>409.740993</v>
      </c>
      <c r="M117" s="59">
        <v>437.37148400000001</v>
      </c>
      <c r="N117" s="59">
        <v>433.092037</v>
      </c>
      <c r="O117" s="59">
        <v>449.423440999999</v>
      </c>
      <c r="P117" s="59">
        <v>472.349737</v>
      </c>
      <c r="Q117" s="59">
        <v>470.61764399999998</v>
      </c>
      <c r="R117" s="59">
        <v>469.975585999999</v>
      </c>
      <c r="S117" s="59">
        <v>487.92169705999999</v>
      </c>
      <c r="T117" s="59">
        <v>480.09191300999998</v>
      </c>
      <c r="U117" s="59">
        <v>482.59260995</v>
      </c>
      <c r="V117" s="59">
        <v>502.98071797</v>
      </c>
      <c r="W117" s="59">
        <v>522.94825000000003</v>
      </c>
      <c r="X117" s="59">
        <v>568.29054199999996</v>
      </c>
      <c r="Y117" s="59">
        <v>554.38370194000004</v>
      </c>
      <c r="Z117" s="59">
        <v>581.99766503000001</v>
      </c>
      <c r="AA117" s="59">
        <v>583.09046401000001</v>
      </c>
      <c r="AB117" s="59">
        <v>644.56064300000003</v>
      </c>
    </row>
    <row r="118" spans="1:28" x14ac:dyDescent="0.2">
      <c r="A118" s="56" t="s">
        <v>183</v>
      </c>
      <c r="B118" s="42" t="s">
        <v>118</v>
      </c>
      <c r="C118" s="59">
        <v>380.16176000000002</v>
      </c>
      <c r="D118" s="59">
        <v>392.44915800000001</v>
      </c>
      <c r="E118" s="59">
        <v>389.434021999999</v>
      </c>
      <c r="F118" s="59">
        <v>409.23654299999998</v>
      </c>
      <c r="G118" s="59">
        <v>415.84029700000002</v>
      </c>
      <c r="H118" s="59">
        <v>436.89691599999998</v>
      </c>
      <c r="I118" s="59">
        <v>478.61449900000002</v>
      </c>
      <c r="J118" s="59">
        <v>508.98283900000001</v>
      </c>
      <c r="K118" s="59">
        <v>534.20870600000001</v>
      </c>
      <c r="L118" s="59">
        <v>541.65162699999996</v>
      </c>
      <c r="M118" s="59">
        <v>586.77996599999994</v>
      </c>
      <c r="N118" s="59">
        <v>636.57860400000004</v>
      </c>
      <c r="O118" s="59">
        <v>632.98367799999903</v>
      </c>
      <c r="P118" s="59">
        <v>692.00525000000005</v>
      </c>
      <c r="Q118" s="59">
        <v>697.47561399999995</v>
      </c>
      <c r="R118" s="59">
        <v>731.08337200000005</v>
      </c>
      <c r="S118" s="59">
        <v>783.16831597999999</v>
      </c>
      <c r="T118" s="59">
        <v>736.63273300000003</v>
      </c>
      <c r="U118" s="59">
        <v>709.21134900000004</v>
      </c>
      <c r="V118" s="59">
        <v>762.86205499999903</v>
      </c>
      <c r="W118" s="59">
        <v>754.22050495999997</v>
      </c>
      <c r="X118" s="59">
        <v>811.47370415</v>
      </c>
      <c r="Y118" s="59">
        <v>748.32678699999997</v>
      </c>
      <c r="Z118" s="59">
        <v>766.46302490999994</v>
      </c>
      <c r="AA118" s="59">
        <v>785.46302806999995</v>
      </c>
      <c r="AB118" s="59">
        <v>854.94356300999902</v>
      </c>
    </row>
    <row r="119" spans="1:28" x14ac:dyDescent="0.2">
      <c r="A119" s="56" t="s">
        <v>183</v>
      </c>
      <c r="B119" s="42" t="s">
        <v>184</v>
      </c>
      <c r="C119" s="59">
        <v>5398.3455480000002</v>
      </c>
      <c r="D119" s="59">
        <v>5658.4431450000002</v>
      </c>
      <c r="E119" s="59">
        <v>5844.3226825000002</v>
      </c>
      <c r="F119" s="59">
        <v>6115.5609219999997</v>
      </c>
      <c r="G119" s="59">
        <v>6240.1863080000003</v>
      </c>
      <c r="H119" s="59">
        <v>6845.3042155000003</v>
      </c>
      <c r="I119" s="59">
        <v>7399.9545646099996</v>
      </c>
      <c r="J119" s="59">
        <v>7890.8124385000001</v>
      </c>
      <c r="K119" s="59">
        <v>8222.216042</v>
      </c>
      <c r="L119" s="59">
        <v>8499.0168059999996</v>
      </c>
      <c r="M119" s="59">
        <v>9074.9227174099997</v>
      </c>
      <c r="N119" s="59">
        <v>9007.5174435000008</v>
      </c>
      <c r="O119" s="59">
        <v>9157.688596</v>
      </c>
      <c r="P119" s="59">
        <v>9697.9602355000006</v>
      </c>
      <c r="Q119" s="59">
        <v>9839.5246474800006</v>
      </c>
      <c r="R119" s="59">
        <v>10196.508388280001</v>
      </c>
      <c r="S119" s="59">
        <v>10562.262454490001</v>
      </c>
      <c r="T119" s="59">
        <v>10645.86640771</v>
      </c>
      <c r="U119" s="59">
        <v>10755.4291294</v>
      </c>
      <c r="V119" s="59">
        <v>11588.626738430001</v>
      </c>
      <c r="W119" s="59">
        <v>11735.829946559999</v>
      </c>
      <c r="X119" s="59">
        <v>12259.276500509999</v>
      </c>
      <c r="Y119" s="59">
        <v>11497.14978512</v>
      </c>
      <c r="Z119" s="59">
        <v>12157.477340400001</v>
      </c>
      <c r="AA119" s="59">
        <v>13441.42261704</v>
      </c>
      <c r="AB119" s="59">
        <v>14702.835676610001</v>
      </c>
    </row>
    <row r="120" spans="1:28" ht="28.5" customHeight="1" x14ac:dyDescent="0.2">
      <c r="A120" s="57" t="s">
        <v>377</v>
      </c>
      <c r="B120" s="57" t="s">
        <v>111</v>
      </c>
      <c r="C120" s="59">
        <v>354.128659499999</v>
      </c>
      <c r="D120" s="59">
        <v>367.32407999999998</v>
      </c>
      <c r="E120" s="59">
        <v>379.24350149999998</v>
      </c>
      <c r="F120" s="59">
        <v>397.86401599999999</v>
      </c>
      <c r="G120" s="59">
        <v>408.27981649999998</v>
      </c>
      <c r="H120" s="59">
        <v>422.148303</v>
      </c>
      <c r="I120" s="59">
        <v>437.68162100000001</v>
      </c>
      <c r="J120" s="59">
        <v>465.18541174000001</v>
      </c>
      <c r="K120" s="59">
        <v>494.17463149999998</v>
      </c>
      <c r="L120" s="59">
        <v>503.4394795</v>
      </c>
      <c r="M120" s="59">
        <v>539.71031212000003</v>
      </c>
      <c r="N120" s="59">
        <v>530.2651515</v>
      </c>
      <c r="O120" s="59">
        <v>538.49928850000003</v>
      </c>
      <c r="P120" s="59">
        <v>552.43580550000001</v>
      </c>
      <c r="Q120" s="59">
        <v>558.97559876000003</v>
      </c>
      <c r="R120" s="59">
        <v>549.94170182000005</v>
      </c>
      <c r="S120" s="59">
        <v>587.50233530000003</v>
      </c>
      <c r="T120" s="59">
        <v>603.82079435000003</v>
      </c>
      <c r="U120" s="59">
        <v>658.83832316999997</v>
      </c>
      <c r="V120" s="59">
        <v>725.92421165999997</v>
      </c>
      <c r="W120" s="59">
        <v>770.46515052999996</v>
      </c>
      <c r="X120" s="59">
        <v>818.22649527999999</v>
      </c>
      <c r="Y120" s="59">
        <v>752.70057972999996</v>
      </c>
      <c r="Z120" s="59">
        <v>797.88900845000001</v>
      </c>
      <c r="AA120" s="59">
        <v>899.19577170000002</v>
      </c>
      <c r="AB120" s="59">
        <v>968.98438098999998</v>
      </c>
    </row>
    <row r="121" spans="1:28" x14ac:dyDescent="0.2">
      <c r="A121" s="57" t="s">
        <v>377</v>
      </c>
      <c r="B121" s="42" t="s">
        <v>378</v>
      </c>
      <c r="C121" s="59">
        <v>8905.6611309999898</v>
      </c>
      <c r="D121" s="59">
        <v>9126.1686565</v>
      </c>
      <c r="E121" s="59">
        <v>9435.7791570000009</v>
      </c>
      <c r="F121" s="59">
        <v>10100.922280999999</v>
      </c>
      <c r="G121" s="59">
        <v>10235.7581825</v>
      </c>
      <c r="H121" s="59">
        <v>10805.513715999999</v>
      </c>
      <c r="I121" s="59">
        <v>11772.1915675</v>
      </c>
      <c r="J121" s="59">
        <v>12721.791722669999</v>
      </c>
      <c r="K121" s="59">
        <v>13420.327767999999</v>
      </c>
      <c r="L121" s="59">
        <v>13764.7954455</v>
      </c>
      <c r="M121" s="59">
        <v>14182.80712023</v>
      </c>
      <c r="N121" s="59">
        <v>14221.016113</v>
      </c>
      <c r="O121" s="59">
        <v>13838.216668999999</v>
      </c>
      <c r="P121" s="59">
        <v>14296.0671105</v>
      </c>
      <c r="Q121" s="59">
        <v>14587.560987119999</v>
      </c>
      <c r="R121" s="59">
        <v>15201.902479599999</v>
      </c>
      <c r="S121" s="59">
        <v>15643.797610219999</v>
      </c>
      <c r="T121" s="59">
        <v>16061.692797850001</v>
      </c>
      <c r="U121" s="59">
        <v>15988.2396881</v>
      </c>
      <c r="V121" s="59">
        <v>16891.687995789998</v>
      </c>
      <c r="W121" s="59">
        <v>17368.968789210001</v>
      </c>
      <c r="X121" s="59">
        <v>17986.036886139998</v>
      </c>
      <c r="Y121" s="59">
        <v>17564.225249250001</v>
      </c>
      <c r="Z121" s="59">
        <v>19289.48385543</v>
      </c>
      <c r="AA121" s="59">
        <v>21914.72300645</v>
      </c>
      <c r="AB121" s="59">
        <v>24683.55582822</v>
      </c>
    </row>
    <row r="122" spans="1:28" x14ac:dyDescent="0.2">
      <c r="A122" s="57" t="s">
        <v>377</v>
      </c>
      <c r="B122" s="42" t="s">
        <v>151</v>
      </c>
      <c r="C122" s="59">
        <v>13475.716152999999</v>
      </c>
      <c r="D122" s="59">
        <v>13754.704607</v>
      </c>
      <c r="E122" s="59">
        <v>14197.312470999999</v>
      </c>
      <c r="F122" s="59">
        <v>15194.208526</v>
      </c>
      <c r="G122" s="59">
        <v>15582.5852135</v>
      </c>
      <c r="H122" s="59">
        <v>16562.052298999999</v>
      </c>
      <c r="I122" s="59">
        <v>17906.355594000001</v>
      </c>
      <c r="J122" s="59">
        <v>19292.40545224</v>
      </c>
      <c r="K122" s="59">
        <v>20362.538446499999</v>
      </c>
      <c r="L122" s="59">
        <v>20850.426539</v>
      </c>
      <c r="M122" s="59">
        <v>21693.140216669999</v>
      </c>
      <c r="N122" s="59">
        <v>21699.7256505</v>
      </c>
      <c r="O122" s="59">
        <v>21227.3049655</v>
      </c>
      <c r="P122" s="59">
        <v>21828.913668500001</v>
      </c>
      <c r="Q122" s="59">
        <v>22301.105149350002</v>
      </c>
      <c r="R122" s="59">
        <v>23338.448607480001</v>
      </c>
      <c r="S122" s="59">
        <v>24648.740856640001</v>
      </c>
      <c r="T122" s="59">
        <v>25032.714365749998</v>
      </c>
      <c r="U122" s="59">
        <v>25431.26937211</v>
      </c>
      <c r="V122" s="59">
        <v>26694.811433449999</v>
      </c>
      <c r="W122" s="59">
        <v>27493.853829349999</v>
      </c>
      <c r="X122" s="59">
        <v>28651.83581751</v>
      </c>
      <c r="Y122" s="59">
        <v>27608.771244930002</v>
      </c>
      <c r="Z122" s="59">
        <v>30225.975759839999</v>
      </c>
      <c r="AA122" s="59">
        <v>33349.842073269901</v>
      </c>
      <c r="AB122" s="59">
        <v>37030.572422769998</v>
      </c>
    </row>
    <row r="123" spans="1:28" ht="34.5" customHeight="1" x14ac:dyDescent="0.2">
      <c r="A123" s="57" t="s">
        <v>270</v>
      </c>
      <c r="B123" s="42" t="s">
        <v>271</v>
      </c>
      <c r="C123" s="59">
        <v>96.531797999999995</v>
      </c>
      <c r="D123" s="59">
        <v>103.018331</v>
      </c>
      <c r="E123" s="59">
        <v>106.86648700000001</v>
      </c>
      <c r="F123" s="59">
        <v>109.652647</v>
      </c>
      <c r="G123" s="59">
        <v>113.55435300000001</v>
      </c>
      <c r="H123" s="59">
        <v>122.984162</v>
      </c>
      <c r="I123" s="59">
        <v>130.99321</v>
      </c>
      <c r="J123" s="59">
        <v>139.88677999999999</v>
      </c>
      <c r="K123" s="59">
        <v>148.28066000000001</v>
      </c>
      <c r="L123" s="59">
        <v>152.014995</v>
      </c>
      <c r="M123" s="59">
        <v>172.66685899999999</v>
      </c>
      <c r="N123" s="59">
        <v>172.197632</v>
      </c>
      <c r="O123" s="59">
        <v>166.364318</v>
      </c>
      <c r="P123" s="59">
        <v>177.74594500000001</v>
      </c>
      <c r="Q123" s="59">
        <v>189.792496</v>
      </c>
      <c r="R123" s="59">
        <v>185.45949099999899</v>
      </c>
      <c r="S123" s="59">
        <v>199.38257346</v>
      </c>
      <c r="T123" s="59">
        <v>201.11498753000001</v>
      </c>
      <c r="U123" s="59">
        <v>209.17997152999999</v>
      </c>
      <c r="V123" s="59">
        <v>248.16251650000001</v>
      </c>
      <c r="W123" s="59">
        <v>242.01869920999999</v>
      </c>
      <c r="X123" s="59">
        <v>249.52445792</v>
      </c>
      <c r="Y123" s="59">
        <v>215.59877183</v>
      </c>
      <c r="Z123" s="59">
        <v>241.62691242</v>
      </c>
      <c r="AA123" s="59">
        <v>291.56861559999999</v>
      </c>
      <c r="AB123" s="59">
        <v>315.72307948000002</v>
      </c>
    </row>
    <row r="124" spans="1:28" x14ac:dyDescent="0.2">
      <c r="A124" s="57" t="s">
        <v>270</v>
      </c>
      <c r="B124" s="42" t="s">
        <v>272</v>
      </c>
      <c r="C124" s="59">
        <v>111.65234700000001</v>
      </c>
      <c r="D124" s="59">
        <v>124.502661</v>
      </c>
      <c r="E124" s="59">
        <v>131.5535715</v>
      </c>
      <c r="F124" s="59">
        <v>149.39067499999999</v>
      </c>
      <c r="G124" s="59">
        <v>159.32521199999999</v>
      </c>
      <c r="H124" s="59">
        <v>184.14031650000001</v>
      </c>
      <c r="I124" s="59">
        <v>191.7326295</v>
      </c>
      <c r="J124" s="59">
        <v>212.71401850000001</v>
      </c>
      <c r="K124" s="59">
        <v>226.21930399999999</v>
      </c>
      <c r="L124" s="59">
        <v>219.804903</v>
      </c>
      <c r="M124" s="59">
        <v>226.57674741</v>
      </c>
      <c r="N124" s="59">
        <v>209.58954650000001</v>
      </c>
      <c r="O124" s="59">
        <v>182.564897</v>
      </c>
      <c r="P124" s="59">
        <v>177.12276449999999</v>
      </c>
      <c r="Q124" s="59">
        <v>180.84070349999999</v>
      </c>
      <c r="R124" s="59">
        <v>170.94072546000001</v>
      </c>
      <c r="S124" s="59">
        <v>180.11255129</v>
      </c>
      <c r="T124" s="59">
        <v>175.34918181</v>
      </c>
      <c r="U124" s="59">
        <v>174.79537736</v>
      </c>
      <c r="V124" s="59">
        <v>190.02152957999999</v>
      </c>
      <c r="W124" s="59">
        <v>187.17182535999899</v>
      </c>
      <c r="X124" s="59">
        <v>198.27774994000001</v>
      </c>
      <c r="Y124" s="59">
        <v>182.67056642</v>
      </c>
      <c r="Z124" s="59">
        <v>198.79750400999899</v>
      </c>
      <c r="AA124" s="59">
        <v>223.67538622999999</v>
      </c>
      <c r="AB124" s="59">
        <v>252.69448452</v>
      </c>
    </row>
    <row r="125" spans="1:28" x14ac:dyDescent="0.2">
      <c r="A125" s="57" t="s">
        <v>270</v>
      </c>
      <c r="B125" s="42" t="s">
        <v>273</v>
      </c>
      <c r="C125" s="59">
        <v>99.262623000000005</v>
      </c>
      <c r="D125" s="59">
        <v>104.363376</v>
      </c>
      <c r="E125" s="59">
        <v>106.255118</v>
      </c>
      <c r="F125" s="59">
        <v>111.99968</v>
      </c>
      <c r="G125" s="59">
        <v>113.410166</v>
      </c>
      <c r="H125" s="59">
        <v>124.801221</v>
      </c>
      <c r="I125" s="59">
        <v>136.18788061999999</v>
      </c>
      <c r="J125" s="59">
        <v>146.50725199999999</v>
      </c>
      <c r="K125" s="59">
        <v>154.87597399999899</v>
      </c>
      <c r="L125" s="59">
        <v>156.21630500000001</v>
      </c>
      <c r="M125" s="59">
        <v>167.79038399999999</v>
      </c>
      <c r="N125" s="59">
        <v>167.018822</v>
      </c>
      <c r="O125" s="59">
        <v>166.209339</v>
      </c>
      <c r="P125" s="59">
        <v>174.31411299999999</v>
      </c>
      <c r="Q125" s="59">
        <v>173.95528823000001</v>
      </c>
      <c r="R125" s="59">
        <v>173.34546176999899</v>
      </c>
      <c r="S125" s="59">
        <v>177.67951613</v>
      </c>
      <c r="T125" s="59">
        <v>182.802727</v>
      </c>
      <c r="U125" s="59">
        <v>186.21404888999999</v>
      </c>
      <c r="V125" s="59">
        <v>212.38289180000001</v>
      </c>
      <c r="W125" s="59">
        <v>234.48109307999999</v>
      </c>
      <c r="X125" s="59">
        <v>256.06561925</v>
      </c>
      <c r="Y125" s="59">
        <v>228.45495141999999</v>
      </c>
      <c r="Z125" s="59">
        <v>253.83126858</v>
      </c>
      <c r="AA125" s="59">
        <v>275.52760855999998</v>
      </c>
      <c r="AB125" s="59">
        <v>303.62072666</v>
      </c>
    </row>
    <row r="126" spans="1:28" x14ac:dyDescent="0.2">
      <c r="A126" s="57" t="s">
        <v>270</v>
      </c>
      <c r="B126" s="42" t="s">
        <v>274</v>
      </c>
      <c r="C126" s="59">
        <v>198.02866800000001</v>
      </c>
      <c r="D126" s="59">
        <v>212.281115</v>
      </c>
      <c r="E126" s="59">
        <v>219.02080100000001</v>
      </c>
      <c r="F126" s="59">
        <v>237.08223899999999</v>
      </c>
      <c r="G126" s="59">
        <v>234.1215</v>
      </c>
      <c r="H126" s="59">
        <v>255.34730999999999</v>
      </c>
      <c r="I126" s="59">
        <v>274.86120899999997</v>
      </c>
      <c r="J126" s="59">
        <v>293.895770999999</v>
      </c>
      <c r="K126" s="59">
        <v>300.92440699999997</v>
      </c>
      <c r="L126" s="59">
        <v>309.17578099999997</v>
      </c>
      <c r="M126" s="59">
        <v>328.68741499999999</v>
      </c>
      <c r="N126" s="59">
        <v>323.37930999999998</v>
      </c>
      <c r="O126" s="59">
        <v>329.38322499999998</v>
      </c>
      <c r="P126" s="59">
        <v>346.07830100000001</v>
      </c>
      <c r="Q126" s="59">
        <v>349.741038</v>
      </c>
      <c r="R126" s="59">
        <v>354.772785</v>
      </c>
      <c r="S126" s="59">
        <v>367.63182979999999</v>
      </c>
      <c r="T126" s="59">
        <v>363.564905729999</v>
      </c>
      <c r="U126" s="59">
        <v>368.29015621999997</v>
      </c>
      <c r="V126" s="59">
        <v>383.82768830999998</v>
      </c>
      <c r="W126" s="59">
        <v>396.565879</v>
      </c>
      <c r="X126" s="59">
        <v>440.766622189999</v>
      </c>
      <c r="Y126" s="59">
        <v>425.52075425999999</v>
      </c>
      <c r="Z126" s="59">
        <v>462.16537206999999</v>
      </c>
      <c r="AA126" s="59">
        <v>453.10031938999998</v>
      </c>
      <c r="AB126" s="59">
        <v>497.276971889999</v>
      </c>
    </row>
    <row r="127" spans="1:28" x14ac:dyDescent="0.2">
      <c r="A127" s="57" t="s">
        <v>270</v>
      </c>
      <c r="B127" s="42" t="s">
        <v>275</v>
      </c>
      <c r="C127" s="59">
        <v>242.61547200000001</v>
      </c>
      <c r="D127" s="59">
        <v>257.92339900000002</v>
      </c>
      <c r="E127" s="59">
        <v>275.83085599999998</v>
      </c>
      <c r="F127" s="59">
        <v>290.55317700000001</v>
      </c>
      <c r="G127" s="59">
        <v>289.13487400000002</v>
      </c>
      <c r="H127" s="59">
        <v>316.95311099999998</v>
      </c>
      <c r="I127" s="59">
        <v>352.93994600000002</v>
      </c>
      <c r="J127" s="59">
        <v>383.94877700000001</v>
      </c>
      <c r="K127" s="59">
        <v>386.87959699999999</v>
      </c>
      <c r="L127" s="59">
        <v>403.04165</v>
      </c>
      <c r="M127" s="59">
        <v>430.38493699999998</v>
      </c>
      <c r="N127" s="59">
        <v>433.24296900000002</v>
      </c>
      <c r="O127" s="59">
        <v>443.53026499999999</v>
      </c>
      <c r="P127" s="59">
        <v>481.18192599999998</v>
      </c>
      <c r="Q127" s="59">
        <v>499.37897400000003</v>
      </c>
      <c r="R127" s="59">
        <v>478.12337402000003</v>
      </c>
      <c r="S127" s="59">
        <v>490.94360737</v>
      </c>
      <c r="T127" s="59">
        <v>510.026515509999</v>
      </c>
      <c r="U127" s="59">
        <v>499.60049948</v>
      </c>
      <c r="V127" s="59">
        <v>496.19966399999998</v>
      </c>
      <c r="W127" s="59">
        <v>448.48381202000002</v>
      </c>
      <c r="X127" s="59">
        <v>506.95738521999999</v>
      </c>
      <c r="Y127" s="59">
        <v>480.678405</v>
      </c>
      <c r="Z127" s="59">
        <v>521.33282198999996</v>
      </c>
      <c r="AA127" s="59">
        <v>599.78910709000002</v>
      </c>
      <c r="AB127" s="59">
        <v>659.48989847999997</v>
      </c>
    </row>
    <row r="128" spans="1:28" x14ac:dyDescent="0.2">
      <c r="A128" s="57" t="s">
        <v>270</v>
      </c>
      <c r="B128" s="42" t="s">
        <v>276</v>
      </c>
      <c r="C128" s="59">
        <v>31.440128999999999</v>
      </c>
      <c r="D128" s="59">
        <v>32.164192</v>
      </c>
      <c r="E128" s="59">
        <v>31.995419999999999</v>
      </c>
      <c r="F128" s="59">
        <v>34.152472000000003</v>
      </c>
      <c r="G128" s="59">
        <v>36.439419000000001</v>
      </c>
      <c r="H128" s="59">
        <v>40.952340999999997</v>
      </c>
      <c r="I128" s="59">
        <v>42.634506000000002</v>
      </c>
      <c r="J128" s="59">
        <v>43.947734999999902</v>
      </c>
      <c r="K128" s="59">
        <v>47.190798999999998</v>
      </c>
      <c r="L128" s="59">
        <v>46.509312999999999</v>
      </c>
      <c r="M128" s="59">
        <v>49.102172000000003</v>
      </c>
      <c r="N128" s="59">
        <v>49.572282999999999</v>
      </c>
      <c r="O128" s="59">
        <v>49.888787999999998</v>
      </c>
      <c r="P128" s="59">
        <v>51.013927000000002</v>
      </c>
      <c r="Q128" s="59">
        <v>47.536690999999998</v>
      </c>
      <c r="R128" s="59">
        <v>49.576520979999998</v>
      </c>
      <c r="S128" s="59">
        <v>50.014744589999999</v>
      </c>
      <c r="T128" s="59">
        <v>49.676641480000001</v>
      </c>
      <c r="U128" s="59">
        <v>47.957316509999998</v>
      </c>
      <c r="V128" s="59">
        <v>59.013393999999998</v>
      </c>
      <c r="W128" s="59">
        <v>67.048708980000001</v>
      </c>
      <c r="X128" s="59">
        <v>51.631836789999902</v>
      </c>
      <c r="Y128" s="59">
        <v>41.659050999999998</v>
      </c>
      <c r="Z128" s="59">
        <v>41.420350030000002</v>
      </c>
      <c r="AA128" s="59">
        <v>41.864236910000002</v>
      </c>
      <c r="AB128" s="59">
        <v>39.92619148</v>
      </c>
    </row>
    <row r="129" spans="1:28" x14ac:dyDescent="0.2">
      <c r="A129" s="57" t="s">
        <v>270</v>
      </c>
      <c r="B129" s="42" t="s">
        <v>277</v>
      </c>
      <c r="C129" s="59">
        <v>367.31435599999998</v>
      </c>
      <c r="D129" s="59">
        <v>378.45696600000002</v>
      </c>
      <c r="E129" s="59">
        <v>375.371803</v>
      </c>
      <c r="F129" s="59">
        <v>393.992392</v>
      </c>
      <c r="G129" s="59">
        <v>400.14360900000003</v>
      </c>
      <c r="H129" s="59">
        <v>420.836883</v>
      </c>
      <c r="I129" s="59">
        <v>461.26142700000003</v>
      </c>
      <c r="J129" s="59">
        <v>489.96496200000001</v>
      </c>
      <c r="K129" s="59">
        <v>514.44796199999996</v>
      </c>
      <c r="L129" s="59">
        <v>522.19088499999998</v>
      </c>
      <c r="M129" s="59">
        <v>565.08388000000002</v>
      </c>
      <c r="N129" s="59">
        <v>615.76468199999999</v>
      </c>
      <c r="O129" s="59">
        <v>610.92192599999998</v>
      </c>
      <c r="P129" s="59">
        <v>667.885853</v>
      </c>
      <c r="Q129" s="59">
        <v>673.67288900000005</v>
      </c>
      <c r="R129" s="59">
        <v>706.36452599999996</v>
      </c>
      <c r="S129" s="59">
        <v>758.07223399999998</v>
      </c>
      <c r="T129" s="59">
        <v>710.68897900000002</v>
      </c>
      <c r="U129" s="59">
        <v>682.83039499999995</v>
      </c>
      <c r="V129" s="59">
        <v>731.32094169000004</v>
      </c>
      <c r="W129" s="59">
        <v>722.72423910999998</v>
      </c>
      <c r="X129" s="59">
        <v>776.20153425000001</v>
      </c>
      <c r="Y129" s="59">
        <v>714.80572400000005</v>
      </c>
      <c r="Z129" s="59">
        <v>728.17364254999995</v>
      </c>
      <c r="AA129" s="59">
        <v>745.12668173999998</v>
      </c>
      <c r="AB129" s="59">
        <v>811.41241661999902</v>
      </c>
    </row>
    <row r="130" spans="1:28" x14ac:dyDescent="0.2">
      <c r="A130" s="57" t="s">
        <v>270</v>
      </c>
      <c r="B130" s="42" t="s">
        <v>278</v>
      </c>
      <c r="C130" s="59">
        <v>12.847403999999999</v>
      </c>
      <c r="D130" s="59">
        <v>13.992191999999999</v>
      </c>
      <c r="E130" s="59">
        <v>14.062218999999899</v>
      </c>
      <c r="F130" s="59">
        <v>15.244151</v>
      </c>
      <c r="G130" s="59">
        <v>15.696688</v>
      </c>
      <c r="H130" s="59">
        <v>16.060033000000001</v>
      </c>
      <c r="I130" s="59">
        <v>17.353072000000001</v>
      </c>
      <c r="J130" s="59">
        <v>19.017876999999999</v>
      </c>
      <c r="K130" s="59">
        <v>19.760743999999999</v>
      </c>
      <c r="L130" s="59">
        <v>19.460742</v>
      </c>
      <c r="M130" s="59">
        <v>21.696086000000001</v>
      </c>
      <c r="N130" s="59">
        <v>20.813922000000002</v>
      </c>
      <c r="O130" s="59">
        <v>22.061751999999998</v>
      </c>
      <c r="P130" s="59">
        <v>24.119396999999999</v>
      </c>
      <c r="Q130" s="59">
        <v>23.802724999999999</v>
      </c>
      <c r="R130" s="59">
        <v>24.718845999999999</v>
      </c>
      <c r="S130" s="59">
        <v>25.096081980000001</v>
      </c>
      <c r="T130" s="59">
        <v>25.943753999999998</v>
      </c>
      <c r="U130" s="59">
        <v>26.380953999999999</v>
      </c>
      <c r="V130" s="59">
        <v>31.54111331</v>
      </c>
      <c r="W130" s="59">
        <v>31.49626585</v>
      </c>
      <c r="X130" s="59">
        <v>35.272169900000002</v>
      </c>
      <c r="Y130" s="59">
        <v>33.521062999999998</v>
      </c>
      <c r="Z130" s="59">
        <v>38.289382359999998</v>
      </c>
      <c r="AA130" s="59">
        <v>40.336346329999998</v>
      </c>
      <c r="AB130" s="59">
        <v>43.531146389999897</v>
      </c>
    </row>
    <row r="131" spans="1:28" x14ac:dyDescent="0.2">
      <c r="A131" s="57" t="s">
        <v>270</v>
      </c>
      <c r="B131" s="42" t="s">
        <v>279</v>
      </c>
      <c r="C131" s="59">
        <v>49.985715999999996</v>
      </c>
      <c r="D131" s="59">
        <v>54.733509999999903</v>
      </c>
      <c r="E131" s="59">
        <v>56.072107000000003</v>
      </c>
      <c r="F131" s="59">
        <v>62.620415000000001</v>
      </c>
      <c r="G131" s="59">
        <v>67.284226000000004</v>
      </c>
      <c r="H131" s="59">
        <v>77.349898999999994</v>
      </c>
      <c r="I131" s="59">
        <v>87.252320999999995</v>
      </c>
      <c r="J131" s="59">
        <v>94.717566000000005</v>
      </c>
      <c r="K131" s="59">
        <v>97.612938999999997</v>
      </c>
      <c r="L131" s="59">
        <v>100.565212</v>
      </c>
      <c r="M131" s="59">
        <v>108.68406899999999</v>
      </c>
      <c r="N131" s="59">
        <v>109.712727</v>
      </c>
      <c r="O131" s="59">
        <v>120.040216</v>
      </c>
      <c r="P131" s="59">
        <v>126.27143599999999</v>
      </c>
      <c r="Q131" s="59">
        <v>120.876606</v>
      </c>
      <c r="R131" s="59">
        <v>115.20280099999999</v>
      </c>
      <c r="S131" s="59">
        <v>120.28986725999999</v>
      </c>
      <c r="T131" s="59">
        <v>116.52700728000001</v>
      </c>
      <c r="U131" s="59">
        <v>114.30245373</v>
      </c>
      <c r="V131" s="59">
        <v>119.15302966</v>
      </c>
      <c r="W131" s="59">
        <v>126.38237100000001</v>
      </c>
      <c r="X131" s="59">
        <v>127.52391981</v>
      </c>
      <c r="Y131" s="59">
        <v>128.86294767999999</v>
      </c>
      <c r="Z131" s="59">
        <v>119.83229296</v>
      </c>
      <c r="AA131" s="59">
        <v>129.99014462</v>
      </c>
      <c r="AB131" s="59">
        <v>147.28367111</v>
      </c>
    </row>
    <row r="132" spans="1:28" ht="32.1" customHeight="1" x14ac:dyDescent="0.2">
      <c r="A132" s="57" t="s">
        <v>263</v>
      </c>
      <c r="B132" s="42" t="s">
        <v>280</v>
      </c>
      <c r="C132" s="59">
        <v>10892.543193809999</v>
      </c>
      <c r="D132" s="59">
        <v>11065.637465989999</v>
      </c>
      <c r="E132" s="59">
        <v>11478.986360000001</v>
      </c>
      <c r="F132" s="59">
        <v>12099.036281999999</v>
      </c>
      <c r="G132" s="59">
        <v>12583.933733</v>
      </c>
      <c r="H132" s="59">
        <v>13196.592444</v>
      </c>
      <c r="I132" s="59">
        <v>14012.798035289999</v>
      </c>
      <c r="J132" s="59">
        <v>14845.275256430001</v>
      </c>
      <c r="K132" s="59">
        <v>15581.90805683</v>
      </c>
      <c r="L132" s="59">
        <v>16044.268171</v>
      </c>
      <c r="M132" s="59">
        <v>16986.65943254</v>
      </c>
      <c r="N132" s="59">
        <v>16652.531102000001</v>
      </c>
      <c r="O132" s="59">
        <v>16636.271503</v>
      </c>
      <c r="P132" s="59">
        <v>17124.83049212</v>
      </c>
      <c r="Q132" s="59">
        <v>17558.96583134</v>
      </c>
      <c r="R132" s="59">
        <v>18455.604813260001</v>
      </c>
      <c r="S132" s="59">
        <v>19346.739575470001</v>
      </c>
      <c r="T132" s="59">
        <v>20272.657117139999</v>
      </c>
      <c r="U132" s="59">
        <v>20579.911885820002</v>
      </c>
      <c r="V132" s="59">
        <v>21658.707737770001</v>
      </c>
      <c r="W132" s="59">
        <v>21999.530071720001</v>
      </c>
      <c r="X132" s="59">
        <v>22613.592473510002</v>
      </c>
      <c r="Y132" s="59">
        <v>21679.385659939999</v>
      </c>
      <c r="Z132" s="59">
        <v>23384.430147890002</v>
      </c>
      <c r="AA132" s="59">
        <v>26084.372451430001</v>
      </c>
      <c r="AB132" s="59">
        <v>28904.362573980001</v>
      </c>
    </row>
    <row r="133" spans="1:28" x14ac:dyDescent="0.2">
      <c r="A133" s="57" t="s">
        <v>263</v>
      </c>
      <c r="B133" s="42" t="s">
        <v>264</v>
      </c>
      <c r="C133" s="59">
        <v>14006.10870873</v>
      </c>
      <c r="D133" s="59">
        <v>14217.79078308</v>
      </c>
      <c r="E133" s="59">
        <v>14738.345950499999</v>
      </c>
      <c r="F133" s="59">
        <v>15567.4517695</v>
      </c>
      <c r="G133" s="59">
        <v>15917.961695</v>
      </c>
      <c r="H133" s="59">
        <v>16779.822848</v>
      </c>
      <c r="I133" s="59">
        <v>17825.33490785</v>
      </c>
      <c r="J133" s="59">
        <v>18936.754790899999</v>
      </c>
      <c r="K133" s="59">
        <v>20385.543213630001</v>
      </c>
      <c r="L133" s="59">
        <v>21105.381384</v>
      </c>
      <c r="M133" s="59">
        <v>22407.479277589999</v>
      </c>
      <c r="N133" s="59">
        <v>22089.096499499999</v>
      </c>
      <c r="O133" s="59">
        <v>22241.0461775</v>
      </c>
      <c r="P133" s="59">
        <v>22698.364406590001</v>
      </c>
      <c r="Q133" s="59">
        <v>23366.624945650001</v>
      </c>
      <c r="R133" s="59">
        <v>24463.813234860001</v>
      </c>
      <c r="S133" s="59">
        <v>25345.653086549999</v>
      </c>
      <c r="T133" s="59">
        <v>25874.328567029999</v>
      </c>
      <c r="U133" s="59">
        <v>26201.224551039999</v>
      </c>
      <c r="V133" s="59">
        <v>26901.689566739999</v>
      </c>
      <c r="W133" s="59">
        <v>27498.305025130001</v>
      </c>
      <c r="X133" s="59">
        <v>28399.225639510001</v>
      </c>
      <c r="Y133" s="59">
        <v>26548.925282560002</v>
      </c>
      <c r="Z133" s="59">
        <v>28480.676566260001</v>
      </c>
      <c r="AA133" s="59">
        <v>30938.954886240001</v>
      </c>
      <c r="AB133" s="59">
        <v>33678.988274650001</v>
      </c>
    </row>
    <row r="134" spans="1:28" x14ac:dyDescent="0.2">
      <c r="A134" s="57" t="s">
        <v>263</v>
      </c>
      <c r="B134" s="42" t="s">
        <v>265</v>
      </c>
      <c r="C134" s="59">
        <v>15383.07965089</v>
      </c>
      <c r="D134" s="59">
        <v>15632.42159201</v>
      </c>
      <c r="E134" s="59">
        <v>16475.247026500001</v>
      </c>
      <c r="F134" s="59">
        <v>17619.223420499999</v>
      </c>
      <c r="G134" s="59">
        <v>18550.315834000001</v>
      </c>
      <c r="H134" s="59">
        <v>19829.388039500001</v>
      </c>
      <c r="I134" s="59">
        <v>21112.334852520002</v>
      </c>
      <c r="J134" s="59">
        <v>22473.675395170001</v>
      </c>
      <c r="K134" s="59">
        <v>23644.096807720001</v>
      </c>
      <c r="L134" s="59">
        <v>24692.073289</v>
      </c>
      <c r="M134" s="59">
        <v>25485.96784175</v>
      </c>
      <c r="N134" s="59">
        <v>26036.703103</v>
      </c>
      <c r="O134" s="59">
        <v>26002.238820999999</v>
      </c>
      <c r="P134" s="59">
        <v>26782.295128530001</v>
      </c>
      <c r="Q134" s="59">
        <v>27452.851120579999</v>
      </c>
      <c r="R134" s="59">
        <v>28831.025378490001</v>
      </c>
      <c r="S134" s="59">
        <v>30738.410876710001</v>
      </c>
      <c r="T134" s="59">
        <v>30850.157702289998</v>
      </c>
      <c r="U134" s="59">
        <v>31999.58785855</v>
      </c>
      <c r="V134" s="59">
        <v>34058.020916299902</v>
      </c>
      <c r="W134" s="59">
        <v>35109.103128080002</v>
      </c>
      <c r="X134" s="59">
        <v>36334.228458819998</v>
      </c>
      <c r="Y134" s="59">
        <v>34267.752431530003</v>
      </c>
      <c r="Z134" s="59">
        <v>37143.500300859901</v>
      </c>
      <c r="AA134" s="59">
        <v>41011.448028530001</v>
      </c>
      <c r="AB134" s="59">
        <v>44772.566808919997</v>
      </c>
    </row>
    <row r="135" spans="1:28" x14ac:dyDescent="0.2">
      <c r="A135" s="57" t="s">
        <v>263</v>
      </c>
      <c r="B135" s="42" t="s">
        <v>266</v>
      </c>
      <c r="C135" s="59">
        <v>19108.971926139999</v>
      </c>
      <c r="D135" s="59">
        <v>19269.966913560002</v>
      </c>
      <c r="E135" s="59">
        <v>19800.4409165</v>
      </c>
      <c r="F135" s="59">
        <v>20865.4890075</v>
      </c>
      <c r="G135" s="59">
        <v>21579.370534500002</v>
      </c>
      <c r="H135" s="59">
        <v>22924.488579000001</v>
      </c>
      <c r="I135" s="59">
        <v>24547.922019320002</v>
      </c>
      <c r="J135" s="59">
        <v>25940.114939440002</v>
      </c>
      <c r="K135" s="59">
        <v>27987.65059229</v>
      </c>
      <c r="L135" s="59">
        <v>29113.725233500001</v>
      </c>
      <c r="M135" s="59">
        <v>30203.148785249999</v>
      </c>
      <c r="N135" s="59">
        <v>30217.2531495</v>
      </c>
      <c r="O135" s="59">
        <v>29765.9592075</v>
      </c>
      <c r="P135" s="59">
        <v>30530.157033979998</v>
      </c>
      <c r="Q135" s="59">
        <v>31660.722334859998</v>
      </c>
      <c r="R135" s="59">
        <v>32917.684376500001</v>
      </c>
      <c r="S135" s="59">
        <v>34152.591348939997</v>
      </c>
      <c r="T135" s="59">
        <v>33775.929824090003</v>
      </c>
      <c r="U135" s="59">
        <v>33871.25353835</v>
      </c>
      <c r="V135" s="59">
        <v>36084.953691310002</v>
      </c>
      <c r="W135" s="59">
        <v>36392.057864809998</v>
      </c>
      <c r="X135" s="59">
        <v>38608.40089872</v>
      </c>
      <c r="Y135" s="59">
        <v>36957.752241130001</v>
      </c>
      <c r="Z135" s="59">
        <v>39505.7829126</v>
      </c>
      <c r="AA135" s="59">
        <v>43698.765606510002</v>
      </c>
      <c r="AB135" s="59">
        <v>48686.487490259999</v>
      </c>
    </row>
    <row r="136" spans="1:28" x14ac:dyDescent="0.2">
      <c r="A136" s="57" t="s">
        <v>263</v>
      </c>
      <c r="B136" s="42" t="s">
        <v>281</v>
      </c>
      <c r="C136" s="59">
        <v>10599.20904647</v>
      </c>
      <c r="D136" s="59">
        <v>10833.27392937</v>
      </c>
      <c r="E136" s="59">
        <v>11411.7704135</v>
      </c>
      <c r="F136" s="59">
        <v>12111.947190499999</v>
      </c>
      <c r="G136" s="59">
        <v>12775.990647500001</v>
      </c>
      <c r="H136" s="59">
        <v>13500.3568975</v>
      </c>
      <c r="I136" s="59">
        <v>14400.92008713</v>
      </c>
      <c r="J136" s="59">
        <v>15185.26925229</v>
      </c>
      <c r="K136" s="59">
        <v>16298.37830269</v>
      </c>
      <c r="L136" s="59">
        <v>17212.782307500001</v>
      </c>
      <c r="M136" s="59">
        <v>18205.290499179999</v>
      </c>
      <c r="N136" s="59">
        <v>17924.789709000001</v>
      </c>
      <c r="O136" s="59">
        <v>18181.515324</v>
      </c>
      <c r="P136" s="59">
        <v>18526.039232880001</v>
      </c>
      <c r="Q136" s="59">
        <v>19225.539606419999</v>
      </c>
      <c r="R136" s="59">
        <v>19970.22339132</v>
      </c>
      <c r="S136" s="59">
        <v>20856.647276790001</v>
      </c>
      <c r="T136" s="59">
        <v>21215.426605860001</v>
      </c>
      <c r="U136" s="59">
        <v>21503.107781930001</v>
      </c>
      <c r="V136" s="59">
        <v>22177.205070420001</v>
      </c>
      <c r="W136" s="59">
        <v>22493.1768858</v>
      </c>
      <c r="X136" s="59">
        <v>23298.225738469999</v>
      </c>
      <c r="Y136" s="59">
        <v>21944.056414660001</v>
      </c>
      <c r="Z136" s="59">
        <v>23401.911565449998</v>
      </c>
      <c r="AA136" s="59">
        <v>25132.19381031</v>
      </c>
      <c r="AB136" s="59">
        <v>27428.708724690001</v>
      </c>
    </row>
  </sheetData>
  <hyperlinks>
    <hyperlink ref="A13" location="Contents!A1" display="This cell contains a hyperlink to the Table of Contents" xr:uid="{2C288A75-3B29-400A-A15F-746A4E9F2185}"/>
    <hyperlink ref="A10" r:id="rId1" display="Further data available by industry sector, and chained volume measures/implied deflators available from the Office for National Statistics" xr:uid="{F108AC5E-5B85-4547-A26C-3E1037F8CA76}"/>
    <hyperlink ref="A7" r:id="rId2" display="Source link 2: Regional gross domestic product: all ITL regions. This link opens in a new window." xr:uid="{72E4E09B-C777-4D73-B608-A3192C337B0B}"/>
    <hyperlink ref="A8" r:id="rId3" xr:uid="{C6AE0CB5-7C25-4228-A556-95067D2FB7F0}"/>
    <hyperlink ref="A9" r:id="rId4" xr:uid="{DB880390-753E-4746-A4AA-A2D804BD54D6}"/>
  </hyperlinks>
  <pageMargins left="0.7" right="0.7" top="0.75" bottom="0.75" header="0.3" footer="0.3"/>
  <ignoredErrors>
    <ignoredError sqref="C17:AB17" formulaRange="1"/>
  </ignoredErrors>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134"/>
  <sheetViews>
    <sheetView showGridLines="0" zoomScaleNormal="100" workbookViewId="0"/>
  </sheetViews>
  <sheetFormatPr defaultColWidth="9.140625" defaultRowHeight="15" x14ac:dyDescent="0.2"/>
  <cols>
    <col min="1" max="1" width="61.42578125" style="13" customWidth="1"/>
    <col min="2" max="2" width="54.42578125" style="9" customWidth="1"/>
    <col min="3" max="12" width="11.42578125" style="14" bestFit="1" customWidth="1"/>
    <col min="13" max="17" width="11.42578125" style="13" customWidth="1"/>
    <col min="18" max="16384" width="9.140625" style="13"/>
  </cols>
  <sheetData>
    <row r="1" spans="1:17" ht="20.25" x14ac:dyDescent="0.3">
      <c r="A1" s="22" t="s">
        <v>303</v>
      </c>
      <c r="B1" s="13"/>
      <c r="I1" s="14" t="s">
        <v>0</v>
      </c>
    </row>
    <row r="2" spans="1:17" x14ac:dyDescent="0.2">
      <c r="A2" s="9" t="s">
        <v>152</v>
      </c>
      <c r="B2" s="13"/>
    </row>
    <row r="3" spans="1:17" x14ac:dyDescent="0.2">
      <c r="A3" s="9" t="s">
        <v>233</v>
      </c>
      <c r="B3" s="13"/>
      <c r="C3" s="15"/>
      <c r="D3" s="15"/>
      <c r="E3" s="15"/>
      <c r="F3" s="15"/>
      <c r="G3" s="15"/>
      <c r="M3" s="14"/>
      <c r="N3" s="14"/>
      <c r="O3" s="14"/>
      <c r="P3" s="14"/>
      <c r="Q3" s="14"/>
    </row>
    <row r="4" spans="1:17" x14ac:dyDescent="0.2">
      <c r="A4" s="9" t="s">
        <v>301</v>
      </c>
      <c r="B4" s="13"/>
    </row>
    <row r="5" spans="1:17" x14ac:dyDescent="0.2">
      <c r="A5" s="9" t="s">
        <v>302</v>
      </c>
      <c r="B5" s="13"/>
    </row>
    <row r="6" spans="1:17" x14ac:dyDescent="0.2">
      <c r="A6" s="9" t="s">
        <v>191</v>
      </c>
      <c r="B6" s="13"/>
    </row>
    <row r="7" spans="1:17" ht="15" customHeight="1" x14ac:dyDescent="0.2">
      <c r="A7" s="9" t="s">
        <v>339</v>
      </c>
      <c r="B7" s="13"/>
    </row>
    <row r="8" spans="1:17" x14ac:dyDescent="0.2">
      <c r="A8" s="3" t="s">
        <v>340</v>
      </c>
      <c r="B8" s="13"/>
    </row>
    <row r="9" spans="1:17" x14ac:dyDescent="0.2">
      <c r="A9" s="3" t="s">
        <v>341</v>
      </c>
      <c r="B9" s="13"/>
    </row>
    <row r="10" spans="1:17" s="27" customFormat="1" x14ac:dyDescent="0.25">
      <c r="A10" s="26" t="s">
        <v>338</v>
      </c>
      <c r="C10" s="28"/>
      <c r="D10" s="28"/>
      <c r="E10" s="28"/>
      <c r="F10" s="28"/>
      <c r="G10" s="28"/>
      <c r="H10" s="28"/>
      <c r="I10" s="28"/>
      <c r="J10" s="28"/>
      <c r="K10" s="28"/>
      <c r="L10" s="28"/>
    </row>
    <row r="11" spans="1:17" s="27" customFormat="1" ht="24.6" customHeight="1" x14ac:dyDescent="0.25">
      <c r="A11" s="35" t="s">
        <v>232</v>
      </c>
      <c r="C11" s="39"/>
      <c r="D11" s="28"/>
      <c r="E11" s="28"/>
      <c r="F11" s="28"/>
      <c r="G11" s="28"/>
      <c r="H11" s="28"/>
      <c r="I11" s="28"/>
      <c r="J11" s="28"/>
      <c r="K11" s="28"/>
      <c r="L11" s="28"/>
    </row>
    <row r="12" spans="1:17" ht="15.75" customHeight="1" x14ac:dyDescent="0.2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80" t="s">
        <v>257</v>
      </c>
      <c r="P12" s="112" t="s">
        <v>316</v>
      </c>
      <c r="Q12" s="112" t="s">
        <v>337</v>
      </c>
    </row>
    <row r="13" spans="1:17" x14ac:dyDescent="0.2">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18" t="s">
        <v>190</v>
      </c>
      <c r="P13" s="18" t="s">
        <v>190</v>
      </c>
      <c r="Q13" s="18" t="s">
        <v>190</v>
      </c>
    </row>
    <row r="14" spans="1:17" x14ac:dyDescent="0.2">
      <c r="A14" s="16" t="s">
        <v>178</v>
      </c>
      <c r="B14" s="17" t="s">
        <v>1</v>
      </c>
      <c r="C14" s="18">
        <v>155045</v>
      </c>
      <c r="D14" s="18">
        <v>154365</v>
      </c>
      <c r="E14" s="18">
        <v>159580</v>
      </c>
      <c r="F14" s="18">
        <v>160050</v>
      </c>
      <c r="G14" s="18">
        <v>166525</v>
      </c>
      <c r="H14" s="18">
        <v>170335</v>
      </c>
      <c r="I14" s="18">
        <v>173995</v>
      </c>
      <c r="J14" s="18">
        <v>176400</v>
      </c>
      <c r="K14" s="18">
        <v>176295</v>
      </c>
      <c r="L14" s="18">
        <v>178780</v>
      </c>
      <c r="M14" s="18">
        <v>179460</v>
      </c>
      <c r="N14" s="58">
        <v>177115</v>
      </c>
      <c r="O14" s="18">
        <v>175175</v>
      </c>
      <c r="P14" s="18">
        <v>173370</v>
      </c>
      <c r="Q14" s="18">
        <v>174085</v>
      </c>
    </row>
    <row r="15" spans="1:17" ht="35.450000000000003" customHeight="1" x14ac:dyDescent="0.2">
      <c r="A15" s="17" t="s">
        <v>179</v>
      </c>
      <c r="B15" s="17" t="s">
        <v>35</v>
      </c>
      <c r="C15" s="18">
        <v>20885</v>
      </c>
      <c r="D15" s="18">
        <v>21355</v>
      </c>
      <c r="E15" s="18">
        <v>22340</v>
      </c>
      <c r="F15" s="18">
        <v>22965</v>
      </c>
      <c r="G15" s="18">
        <v>23920</v>
      </c>
      <c r="H15" s="18">
        <v>24365</v>
      </c>
      <c r="I15" s="18">
        <v>24220</v>
      </c>
      <c r="J15" s="18">
        <v>23730</v>
      </c>
      <c r="K15" s="18">
        <v>23375</v>
      </c>
      <c r="L15" s="18">
        <v>23580</v>
      </c>
      <c r="M15" s="18">
        <v>23455</v>
      </c>
      <c r="N15" s="18">
        <v>22735</v>
      </c>
      <c r="O15" s="18">
        <v>21875</v>
      </c>
      <c r="P15" s="18">
        <v>21220</v>
      </c>
      <c r="Q15" s="18">
        <v>21305</v>
      </c>
    </row>
    <row r="16" spans="1:17" x14ac:dyDescent="0.2">
      <c r="A16" s="16" t="s">
        <v>179</v>
      </c>
      <c r="B16" s="17" t="s">
        <v>36</v>
      </c>
      <c r="C16" s="18">
        <v>42535</v>
      </c>
      <c r="D16" s="18">
        <v>42175</v>
      </c>
      <c r="E16" s="18">
        <v>43730</v>
      </c>
      <c r="F16" s="18">
        <v>43640</v>
      </c>
      <c r="G16" s="18">
        <v>45735</v>
      </c>
      <c r="H16" s="18">
        <v>47030</v>
      </c>
      <c r="I16" s="18">
        <v>48810</v>
      </c>
      <c r="J16" s="18">
        <v>50315</v>
      </c>
      <c r="K16" s="18">
        <v>50485</v>
      </c>
      <c r="L16" s="18">
        <v>51395</v>
      </c>
      <c r="M16" s="18">
        <v>52025</v>
      </c>
      <c r="N16" s="18">
        <v>51915</v>
      </c>
      <c r="O16" s="18">
        <v>51785</v>
      </c>
      <c r="P16" s="18">
        <v>51425</v>
      </c>
      <c r="Q16" s="18">
        <v>51660</v>
      </c>
    </row>
    <row r="17" spans="1:17" x14ac:dyDescent="0.2">
      <c r="A17" s="16" t="s">
        <v>179</v>
      </c>
      <c r="B17" s="17" t="s">
        <v>37</v>
      </c>
      <c r="C17" s="18">
        <v>38005</v>
      </c>
      <c r="D17" s="18">
        <v>37850</v>
      </c>
      <c r="E17" s="18">
        <v>39160</v>
      </c>
      <c r="F17" s="18">
        <v>39430</v>
      </c>
      <c r="G17" s="18">
        <v>41240</v>
      </c>
      <c r="H17" s="18">
        <v>42305</v>
      </c>
      <c r="I17" s="18">
        <v>43775</v>
      </c>
      <c r="J17" s="18">
        <v>44750</v>
      </c>
      <c r="K17" s="18">
        <v>45130</v>
      </c>
      <c r="L17" s="18">
        <v>46060</v>
      </c>
      <c r="M17" s="18">
        <v>46370</v>
      </c>
      <c r="N17" s="58">
        <v>45120</v>
      </c>
      <c r="O17" s="18">
        <v>44195</v>
      </c>
      <c r="P17" s="18">
        <v>43770</v>
      </c>
      <c r="Q17" s="18">
        <v>43975</v>
      </c>
    </row>
    <row r="18" spans="1:17" x14ac:dyDescent="0.2">
      <c r="A18" s="16" t="s">
        <v>179</v>
      </c>
      <c r="B18" s="17" t="s">
        <v>236</v>
      </c>
      <c r="C18" s="18">
        <v>8465</v>
      </c>
      <c r="D18" s="18">
        <v>8455</v>
      </c>
      <c r="E18" s="18">
        <v>8665</v>
      </c>
      <c r="F18" s="18">
        <v>8665</v>
      </c>
      <c r="G18" s="18">
        <v>9015</v>
      </c>
      <c r="H18" s="18">
        <v>9235</v>
      </c>
      <c r="I18" s="18">
        <v>9440</v>
      </c>
      <c r="J18" s="18">
        <v>9455</v>
      </c>
      <c r="K18" s="18">
        <v>9370</v>
      </c>
      <c r="L18" s="18">
        <v>9410</v>
      </c>
      <c r="M18" s="18">
        <v>9445</v>
      </c>
      <c r="N18" s="18">
        <v>9295</v>
      </c>
      <c r="O18" s="18">
        <v>9135</v>
      </c>
      <c r="P18" s="18">
        <v>9065</v>
      </c>
      <c r="Q18" s="18">
        <v>9095</v>
      </c>
    </row>
    <row r="19" spans="1:17" x14ac:dyDescent="0.2">
      <c r="A19" s="16" t="s">
        <v>179</v>
      </c>
      <c r="B19" s="17" t="s">
        <v>38</v>
      </c>
      <c r="C19" s="18">
        <v>21465</v>
      </c>
      <c r="D19" s="18">
        <v>21140</v>
      </c>
      <c r="E19" s="18">
        <v>21740</v>
      </c>
      <c r="F19" s="18">
        <v>21675</v>
      </c>
      <c r="G19" s="18">
        <v>22460</v>
      </c>
      <c r="H19" s="18">
        <v>23015</v>
      </c>
      <c r="I19" s="18">
        <v>23315</v>
      </c>
      <c r="J19" s="18">
        <v>23825</v>
      </c>
      <c r="K19" s="18">
        <v>23970</v>
      </c>
      <c r="L19" s="18">
        <v>24145</v>
      </c>
      <c r="M19" s="18">
        <v>24260</v>
      </c>
      <c r="N19" s="18">
        <v>23855</v>
      </c>
      <c r="O19" s="18">
        <v>23490</v>
      </c>
      <c r="P19" s="61">
        <v>23240</v>
      </c>
      <c r="Q19" s="61">
        <v>23250</v>
      </c>
    </row>
    <row r="20" spans="1:17" x14ac:dyDescent="0.2">
      <c r="A20" s="16" t="s">
        <v>179</v>
      </c>
      <c r="B20" s="17" t="s">
        <v>121</v>
      </c>
      <c r="C20" s="18">
        <v>21590</v>
      </c>
      <c r="D20" s="18">
        <v>21375</v>
      </c>
      <c r="E20" s="18">
        <v>21935</v>
      </c>
      <c r="F20" s="18">
        <v>21855</v>
      </c>
      <c r="G20" s="18">
        <v>22305</v>
      </c>
      <c r="H20" s="18">
        <v>22545</v>
      </c>
      <c r="I20" s="18">
        <v>22760</v>
      </c>
      <c r="J20" s="18">
        <v>22745</v>
      </c>
      <c r="K20" s="18">
        <v>22780</v>
      </c>
      <c r="L20" s="18">
        <v>22985</v>
      </c>
      <c r="M20" s="18">
        <v>22850</v>
      </c>
      <c r="N20" s="18">
        <v>22740</v>
      </c>
      <c r="O20" s="18">
        <v>22860</v>
      </c>
      <c r="P20" s="61">
        <v>22760</v>
      </c>
      <c r="Q20" s="61">
        <v>22855</v>
      </c>
    </row>
    <row r="21" spans="1:17" x14ac:dyDescent="0.2">
      <c r="A21" s="16" t="s">
        <v>179</v>
      </c>
      <c r="B21" s="17" t="s">
        <v>39</v>
      </c>
      <c r="C21" s="18">
        <v>9665</v>
      </c>
      <c r="D21" s="18">
        <v>9495</v>
      </c>
      <c r="E21" s="18">
        <v>9745</v>
      </c>
      <c r="F21" s="18">
        <v>9615</v>
      </c>
      <c r="G21" s="18">
        <v>9930</v>
      </c>
      <c r="H21" s="18">
        <v>10165</v>
      </c>
      <c r="I21" s="18">
        <v>10370</v>
      </c>
      <c r="J21" s="18">
        <v>10635</v>
      </c>
      <c r="K21" s="18">
        <v>10490</v>
      </c>
      <c r="L21" s="18">
        <v>10550</v>
      </c>
      <c r="M21" s="18">
        <v>10560</v>
      </c>
      <c r="N21" s="18">
        <v>10495</v>
      </c>
      <c r="O21" s="18">
        <v>10300</v>
      </c>
      <c r="P21" s="18">
        <v>10210</v>
      </c>
      <c r="Q21" s="18">
        <v>10145</v>
      </c>
    </row>
    <row r="22" spans="1:17" x14ac:dyDescent="0.2">
      <c r="A22" s="16" t="s">
        <v>179</v>
      </c>
      <c r="B22" s="17" t="s">
        <v>40</v>
      </c>
      <c r="C22" s="18">
        <v>11835</v>
      </c>
      <c r="D22" s="18">
        <v>11720</v>
      </c>
      <c r="E22" s="18">
        <v>11855</v>
      </c>
      <c r="F22" s="18">
        <v>11665</v>
      </c>
      <c r="G22" s="18">
        <v>11940</v>
      </c>
      <c r="H22" s="18">
        <v>11930</v>
      </c>
      <c r="I22" s="18">
        <v>11880</v>
      </c>
      <c r="J22" s="18">
        <v>11835</v>
      </c>
      <c r="K22" s="18">
        <v>11835</v>
      </c>
      <c r="L22" s="18">
        <v>11870</v>
      </c>
      <c r="M22" s="18">
        <v>11800</v>
      </c>
      <c r="N22" s="18">
        <v>11720</v>
      </c>
      <c r="O22" s="18">
        <v>11865</v>
      </c>
      <c r="P22" s="18">
        <v>11790</v>
      </c>
      <c r="Q22" s="18">
        <v>11800</v>
      </c>
    </row>
    <row r="23" spans="1:17" ht="36.6" customHeight="1" x14ac:dyDescent="0.2">
      <c r="A23" s="17" t="s">
        <v>180</v>
      </c>
      <c r="B23" s="17" t="s">
        <v>41</v>
      </c>
      <c r="C23" s="18">
        <v>7975</v>
      </c>
      <c r="D23" s="18">
        <v>7880</v>
      </c>
      <c r="E23" s="18">
        <v>8080</v>
      </c>
      <c r="F23" s="18">
        <v>8010</v>
      </c>
      <c r="G23" s="18">
        <v>8160</v>
      </c>
      <c r="H23" s="18">
        <v>8225</v>
      </c>
      <c r="I23" s="18">
        <v>8230</v>
      </c>
      <c r="J23" s="18">
        <v>8305</v>
      </c>
      <c r="K23" s="18">
        <v>8310</v>
      </c>
      <c r="L23" s="18">
        <v>8285</v>
      </c>
      <c r="M23" s="18">
        <v>8275</v>
      </c>
      <c r="N23" s="18">
        <v>8305</v>
      </c>
      <c r="O23" s="18">
        <v>8460</v>
      </c>
      <c r="P23" s="18">
        <v>8455</v>
      </c>
      <c r="Q23" s="18">
        <v>8445</v>
      </c>
    </row>
    <row r="24" spans="1:17" x14ac:dyDescent="0.2">
      <c r="A24" s="16" t="s">
        <v>180</v>
      </c>
      <c r="B24" s="17" t="s">
        <v>42</v>
      </c>
      <c r="C24" s="18">
        <v>57395</v>
      </c>
      <c r="D24" s="18">
        <v>57185</v>
      </c>
      <c r="E24" s="18">
        <v>58650</v>
      </c>
      <c r="F24" s="18">
        <v>58635</v>
      </c>
      <c r="G24" s="18">
        <v>60255</v>
      </c>
      <c r="H24" s="18">
        <v>61065</v>
      </c>
      <c r="I24" s="18">
        <v>61610</v>
      </c>
      <c r="J24" s="18">
        <v>61615</v>
      </c>
      <c r="K24" s="18">
        <v>61440</v>
      </c>
      <c r="L24" s="18">
        <v>61940</v>
      </c>
      <c r="M24" s="18">
        <v>61575</v>
      </c>
      <c r="N24" s="18">
        <v>60800</v>
      </c>
      <c r="O24" s="18">
        <v>60485</v>
      </c>
      <c r="P24" s="18">
        <v>59720</v>
      </c>
      <c r="Q24" s="18">
        <v>59815</v>
      </c>
    </row>
    <row r="25" spans="1:17" x14ac:dyDescent="0.2">
      <c r="A25" s="16" t="s">
        <v>180</v>
      </c>
      <c r="B25" s="17" t="s">
        <v>43</v>
      </c>
      <c r="C25" s="18">
        <v>51270</v>
      </c>
      <c r="D25" s="18">
        <v>50705</v>
      </c>
      <c r="E25" s="18">
        <v>52430</v>
      </c>
      <c r="F25" s="18">
        <v>52360</v>
      </c>
      <c r="G25" s="18">
        <v>54790</v>
      </c>
      <c r="H25" s="18">
        <v>56280</v>
      </c>
      <c r="I25" s="18">
        <v>58005</v>
      </c>
      <c r="J25" s="18">
        <v>59425</v>
      </c>
      <c r="K25" s="18">
        <v>59335</v>
      </c>
      <c r="L25" s="18">
        <v>60025</v>
      </c>
      <c r="M25" s="18">
        <v>60410</v>
      </c>
      <c r="N25" s="18">
        <v>59680</v>
      </c>
      <c r="O25" s="18">
        <v>58650</v>
      </c>
      <c r="P25" s="18">
        <v>58150</v>
      </c>
      <c r="Q25" s="18">
        <v>58370</v>
      </c>
    </row>
    <row r="26" spans="1:17" x14ac:dyDescent="0.2">
      <c r="A26" s="16" t="s">
        <v>180</v>
      </c>
      <c r="B26" s="17" t="s">
        <v>44</v>
      </c>
      <c r="C26" s="18">
        <v>41975</v>
      </c>
      <c r="D26" s="18">
        <v>42130</v>
      </c>
      <c r="E26" s="18">
        <v>43980</v>
      </c>
      <c r="F26" s="18">
        <v>44590</v>
      </c>
      <c r="G26" s="18">
        <v>46890</v>
      </c>
      <c r="H26" s="18">
        <v>48340</v>
      </c>
      <c r="I26" s="18">
        <v>49755</v>
      </c>
      <c r="J26" s="18">
        <v>50665</v>
      </c>
      <c r="K26" s="18">
        <v>50845</v>
      </c>
      <c r="L26" s="18">
        <v>52190</v>
      </c>
      <c r="M26" s="18">
        <v>52875</v>
      </c>
      <c r="N26" s="58">
        <v>51920</v>
      </c>
      <c r="O26" s="18">
        <v>51135</v>
      </c>
      <c r="P26" s="18">
        <v>50570</v>
      </c>
      <c r="Q26" s="18">
        <v>50960</v>
      </c>
    </row>
    <row r="27" spans="1:17" ht="28.5" customHeight="1" x14ac:dyDescent="0.2">
      <c r="A27" s="17" t="s">
        <v>181</v>
      </c>
      <c r="B27" s="17" t="s">
        <v>45</v>
      </c>
      <c r="C27" s="18">
        <v>21590</v>
      </c>
      <c r="D27" s="18">
        <v>21375</v>
      </c>
      <c r="E27" s="18">
        <v>21935</v>
      </c>
      <c r="F27" s="18">
        <v>21855</v>
      </c>
      <c r="G27" s="18">
        <v>22305</v>
      </c>
      <c r="H27" s="18">
        <v>22545</v>
      </c>
      <c r="I27" s="18">
        <v>22760</v>
      </c>
      <c r="J27" s="18">
        <v>22745</v>
      </c>
      <c r="K27" s="18">
        <v>22780</v>
      </c>
      <c r="L27" s="18">
        <v>22985</v>
      </c>
      <c r="M27" s="18">
        <v>22850</v>
      </c>
      <c r="N27" s="58">
        <v>22740</v>
      </c>
      <c r="O27" s="18">
        <v>22860</v>
      </c>
      <c r="P27" s="18">
        <v>22760</v>
      </c>
      <c r="Q27" s="18">
        <v>22855</v>
      </c>
    </row>
    <row r="28" spans="1:17" x14ac:dyDescent="0.2">
      <c r="A28" s="16" t="s">
        <v>181</v>
      </c>
      <c r="B28" s="17" t="s">
        <v>120</v>
      </c>
      <c r="C28" s="18">
        <v>11835</v>
      </c>
      <c r="D28" s="18">
        <v>11720</v>
      </c>
      <c r="E28" s="18">
        <v>11855</v>
      </c>
      <c r="F28" s="18">
        <v>11665</v>
      </c>
      <c r="G28" s="18">
        <v>11940</v>
      </c>
      <c r="H28" s="18">
        <v>11930</v>
      </c>
      <c r="I28" s="18">
        <v>11880</v>
      </c>
      <c r="J28" s="18">
        <v>11835</v>
      </c>
      <c r="K28" s="18">
        <v>11835</v>
      </c>
      <c r="L28" s="18">
        <v>11870</v>
      </c>
      <c r="M28" s="18">
        <v>11800</v>
      </c>
      <c r="N28" s="58">
        <v>11720</v>
      </c>
      <c r="O28" s="18">
        <v>11865</v>
      </c>
      <c r="P28" s="18">
        <v>11790</v>
      </c>
      <c r="Q28" s="18">
        <v>11800</v>
      </c>
    </row>
    <row r="29" spans="1:17" x14ac:dyDescent="0.2">
      <c r="A29" s="16" t="s">
        <v>181</v>
      </c>
      <c r="B29" s="17" t="s">
        <v>46</v>
      </c>
      <c r="C29" s="18">
        <v>123085</v>
      </c>
      <c r="D29" s="18">
        <v>122740</v>
      </c>
      <c r="E29" s="18">
        <v>127275</v>
      </c>
      <c r="F29" s="18">
        <v>128005</v>
      </c>
      <c r="G29" s="18">
        <v>133770</v>
      </c>
      <c r="H29" s="18">
        <v>137350</v>
      </c>
      <c r="I29" s="18">
        <v>140840</v>
      </c>
      <c r="J29" s="18">
        <v>143310</v>
      </c>
      <c r="K29" s="18">
        <v>143205</v>
      </c>
      <c r="L29" s="18">
        <v>145445</v>
      </c>
      <c r="M29" s="18">
        <v>146340</v>
      </c>
      <c r="N29" s="58">
        <v>144145</v>
      </c>
      <c r="O29" s="18">
        <v>141930</v>
      </c>
      <c r="P29" s="18">
        <v>140295</v>
      </c>
      <c r="Q29" s="18">
        <v>140890</v>
      </c>
    </row>
    <row r="30" spans="1:17" ht="30" customHeight="1" x14ac:dyDescent="0.2">
      <c r="A30" s="17" t="s">
        <v>47</v>
      </c>
      <c r="B30" s="17" t="s">
        <v>22</v>
      </c>
      <c r="C30" s="19">
        <v>8380</v>
      </c>
      <c r="D30" s="19">
        <v>8620</v>
      </c>
      <c r="E30" s="19">
        <v>9140</v>
      </c>
      <c r="F30" s="19">
        <v>9500</v>
      </c>
      <c r="G30" s="19">
        <v>9990</v>
      </c>
      <c r="H30" s="19">
        <v>10195</v>
      </c>
      <c r="I30" s="19">
        <v>10040</v>
      </c>
      <c r="J30" s="19">
        <v>9715</v>
      </c>
      <c r="K30" s="19">
        <v>9505</v>
      </c>
      <c r="L30" s="19">
        <v>9615</v>
      </c>
      <c r="M30" s="18">
        <v>9555</v>
      </c>
      <c r="N30" s="18">
        <v>9210</v>
      </c>
      <c r="O30" s="18">
        <v>8750</v>
      </c>
      <c r="P30" s="18">
        <v>8545</v>
      </c>
      <c r="Q30" s="18">
        <v>8700</v>
      </c>
    </row>
    <row r="31" spans="1:17" x14ac:dyDescent="0.2">
      <c r="A31" s="16" t="s">
        <v>47</v>
      </c>
      <c r="B31" s="17" t="s">
        <v>23</v>
      </c>
      <c r="C31" s="19">
        <v>12795</v>
      </c>
      <c r="D31" s="19">
        <v>13030</v>
      </c>
      <c r="E31" s="19">
        <v>13505</v>
      </c>
      <c r="F31" s="19">
        <v>13775</v>
      </c>
      <c r="G31" s="19">
        <v>14235</v>
      </c>
      <c r="H31" s="19">
        <v>14480</v>
      </c>
      <c r="I31" s="19">
        <v>14485</v>
      </c>
      <c r="J31" s="19">
        <v>14325</v>
      </c>
      <c r="K31" s="19">
        <v>14185</v>
      </c>
      <c r="L31" s="19">
        <v>14270</v>
      </c>
      <c r="M31" s="18">
        <v>14200</v>
      </c>
      <c r="N31" s="18">
        <v>13810</v>
      </c>
      <c r="O31" s="18">
        <v>13420</v>
      </c>
      <c r="P31" s="18">
        <v>12955</v>
      </c>
      <c r="Q31" s="18">
        <v>12885</v>
      </c>
    </row>
    <row r="32" spans="1:17" x14ac:dyDescent="0.2">
      <c r="A32" s="16" t="s">
        <v>47</v>
      </c>
      <c r="B32" s="17" t="s">
        <v>29</v>
      </c>
      <c r="C32" s="19">
        <v>3805</v>
      </c>
      <c r="D32" s="19">
        <v>3795</v>
      </c>
      <c r="E32" s="19">
        <v>3910</v>
      </c>
      <c r="F32" s="19">
        <v>3900</v>
      </c>
      <c r="G32" s="19">
        <v>4025</v>
      </c>
      <c r="H32" s="19">
        <v>4110</v>
      </c>
      <c r="I32" s="19">
        <v>4155</v>
      </c>
      <c r="J32" s="19">
        <v>4155</v>
      </c>
      <c r="K32" s="19">
        <v>4145</v>
      </c>
      <c r="L32" s="19">
        <v>4170</v>
      </c>
      <c r="M32" s="18">
        <v>4155</v>
      </c>
      <c r="N32" s="18">
        <v>4115</v>
      </c>
      <c r="O32" s="18">
        <v>4095</v>
      </c>
      <c r="P32" s="18">
        <v>4020</v>
      </c>
      <c r="Q32" s="18">
        <v>3980</v>
      </c>
    </row>
    <row r="33" spans="1:17" x14ac:dyDescent="0.2">
      <c r="A33" s="16" t="s">
        <v>47</v>
      </c>
      <c r="B33" s="17" t="s">
        <v>24</v>
      </c>
      <c r="C33" s="19">
        <v>4085</v>
      </c>
      <c r="D33" s="19">
        <v>4040</v>
      </c>
      <c r="E33" s="19">
        <v>4120</v>
      </c>
      <c r="F33" s="19">
        <v>4055</v>
      </c>
      <c r="G33" s="19">
        <v>4105</v>
      </c>
      <c r="H33" s="19">
        <v>4080</v>
      </c>
      <c r="I33" s="19">
        <v>4070</v>
      </c>
      <c r="J33" s="19">
        <v>4115</v>
      </c>
      <c r="K33" s="19">
        <v>4040</v>
      </c>
      <c r="L33" s="19">
        <v>4025</v>
      </c>
      <c r="M33" s="18">
        <v>4040</v>
      </c>
      <c r="N33" s="18">
        <v>4050</v>
      </c>
      <c r="O33" s="18">
        <v>4135</v>
      </c>
      <c r="P33" s="18">
        <v>4125</v>
      </c>
      <c r="Q33" s="18">
        <v>4100</v>
      </c>
    </row>
    <row r="34" spans="1:17" x14ac:dyDescent="0.2">
      <c r="A34" s="16" t="s">
        <v>47</v>
      </c>
      <c r="B34" s="17" t="s">
        <v>25</v>
      </c>
      <c r="C34" s="19">
        <v>15900</v>
      </c>
      <c r="D34" s="19">
        <v>15980</v>
      </c>
      <c r="E34" s="19">
        <v>16675</v>
      </c>
      <c r="F34" s="19">
        <v>16945</v>
      </c>
      <c r="G34" s="19">
        <v>17840</v>
      </c>
      <c r="H34" s="19">
        <v>18440</v>
      </c>
      <c r="I34" s="19">
        <v>19290</v>
      </c>
      <c r="J34" s="19">
        <v>19705</v>
      </c>
      <c r="K34" s="19">
        <v>19850</v>
      </c>
      <c r="L34" s="19">
        <v>20500</v>
      </c>
      <c r="M34" s="18">
        <v>20715</v>
      </c>
      <c r="N34" s="58">
        <v>19985</v>
      </c>
      <c r="O34" s="18">
        <v>19465</v>
      </c>
      <c r="P34" s="18">
        <v>19220</v>
      </c>
      <c r="Q34" s="18">
        <v>19300</v>
      </c>
    </row>
    <row r="35" spans="1:17" x14ac:dyDescent="0.2">
      <c r="A35" s="16" t="s">
        <v>47</v>
      </c>
      <c r="B35" s="17" t="s">
        <v>2</v>
      </c>
      <c r="C35" s="19">
        <v>1180</v>
      </c>
      <c r="D35" s="19">
        <v>1165</v>
      </c>
      <c r="E35" s="19">
        <v>1180</v>
      </c>
      <c r="F35" s="19">
        <v>1155</v>
      </c>
      <c r="G35" s="19">
        <v>1220</v>
      </c>
      <c r="H35" s="19">
        <v>1260</v>
      </c>
      <c r="I35" s="19">
        <v>1285</v>
      </c>
      <c r="J35" s="19">
        <v>1280</v>
      </c>
      <c r="K35" s="19">
        <v>1270</v>
      </c>
      <c r="L35" s="19">
        <v>1265</v>
      </c>
      <c r="M35" s="18">
        <v>1250</v>
      </c>
      <c r="N35" s="18">
        <v>1215</v>
      </c>
      <c r="O35" s="18">
        <v>1210</v>
      </c>
      <c r="P35" s="18">
        <v>1220</v>
      </c>
      <c r="Q35" s="18">
        <v>1220</v>
      </c>
    </row>
    <row r="36" spans="1:17" x14ac:dyDescent="0.2">
      <c r="A36" s="16" t="s">
        <v>47</v>
      </c>
      <c r="B36" s="17" t="s">
        <v>3</v>
      </c>
      <c r="C36" s="19">
        <v>6795</v>
      </c>
      <c r="D36" s="19">
        <v>6685</v>
      </c>
      <c r="E36" s="19">
        <v>6750</v>
      </c>
      <c r="F36" s="19">
        <v>6640</v>
      </c>
      <c r="G36" s="19">
        <v>6770</v>
      </c>
      <c r="H36" s="19">
        <v>6770</v>
      </c>
      <c r="I36" s="19">
        <v>6705</v>
      </c>
      <c r="J36" s="19">
        <v>6670</v>
      </c>
      <c r="K36" s="19">
        <v>6690</v>
      </c>
      <c r="L36" s="19">
        <v>6725</v>
      </c>
      <c r="M36" s="18">
        <v>6685</v>
      </c>
      <c r="N36" s="18">
        <v>6625</v>
      </c>
      <c r="O36" s="18">
        <v>6690</v>
      </c>
      <c r="P36" s="18">
        <v>6650</v>
      </c>
      <c r="Q36" s="18">
        <v>6680</v>
      </c>
    </row>
    <row r="37" spans="1:17" x14ac:dyDescent="0.2">
      <c r="A37" s="16" t="s">
        <v>47</v>
      </c>
      <c r="B37" s="17" t="s">
        <v>30</v>
      </c>
      <c r="C37" s="19">
        <v>3425</v>
      </c>
      <c r="D37" s="19">
        <v>3350</v>
      </c>
      <c r="E37" s="19">
        <v>3430</v>
      </c>
      <c r="F37" s="19">
        <v>3460</v>
      </c>
      <c r="G37" s="19">
        <v>3605</v>
      </c>
      <c r="H37" s="19">
        <v>3735</v>
      </c>
      <c r="I37" s="19">
        <v>3760</v>
      </c>
      <c r="J37" s="19">
        <v>3840</v>
      </c>
      <c r="K37" s="19">
        <v>3775</v>
      </c>
      <c r="L37" s="19">
        <v>3855</v>
      </c>
      <c r="M37" s="18">
        <v>3925</v>
      </c>
      <c r="N37" s="18">
        <v>3960</v>
      </c>
      <c r="O37" s="18">
        <v>3990</v>
      </c>
      <c r="P37" s="18">
        <v>3955</v>
      </c>
      <c r="Q37" s="18">
        <v>3985</v>
      </c>
    </row>
    <row r="38" spans="1:17" x14ac:dyDescent="0.2">
      <c r="A38" s="16" t="s">
        <v>47</v>
      </c>
      <c r="B38" s="17" t="s">
        <v>4</v>
      </c>
      <c r="C38" s="19">
        <v>3130</v>
      </c>
      <c r="D38" s="19">
        <v>3100</v>
      </c>
      <c r="E38" s="19">
        <v>3185</v>
      </c>
      <c r="F38" s="19">
        <v>3165</v>
      </c>
      <c r="G38" s="19">
        <v>3255</v>
      </c>
      <c r="H38" s="19">
        <v>3355</v>
      </c>
      <c r="I38" s="19">
        <v>3410</v>
      </c>
      <c r="J38" s="19">
        <v>3495</v>
      </c>
      <c r="K38" s="19">
        <v>3460</v>
      </c>
      <c r="L38" s="19">
        <v>3475</v>
      </c>
      <c r="M38" s="18">
        <v>3550</v>
      </c>
      <c r="N38" s="18">
        <v>3470</v>
      </c>
      <c r="O38" s="18">
        <v>3490</v>
      </c>
      <c r="P38" s="18">
        <v>3435</v>
      </c>
      <c r="Q38" s="18">
        <v>3380</v>
      </c>
    </row>
    <row r="39" spans="1:17" x14ac:dyDescent="0.2">
      <c r="A39" s="16" t="s">
        <v>47</v>
      </c>
      <c r="B39" s="17" t="s">
        <v>32</v>
      </c>
      <c r="C39" s="19">
        <v>2725</v>
      </c>
      <c r="D39" s="19">
        <v>2715</v>
      </c>
      <c r="E39" s="19">
        <v>2810</v>
      </c>
      <c r="F39" s="19">
        <v>2785</v>
      </c>
      <c r="G39" s="19">
        <v>2940</v>
      </c>
      <c r="H39" s="19">
        <v>3025</v>
      </c>
      <c r="I39" s="19">
        <v>3165</v>
      </c>
      <c r="J39" s="19">
        <v>3200</v>
      </c>
      <c r="K39" s="19">
        <v>3180</v>
      </c>
      <c r="L39" s="19">
        <v>3200</v>
      </c>
      <c r="M39" s="18">
        <v>3145</v>
      </c>
      <c r="N39" s="18">
        <v>3090</v>
      </c>
      <c r="O39" s="18">
        <v>3010</v>
      </c>
      <c r="P39" s="18">
        <v>2985</v>
      </c>
      <c r="Q39" s="18">
        <v>2960</v>
      </c>
    </row>
    <row r="40" spans="1:17" x14ac:dyDescent="0.2">
      <c r="A40" s="16" t="s">
        <v>47</v>
      </c>
      <c r="B40" s="17" t="s">
        <v>5</v>
      </c>
      <c r="C40" s="19">
        <v>2825</v>
      </c>
      <c r="D40" s="19">
        <v>2815</v>
      </c>
      <c r="E40" s="19">
        <v>2930</v>
      </c>
      <c r="F40" s="19">
        <v>3015</v>
      </c>
      <c r="G40" s="19">
        <v>3095</v>
      </c>
      <c r="H40" s="19">
        <v>3120</v>
      </c>
      <c r="I40" s="19">
        <v>3260</v>
      </c>
      <c r="J40" s="19">
        <v>3320</v>
      </c>
      <c r="K40" s="19">
        <v>3360</v>
      </c>
      <c r="L40" s="19">
        <v>3415</v>
      </c>
      <c r="M40" s="18">
        <v>3410</v>
      </c>
      <c r="N40" s="18">
        <v>3355</v>
      </c>
      <c r="O40" s="18">
        <v>3325</v>
      </c>
      <c r="P40" s="18">
        <v>3310</v>
      </c>
      <c r="Q40" s="18">
        <v>3355</v>
      </c>
    </row>
    <row r="41" spans="1:17" x14ac:dyDescent="0.2">
      <c r="A41" s="16" t="s">
        <v>47</v>
      </c>
      <c r="B41" s="17" t="s">
        <v>6</v>
      </c>
      <c r="C41" s="19">
        <v>2315</v>
      </c>
      <c r="D41" s="19">
        <v>2300</v>
      </c>
      <c r="E41" s="19">
        <v>2425</v>
      </c>
      <c r="F41" s="19">
        <v>2435</v>
      </c>
      <c r="G41" s="19">
        <v>2575</v>
      </c>
      <c r="H41" s="19">
        <v>2640</v>
      </c>
      <c r="I41" s="19">
        <v>2730</v>
      </c>
      <c r="J41" s="19">
        <v>2810</v>
      </c>
      <c r="K41" s="19">
        <v>2790</v>
      </c>
      <c r="L41" s="19">
        <v>2810</v>
      </c>
      <c r="M41" s="18">
        <v>2790</v>
      </c>
      <c r="N41" s="18">
        <v>2805</v>
      </c>
      <c r="O41" s="18">
        <v>2785</v>
      </c>
      <c r="P41" s="18">
        <v>2740</v>
      </c>
      <c r="Q41" s="18">
        <v>2790</v>
      </c>
    </row>
    <row r="42" spans="1:17" x14ac:dyDescent="0.2">
      <c r="A42" s="16" t="s">
        <v>47</v>
      </c>
      <c r="B42" s="17" t="s">
        <v>8</v>
      </c>
      <c r="C42" s="19">
        <v>3675</v>
      </c>
      <c r="D42" s="19">
        <v>3670</v>
      </c>
      <c r="E42" s="19">
        <v>3780</v>
      </c>
      <c r="F42" s="19">
        <v>3840</v>
      </c>
      <c r="G42" s="19">
        <v>4000</v>
      </c>
      <c r="H42" s="19">
        <v>4090</v>
      </c>
      <c r="I42" s="19">
        <v>4200</v>
      </c>
      <c r="J42" s="19">
        <v>4245</v>
      </c>
      <c r="K42" s="19">
        <v>4195</v>
      </c>
      <c r="L42" s="19">
        <v>4195</v>
      </c>
      <c r="M42" s="18">
        <v>4215</v>
      </c>
      <c r="N42" s="18">
        <v>4135</v>
      </c>
      <c r="O42" s="18">
        <v>4020</v>
      </c>
      <c r="P42" s="18">
        <v>3960</v>
      </c>
      <c r="Q42" s="18">
        <v>3985</v>
      </c>
    </row>
    <row r="43" spans="1:17" x14ac:dyDescent="0.2">
      <c r="A43" s="16" t="s">
        <v>47</v>
      </c>
      <c r="B43" s="17" t="s">
        <v>9</v>
      </c>
      <c r="C43" s="19">
        <v>8860</v>
      </c>
      <c r="D43" s="19">
        <v>8715</v>
      </c>
      <c r="E43" s="19">
        <v>8995</v>
      </c>
      <c r="F43" s="19">
        <v>8930</v>
      </c>
      <c r="G43" s="19">
        <v>9290</v>
      </c>
      <c r="H43" s="19">
        <v>9540</v>
      </c>
      <c r="I43" s="19">
        <v>9760</v>
      </c>
      <c r="J43" s="19">
        <v>10105</v>
      </c>
      <c r="K43" s="19">
        <v>10295</v>
      </c>
      <c r="L43" s="19">
        <v>10355</v>
      </c>
      <c r="M43" s="18">
        <v>10460</v>
      </c>
      <c r="N43" s="18">
        <v>10085</v>
      </c>
      <c r="O43" s="18">
        <v>9645</v>
      </c>
      <c r="P43" s="18">
        <v>9545</v>
      </c>
      <c r="Q43" s="18">
        <v>9485</v>
      </c>
    </row>
    <row r="44" spans="1:17" x14ac:dyDescent="0.2">
      <c r="A44" s="16" t="s">
        <v>47</v>
      </c>
      <c r="B44" s="17" t="s">
        <v>33</v>
      </c>
      <c r="C44" s="19">
        <v>16480</v>
      </c>
      <c r="D44" s="19">
        <v>16350</v>
      </c>
      <c r="E44" s="19">
        <v>16930</v>
      </c>
      <c r="F44" s="19">
        <v>16885</v>
      </c>
      <c r="G44" s="19">
        <v>17655</v>
      </c>
      <c r="H44" s="19">
        <v>18170</v>
      </c>
      <c r="I44" s="19">
        <v>18905</v>
      </c>
      <c r="J44" s="19">
        <v>19640</v>
      </c>
      <c r="K44" s="19">
        <v>19975</v>
      </c>
      <c r="L44" s="19">
        <v>20505</v>
      </c>
      <c r="M44" s="18">
        <v>20965</v>
      </c>
      <c r="N44" s="18">
        <v>20985</v>
      </c>
      <c r="O44" s="18">
        <v>21085</v>
      </c>
      <c r="P44" s="18">
        <v>20960</v>
      </c>
      <c r="Q44" s="18">
        <v>21065</v>
      </c>
    </row>
    <row r="45" spans="1:17" x14ac:dyDescent="0.2">
      <c r="A45" s="16" t="s">
        <v>47</v>
      </c>
      <c r="B45" s="17" t="s">
        <v>10</v>
      </c>
      <c r="C45" s="19">
        <v>10775</v>
      </c>
      <c r="D45" s="19">
        <v>10695</v>
      </c>
      <c r="E45" s="19">
        <v>10990</v>
      </c>
      <c r="F45" s="19">
        <v>10975</v>
      </c>
      <c r="G45" s="19">
        <v>11225</v>
      </c>
      <c r="H45" s="19">
        <v>11340</v>
      </c>
      <c r="I45" s="19">
        <v>11485</v>
      </c>
      <c r="J45" s="19">
        <v>11395</v>
      </c>
      <c r="K45" s="19">
        <v>11440</v>
      </c>
      <c r="L45" s="19">
        <v>11605</v>
      </c>
      <c r="M45" s="18">
        <v>11480</v>
      </c>
      <c r="N45" s="18">
        <v>11420</v>
      </c>
      <c r="O45" s="18">
        <v>11435</v>
      </c>
      <c r="P45" s="18">
        <v>11355</v>
      </c>
      <c r="Q45" s="18">
        <v>11485</v>
      </c>
    </row>
    <row r="46" spans="1:17" x14ac:dyDescent="0.2">
      <c r="A46" s="16" t="s">
        <v>47</v>
      </c>
      <c r="B46" s="17" t="s">
        <v>11</v>
      </c>
      <c r="C46" s="19">
        <v>1685</v>
      </c>
      <c r="D46" s="19">
        <v>1655</v>
      </c>
      <c r="E46" s="19">
        <v>1730</v>
      </c>
      <c r="F46" s="19">
        <v>1710</v>
      </c>
      <c r="G46" s="19">
        <v>1765</v>
      </c>
      <c r="H46" s="19">
        <v>1795</v>
      </c>
      <c r="I46" s="19">
        <v>1860</v>
      </c>
      <c r="J46" s="19">
        <v>1890</v>
      </c>
      <c r="K46" s="19">
        <v>1850</v>
      </c>
      <c r="L46" s="19">
        <v>1815</v>
      </c>
      <c r="M46" s="18">
        <v>1805</v>
      </c>
      <c r="N46" s="18">
        <v>1770</v>
      </c>
      <c r="O46" s="18">
        <v>1720</v>
      </c>
      <c r="P46" s="18">
        <v>1710</v>
      </c>
      <c r="Q46" s="18">
        <v>1670</v>
      </c>
    </row>
    <row r="47" spans="1:17" x14ac:dyDescent="0.2">
      <c r="A47" s="16" t="s">
        <v>47</v>
      </c>
      <c r="B47" s="17" t="s">
        <v>12</v>
      </c>
      <c r="C47" s="19">
        <v>2180</v>
      </c>
      <c r="D47" s="19">
        <v>2175</v>
      </c>
      <c r="E47" s="19">
        <v>2210</v>
      </c>
      <c r="F47" s="19">
        <v>2240</v>
      </c>
      <c r="G47" s="19">
        <v>2335</v>
      </c>
      <c r="H47" s="19">
        <v>2430</v>
      </c>
      <c r="I47" s="19">
        <v>2495</v>
      </c>
      <c r="J47" s="19">
        <v>2590</v>
      </c>
      <c r="K47" s="19">
        <v>2600</v>
      </c>
      <c r="L47" s="19">
        <v>2650</v>
      </c>
      <c r="M47" s="18">
        <v>2720</v>
      </c>
      <c r="N47" s="18">
        <v>2705</v>
      </c>
      <c r="O47" s="18">
        <v>2740</v>
      </c>
      <c r="P47" s="18">
        <v>2745</v>
      </c>
      <c r="Q47" s="18">
        <v>2800</v>
      </c>
    </row>
    <row r="48" spans="1:17" x14ac:dyDescent="0.2">
      <c r="A48" s="16" t="s">
        <v>47</v>
      </c>
      <c r="B48" s="17" t="s">
        <v>13</v>
      </c>
      <c r="C48" s="19">
        <v>3295</v>
      </c>
      <c r="D48" s="19">
        <v>3260</v>
      </c>
      <c r="E48" s="19">
        <v>3320</v>
      </c>
      <c r="F48" s="19">
        <v>3320</v>
      </c>
      <c r="G48" s="19">
        <v>3370</v>
      </c>
      <c r="H48" s="19">
        <v>3430</v>
      </c>
      <c r="I48" s="19">
        <v>3485</v>
      </c>
      <c r="J48" s="19">
        <v>3510</v>
      </c>
      <c r="K48" s="19">
        <v>3505</v>
      </c>
      <c r="L48" s="19">
        <v>3560</v>
      </c>
      <c r="M48" s="18">
        <v>3565</v>
      </c>
      <c r="N48" s="18">
        <v>3485</v>
      </c>
      <c r="O48" s="18">
        <v>3435</v>
      </c>
      <c r="P48" s="18">
        <v>3430</v>
      </c>
      <c r="Q48" s="18">
        <v>3400</v>
      </c>
    </row>
    <row r="49" spans="1:17" x14ac:dyDescent="0.2">
      <c r="A49" s="16" t="s">
        <v>47</v>
      </c>
      <c r="B49" s="17" t="s">
        <v>7</v>
      </c>
      <c r="C49" s="19">
        <v>1135</v>
      </c>
      <c r="D49" s="19">
        <v>1100</v>
      </c>
      <c r="E49" s="19">
        <v>1155</v>
      </c>
      <c r="F49" s="19">
        <v>1155</v>
      </c>
      <c r="G49" s="19">
        <v>1190</v>
      </c>
      <c r="H49" s="19">
        <v>1240</v>
      </c>
      <c r="I49" s="19">
        <v>1230</v>
      </c>
      <c r="J49" s="19">
        <v>1225</v>
      </c>
      <c r="K49" s="19">
        <v>1255</v>
      </c>
      <c r="L49" s="19">
        <v>1245</v>
      </c>
      <c r="M49" s="18">
        <v>1250</v>
      </c>
      <c r="N49" s="18">
        <v>1250</v>
      </c>
      <c r="O49" s="18">
        <v>1255</v>
      </c>
      <c r="P49" s="18">
        <v>1255</v>
      </c>
      <c r="Q49" s="18">
        <v>1275</v>
      </c>
    </row>
    <row r="50" spans="1:17" x14ac:dyDescent="0.2">
      <c r="A50" s="16" t="s">
        <v>47</v>
      </c>
      <c r="B50" s="17" t="s">
        <v>14</v>
      </c>
      <c r="C50" s="19">
        <v>3235</v>
      </c>
      <c r="D50" s="19">
        <v>3135</v>
      </c>
      <c r="E50" s="19">
        <v>3250</v>
      </c>
      <c r="F50" s="19">
        <v>3200</v>
      </c>
      <c r="G50" s="19">
        <v>3360</v>
      </c>
      <c r="H50" s="19">
        <v>3440</v>
      </c>
      <c r="I50" s="19">
        <v>3480</v>
      </c>
      <c r="J50" s="19">
        <v>3585</v>
      </c>
      <c r="K50" s="19">
        <v>3540</v>
      </c>
      <c r="L50" s="19">
        <v>3540</v>
      </c>
      <c r="M50" s="18">
        <v>3570</v>
      </c>
      <c r="N50" s="18">
        <v>3540</v>
      </c>
      <c r="O50" s="18">
        <v>3380</v>
      </c>
      <c r="P50" s="18">
        <v>3325</v>
      </c>
      <c r="Q50" s="18">
        <v>3300</v>
      </c>
    </row>
    <row r="51" spans="1:17" x14ac:dyDescent="0.2">
      <c r="A51" s="16" t="s">
        <v>47</v>
      </c>
      <c r="B51" s="17" t="s">
        <v>31</v>
      </c>
      <c r="C51" s="19">
        <v>6760</v>
      </c>
      <c r="D51" s="19">
        <v>6745</v>
      </c>
      <c r="E51" s="19">
        <v>7025</v>
      </c>
      <c r="F51" s="19">
        <v>7045</v>
      </c>
      <c r="G51" s="19">
        <v>7365</v>
      </c>
      <c r="H51" s="19">
        <v>7610</v>
      </c>
      <c r="I51" s="19">
        <v>7905</v>
      </c>
      <c r="J51" s="19">
        <v>8195</v>
      </c>
      <c r="K51" s="19">
        <v>8120</v>
      </c>
      <c r="L51" s="19">
        <v>8290</v>
      </c>
      <c r="M51" s="18">
        <v>8390</v>
      </c>
      <c r="N51" s="18">
        <v>8355</v>
      </c>
      <c r="O51" s="18">
        <v>8420</v>
      </c>
      <c r="P51" s="18">
        <v>8325</v>
      </c>
      <c r="Q51" s="18">
        <v>8385</v>
      </c>
    </row>
    <row r="52" spans="1:17" x14ac:dyDescent="0.2">
      <c r="A52" s="16" t="s">
        <v>47</v>
      </c>
      <c r="B52" s="17" t="s">
        <v>15</v>
      </c>
      <c r="C52" s="19">
        <v>1530</v>
      </c>
      <c r="D52" s="19">
        <v>1505</v>
      </c>
      <c r="E52" s="19">
        <v>1530</v>
      </c>
      <c r="F52" s="19">
        <v>1505</v>
      </c>
      <c r="G52" s="19">
        <v>1550</v>
      </c>
      <c r="H52" s="19">
        <v>1555</v>
      </c>
      <c r="I52" s="19">
        <v>1530</v>
      </c>
      <c r="J52" s="19">
        <v>1530</v>
      </c>
      <c r="K52" s="19">
        <v>1565</v>
      </c>
      <c r="L52" s="19">
        <v>1575</v>
      </c>
      <c r="M52" s="18">
        <v>1535</v>
      </c>
      <c r="N52" s="18">
        <v>1510</v>
      </c>
      <c r="O52" s="18">
        <v>1545</v>
      </c>
      <c r="P52" s="18">
        <v>1545</v>
      </c>
      <c r="Q52" s="18">
        <v>1545</v>
      </c>
    </row>
    <row r="53" spans="1:17" x14ac:dyDescent="0.2">
      <c r="A53" s="16" t="s">
        <v>47</v>
      </c>
      <c r="B53" s="17" t="s">
        <v>16</v>
      </c>
      <c r="C53" s="19">
        <v>6235</v>
      </c>
      <c r="D53" s="19">
        <v>6135</v>
      </c>
      <c r="E53" s="19">
        <v>6255</v>
      </c>
      <c r="F53" s="19">
        <v>6220</v>
      </c>
      <c r="G53" s="19">
        <v>6375</v>
      </c>
      <c r="H53" s="19">
        <v>6460</v>
      </c>
      <c r="I53" s="19">
        <v>6485</v>
      </c>
      <c r="J53" s="19">
        <v>6580</v>
      </c>
      <c r="K53" s="19">
        <v>6620</v>
      </c>
      <c r="L53" s="19">
        <v>6635</v>
      </c>
      <c r="M53" s="18">
        <v>6585</v>
      </c>
      <c r="N53" s="18">
        <v>6550</v>
      </c>
      <c r="O53" s="18">
        <v>6605</v>
      </c>
      <c r="P53" s="18">
        <v>6570</v>
      </c>
      <c r="Q53" s="18">
        <v>6625</v>
      </c>
    </row>
    <row r="54" spans="1:17" x14ac:dyDescent="0.2">
      <c r="A54" s="16" t="s">
        <v>47</v>
      </c>
      <c r="B54" s="17" t="s">
        <v>26</v>
      </c>
      <c r="C54" s="19">
        <v>4585</v>
      </c>
      <c r="D54" s="19">
        <v>4510</v>
      </c>
      <c r="E54" s="19">
        <v>4600</v>
      </c>
      <c r="F54" s="19">
        <v>4605</v>
      </c>
      <c r="G54" s="19">
        <v>4770</v>
      </c>
      <c r="H54" s="19">
        <v>4855</v>
      </c>
      <c r="I54" s="19">
        <v>5015</v>
      </c>
      <c r="J54" s="19">
        <v>5115</v>
      </c>
      <c r="K54" s="19">
        <v>5130</v>
      </c>
      <c r="L54" s="19">
        <v>5210</v>
      </c>
      <c r="M54" s="18">
        <v>5255</v>
      </c>
      <c r="N54" s="18">
        <v>5280</v>
      </c>
      <c r="O54" s="18">
        <v>5235</v>
      </c>
      <c r="P54" s="18">
        <v>5165</v>
      </c>
      <c r="Q54" s="18">
        <v>5190</v>
      </c>
    </row>
    <row r="55" spans="1:17" x14ac:dyDescent="0.2">
      <c r="A55" s="16" t="s">
        <v>47</v>
      </c>
      <c r="B55" s="17" t="s">
        <v>17</v>
      </c>
      <c r="C55" s="19">
        <v>5190</v>
      </c>
      <c r="D55" s="19">
        <v>5190</v>
      </c>
      <c r="E55" s="19">
        <v>5265</v>
      </c>
      <c r="F55" s="19">
        <v>5185</v>
      </c>
      <c r="G55" s="19">
        <v>5320</v>
      </c>
      <c r="H55" s="19">
        <v>5310</v>
      </c>
      <c r="I55" s="19">
        <v>5330</v>
      </c>
      <c r="J55" s="19">
        <v>5315</v>
      </c>
      <c r="K55" s="19">
        <v>5300</v>
      </c>
      <c r="L55" s="19">
        <v>5295</v>
      </c>
      <c r="M55" s="18">
        <v>5275</v>
      </c>
      <c r="N55" s="18">
        <v>5255</v>
      </c>
      <c r="O55" s="18">
        <v>5330</v>
      </c>
      <c r="P55" s="18">
        <v>5290</v>
      </c>
      <c r="Q55" s="18">
        <v>5270</v>
      </c>
    </row>
    <row r="56" spans="1:17" x14ac:dyDescent="0.2">
      <c r="A56" s="16" t="s">
        <v>47</v>
      </c>
      <c r="B56" s="17" t="s">
        <v>18</v>
      </c>
      <c r="C56" s="19">
        <v>1350</v>
      </c>
      <c r="D56" s="19">
        <v>1365</v>
      </c>
      <c r="E56" s="19">
        <v>1400</v>
      </c>
      <c r="F56" s="19">
        <v>1425</v>
      </c>
      <c r="G56" s="19">
        <v>1450</v>
      </c>
      <c r="H56" s="19">
        <v>1490</v>
      </c>
      <c r="I56" s="19">
        <v>1530</v>
      </c>
      <c r="J56" s="19">
        <v>1565</v>
      </c>
      <c r="K56" s="19">
        <v>1585</v>
      </c>
      <c r="L56" s="19">
        <v>1570</v>
      </c>
      <c r="M56" s="18">
        <v>1580</v>
      </c>
      <c r="N56" s="18">
        <v>1625</v>
      </c>
      <c r="O56" s="18">
        <v>1655</v>
      </c>
      <c r="P56" s="18">
        <v>1665</v>
      </c>
      <c r="Q56" s="18">
        <v>1650</v>
      </c>
    </row>
    <row r="57" spans="1:17" x14ac:dyDescent="0.2">
      <c r="A57" s="16" t="s">
        <v>47</v>
      </c>
      <c r="B57" s="17" t="s">
        <v>19</v>
      </c>
      <c r="C57" s="19">
        <v>3705</v>
      </c>
      <c r="D57" s="19">
        <v>3675</v>
      </c>
      <c r="E57" s="19">
        <v>3730</v>
      </c>
      <c r="F57" s="19">
        <v>3665</v>
      </c>
      <c r="G57" s="19">
        <v>3730</v>
      </c>
      <c r="H57" s="19">
        <v>3780</v>
      </c>
      <c r="I57" s="19">
        <v>3880</v>
      </c>
      <c r="J57" s="19">
        <v>3950</v>
      </c>
      <c r="K57" s="19">
        <v>3885</v>
      </c>
      <c r="L57" s="19">
        <v>3930</v>
      </c>
      <c r="M57" s="18">
        <v>3840</v>
      </c>
      <c r="N57" s="18">
        <v>3865</v>
      </c>
      <c r="O57" s="18">
        <v>3810</v>
      </c>
      <c r="P57" s="18">
        <v>3825</v>
      </c>
      <c r="Q57" s="18">
        <v>3825</v>
      </c>
    </row>
    <row r="58" spans="1:17" x14ac:dyDescent="0.2">
      <c r="A58" s="16" t="s">
        <v>47</v>
      </c>
      <c r="B58" s="17" t="s">
        <v>20</v>
      </c>
      <c r="C58" s="19">
        <v>8360</v>
      </c>
      <c r="D58" s="19">
        <v>8215</v>
      </c>
      <c r="E58" s="19">
        <v>8445</v>
      </c>
      <c r="F58" s="19">
        <v>8400</v>
      </c>
      <c r="G58" s="19">
        <v>8810</v>
      </c>
      <c r="H58" s="19">
        <v>9030</v>
      </c>
      <c r="I58" s="19">
        <v>9285</v>
      </c>
      <c r="J58" s="19">
        <v>9490</v>
      </c>
      <c r="K58" s="19">
        <v>9500</v>
      </c>
      <c r="L58" s="19">
        <v>9655</v>
      </c>
      <c r="M58" s="18">
        <v>9645</v>
      </c>
      <c r="N58" s="18">
        <v>9570</v>
      </c>
      <c r="O58" s="18">
        <v>9590</v>
      </c>
      <c r="P58" s="18">
        <v>9565</v>
      </c>
      <c r="Q58" s="18">
        <v>9595</v>
      </c>
    </row>
    <row r="59" spans="1:17" x14ac:dyDescent="0.2">
      <c r="A59" s="16" t="s">
        <v>47</v>
      </c>
      <c r="B59" s="17" t="s">
        <v>21</v>
      </c>
      <c r="C59" s="19">
        <v>3930</v>
      </c>
      <c r="D59" s="19">
        <v>3940</v>
      </c>
      <c r="E59" s="19">
        <v>4025</v>
      </c>
      <c r="F59" s="19">
        <v>3995</v>
      </c>
      <c r="G59" s="19">
        <v>4120</v>
      </c>
      <c r="H59" s="19">
        <v>4205</v>
      </c>
      <c r="I59" s="19">
        <v>4275</v>
      </c>
      <c r="J59" s="19">
        <v>4250</v>
      </c>
      <c r="K59" s="19">
        <v>4230</v>
      </c>
      <c r="L59" s="19">
        <v>4270</v>
      </c>
      <c r="M59" s="18">
        <v>4305</v>
      </c>
      <c r="N59" s="18">
        <v>4265</v>
      </c>
      <c r="O59" s="18">
        <v>4220</v>
      </c>
      <c r="P59" s="18">
        <v>4195</v>
      </c>
      <c r="Q59" s="18">
        <v>4195</v>
      </c>
    </row>
    <row r="60" spans="1:17" x14ac:dyDescent="0.2">
      <c r="A60" s="16" t="s">
        <v>47</v>
      </c>
      <c r="B60" s="17" t="s">
        <v>27</v>
      </c>
      <c r="C60" s="19">
        <v>1790</v>
      </c>
      <c r="D60" s="19">
        <v>1785</v>
      </c>
      <c r="E60" s="19">
        <v>1850</v>
      </c>
      <c r="F60" s="19">
        <v>1845</v>
      </c>
      <c r="G60" s="19">
        <v>1920</v>
      </c>
      <c r="H60" s="19">
        <v>1950</v>
      </c>
      <c r="I60" s="19">
        <v>2040</v>
      </c>
      <c r="J60" s="19">
        <v>2075</v>
      </c>
      <c r="K60" s="19">
        <v>2045</v>
      </c>
      <c r="L60" s="19">
        <v>2045</v>
      </c>
      <c r="M60" s="18">
        <v>2185</v>
      </c>
      <c r="N60" s="18">
        <v>2175</v>
      </c>
      <c r="O60" s="18">
        <v>2025</v>
      </c>
      <c r="P60" s="18">
        <v>2005</v>
      </c>
      <c r="Q60" s="18">
        <v>2000</v>
      </c>
    </row>
    <row r="61" spans="1:17" x14ac:dyDescent="0.2">
      <c r="A61" s="16" t="s">
        <v>47</v>
      </c>
      <c r="B61" s="17" t="s">
        <v>28</v>
      </c>
      <c r="C61" s="19">
        <v>4425</v>
      </c>
      <c r="D61" s="19">
        <v>4360</v>
      </c>
      <c r="E61" s="19">
        <v>4470</v>
      </c>
      <c r="F61" s="19">
        <v>4505</v>
      </c>
      <c r="G61" s="19">
        <v>4745</v>
      </c>
      <c r="H61" s="19">
        <v>4860</v>
      </c>
      <c r="I61" s="19">
        <v>5065</v>
      </c>
      <c r="J61" s="19">
        <v>5155</v>
      </c>
      <c r="K61" s="19">
        <v>5215</v>
      </c>
      <c r="L61" s="19">
        <v>5340</v>
      </c>
      <c r="M61" s="18">
        <v>5300</v>
      </c>
      <c r="N61" s="18">
        <v>5245</v>
      </c>
      <c r="O61" s="18">
        <v>5170</v>
      </c>
      <c r="P61" s="18">
        <v>5140</v>
      </c>
      <c r="Q61" s="18">
        <v>5240</v>
      </c>
    </row>
    <row r="62" spans="1:17" ht="29.1" customHeight="1" x14ac:dyDescent="0.2">
      <c r="A62" s="17" t="s">
        <v>182</v>
      </c>
      <c r="B62" s="17" t="s">
        <v>54</v>
      </c>
      <c r="C62" s="20" t="s">
        <v>190</v>
      </c>
      <c r="D62" s="20" t="s">
        <v>190</v>
      </c>
      <c r="E62" s="20" t="s">
        <v>190</v>
      </c>
      <c r="F62" s="20" t="s">
        <v>190</v>
      </c>
      <c r="G62" s="20" t="s">
        <v>190</v>
      </c>
      <c r="H62" s="20">
        <v>19795</v>
      </c>
      <c r="I62" s="20">
        <v>19645</v>
      </c>
      <c r="J62" s="20">
        <v>19145</v>
      </c>
      <c r="K62" s="20">
        <v>18830</v>
      </c>
      <c r="L62" s="20">
        <v>18975</v>
      </c>
      <c r="M62" s="58">
        <v>18875</v>
      </c>
      <c r="N62" s="58">
        <v>18215</v>
      </c>
      <c r="O62" s="58">
        <v>17430</v>
      </c>
      <c r="P62" s="58">
        <v>16890</v>
      </c>
      <c r="Q62" s="58">
        <v>16980</v>
      </c>
    </row>
    <row r="63" spans="1:17" x14ac:dyDescent="0.2">
      <c r="A63" s="16" t="s">
        <v>182</v>
      </c>
      <c r="B63" s="16" t="s">
        <v>55</v>
      </c>
      <c r="C63" s="20" t="s">
        <v>190</v>
      </c>
      <c r="D63" s="20" t="s">
        <v>190</v>
      </c>
      <c r="E63" s="20" t="s">
        <v>190</v>
      </c>
      <c r="F63" s="20" t="s">
        <v>190</v>
      </c>
      <c r="G63" s="20" t="s">
        <v>190</v>
      </c>
      <c r="H63" s="20">
        <v>1060</v>
      </c>
      <c r="I63" s="20">
        <v>1050</v>
      </c>
      <c r="J63" s="20">
        <v>1025</v>
      </c>
      <c r="K63" s="20">
        <v>1005</v>
      </c>
      <c r="L63" s="20">
        <v>1030</v>
      </c>
      <c r="M63" s="58">
        <v>1010</v>
      </c>
      <c r="N63" s="58">
        <v>1020</v>
      </c>
      <c r="O63" s="58">
        <v>945</v>
      </c>
      <c r="P63" s="58">
        <v>895</v>
      </c>
      <c r="Q63" s="58">
        <v>900</v>
      </c>
    </row>
    <row r="64" spans="1:17" x14ac:dyDescent="0.2">
      <c r="A64" s="16" t="s">
        <v>182</v>
      </c>
      <c r="B64" s="16" t="s">
        <v>56</v>
      </c>
      <c r="C64" s="20" t="s">
        <v>190</v>
      </c>
      <c r="D64" s="20" t="s">
        <v>190</v>
      </c>
      <c r="E64" s="20" t="s">
        <v>190</v>
      </c>
      <c r="F64" s="20" t="s">
        <v>190</v>
      </c>
      <c r="G64" s="20" t="s">
        <v>190</v>
      </c>
      <c r="H64" s="20">
        <v>1530</v>
      </c>
      <c r="I64" s="20">
        <v>1525</v>
      </c>
      <c r="J64" s="20">
        <v>1490</v>
      </c>
      <c r="K64" s="20">
        <v>1485</v>
      </c>
      <c r="L64" s="20">
        <v>1505</v>
      </c>
      <c r="M64" s="58">
        <v>1515</v>
      </c>
      <c r="N64" s="58">
        <v>1510</v>
      </c>
      <c r="O64" s="58">
        <v>1475</v>
      </c>
      <c r="P64" s="58">
        <v>1425</v>
      </c>
      <c r="Q64" s="58">
        <v>1410</v>
      </c>
    </row>
    <row r="65" spans="1:17" x14ac:dyDescent="0.2">
      <c r="A65" s="16" t="s">
        <v>182</v>
      </c>
      <c r="B65" s="16" t="s">
        <v>57</v>
      </c>
      <c r="C65" s="20" t="s">
        <v>190</v>
      </c>
      <c r="D65" s="20" t="s">
        <v>190</v>
      </c>
      <c r="E65" s="20" t="s">
        <v>190</v>
      </c>
      <c r="F65" s="20" t="s">
        <v>190</v>
      </c>
      <c r="G65" s="20" t="s">
        <v>190</v>
      </c>
      <c r="H65" s="20">
        <v>775</v>
      </c>
      <c r="I65" s="20">
        <v>785</v>
      </c>
      <c r="J65" s="20">
        <v>775</v>
      </c>
      <c r="K65" s="20">
        <v>785</v>
      </c>
      <c r="L65" s="20">
        <v>795</v>
      </c>
      <c r="M65" s="58">
        <v>770</v>
      </c>
      <c r="N65" s="58">
        <v>770</v>
      </c>
      <c r="O65" s="58">
        <v>800</v>
      </c>
      <c r="P65" s="58">
        <v>795</v>
      </c>
      <c r="Q65" s="58">
        <v>785</v>
      </c>
    </row>
    <row r="66" spans="1:17" x14ac:dyDescent="0.2">
      <c r="A66" s="16" t="s">
        <v>182</v>
      </c>
      <c r="B66" s="16" t="s">
        <v>58</v>
      </c>
      <c r="C66" s="20" t="s">
        <v>190</v>
      </c>
      <c r="D66" s="20" t="s">
        <v>190</v>
      </c>
      <c r="E66" s="20" t="s">
        <v>190</v>
      </c>
      <c r="F66" s="20" t="s">
        <v>190</v>
      </c>
      <c r="G66" s="20" t="s">
        <v>190</v>
      </c>
      <c r="H66" s="20">
        <v>4300</v>
      </c>
      <c r="I66" s="20">
        <v>4410</v>
      </c>
      <c r="J66" s="20">
        <v>4490</v>
      </c>
      <c r="K66" s="20">
        <v>4455</v>
      </c>
      <c r="L66" s="20">
        <v>4500</v>
      </c>
      <c r="M66" s="58">
        <v>4480</v>
      </c>
      <c r="N66" s="58">
        <v>4440</v>
      </c>
      <c r="O66" s="58">
        <v>4375</v>
      </c>
      <c r="P66" s="58">
        <v>4380</v>
      </c>
      <c r="Q66" s="58">
        <v>4370</v>
      </c>
    </row>
    <row r="67" spans="1:17" x14ac:dyDescent="0.2">
      <c r="A67" s="16" t="s">
        <v>182</v>
      </c>
      <c r="B67" s="16" t="s">
        <v>96</v>
      </c>
      <c r="C67" s="20" t="s">
        <v>190</v>
      </c>
      <c r="D67" s="20" t="s">
        <v>190</v>
      </c>
      <c r="E67" s="20" t="s">
        <v>190</v>
      </c>
      <c r="F67" s="20" t="s">
        <v>190</v>
      </c>
      <c r="G67" s="20" t="s">
        <v>190</v>
      </c>
      <c r="H67" s="20">
        <v>985</v>
      </c>
      <c r="I67" s="20">
        <v>965</v>
      </c>
      <c r="J67" s="20">
        <v>975</v>
      </c>
      <c r="K67" s="20">
        <v>965</v>
      </c>
      <c r="L67" s="20">
        <v>960</v>
      </c>
      <c r="M67" s="58">
        <v>945</v>
      </c>
      <c r="N67" s="58">
        <v>935</v>
      </c>
      <c r="O67" s="58">
        <v>945</v>
      </c>
      <c r="P67" s="58">
        <v>955</v>
      </c>
      <c r="Q67" s="58">
        <v>960</v>
      </c>
    </row>
    <row r="68" spans="1:17" x14ac:dyDescent="0.2">
      <c r="A68" s="16" t="s">
        <v>182</v>
      </c>
      <c r="B68" s="16" t="s">
        <v>59</v>
      </c>
      <c r="C68" s="20" t="s">
        <v>190</v>
      </c>
      <c r="D68" s="20" t="s">
        <v>190</v>
      </c>
      <c r="E68" s="20" t="s">
        <v>190</v>
      </c>
      <c r="F68" s="20" t="s">
        <v>190</v>
      </c>
      <c r="G68" s="20" t="s">
        <v>190</v>
      </c>
      <c r="H68" s="20">
        <v>500</v>
      </c>
      <c r="I68" s="20">
        <v>500</v>
      </c>
      <c r="J68" s="20">
        <v>490</v>
      </c>
      <c r="K68" s="20">
        <v>500</v>
      </c>
      <c r="L68" s="20">
        <v>500</v>
      </c>
      <c r="M68" s="58">
        <v>495</v>
      </c>
      <c r="N68" s="58">
        <v>490</v>
      </c>
      <c r="O68" s="58">
        <v>490</v>
      </c>
      <c r="P68" s="58">
        <v>510</v>
      </c>
      <c r="Q68" s="58">
        <v>515</v>
      </c>
    </row>
    <row r="69" spans="1:17" x14ac:dyDescent="0.2">
      <c r="A69" s="16" t="s">
        <v>182</v>
      </c>
      <c r="B69" s="16" t="s">
        <v>60</v>
      </c>
      <c r="C69" s="20" t="s">
        <v>190</v>
      </c>
      <c r="D69" s="20" t="s">
        <v>190</v>
      </c>
      <c r="E69" s="20" t="s">
        <v>190</v>
      </c>
      <c r="F69" s="20" t="s">
        <v>190</v>
      </c>
      <c r="G69" s="20" t="s">
        <v>190</v>
      </c>
      <c r="H69" s="20">
        <v>455</v>
      </c>
      <c r="I69" s="20">
        <v>440</v>
      </c>
      <c r="J69" s="20">
        <v>440</v>
      </c>
      <c r="K69" s="20">
        <v>435</v>
      </c>
      <c r="L69" s="20">
        <v>415</v>
      </c>
      <c r="M69" s="58">
        <v>420</v>
      </c>
      <c r="N69" s="58">
        <v>425</v>
      </c>
      <c r="O69" s="58">
        <v>430</v>
      </c>
      <c r="P69" s="58">
        <v>415</v>
      </c>
      <c r="Q69" s="58">
        <v>405</v>
      </c>
    </row>
    <row r="70" spans="1:17" x14ac:dyDescent="0.2">
      <c r="A70" s="16" t="s">
        <v>182</v>
      </c>
      <c r="B70" s="16" t="s">
        <v>97</v>
      </c>
      <c r="C70" s="20" t="s">
        <v>190</v>
      </c>
      <c r="D70" s="20" t="s">
        <v>190</v>
      </c>
      <c r="E70" s="20" t="s">
        <v>190</v>
      </c>
      <c r="F70" s="20" t="s">
        <v>190</v>
      </c>
      <c r="G70" s="20" t="s">
        <v>190</v>
      </c>
      <c r="H70" s="20">
        <v>495</v>
      </c>
      <c r="I70" s="20">
        <v>505</v>
      </c>
      <c r="J70" s="20">
        <v>505</v>
      </c>
      <c r="K70" s="20">
        <v>510</v>
      </c>
      <c r="L70" s="20">
        <v>535</v>
      </c>
      <c r="M70" s="58">
        <v>530</v>
      </c>
      <c r="N70" s="58">
        <v>535</v>
      </c>
      <c r="O70" s="58">
        <v>535</v>
      </c>
      <c r="P70" s="58">
        <v>510</v>
      </c>
      <c r="Q70" s="58">
        <v>520</v>
      </c>
    </row>
    <row r="71" spans="1:17" x14ac:dyDescent="0.2">
      <c r="A71" s="16" t="s">
        <v>182</v>
      </c>
      <c r="B71" s="16" t="s">
        <v>61</v>
      </c>
      <c r="C71" s="20" t="s">
        <v>190</v>
      </c>
      <c r="D71" s="20" t="s">
        <v>190</v>
      </c>
      <c r="E71" s="20" t="s">
        <v>190</v>
      </c>
      <c r="F71" s="20" t="s">
        <v>190</v>
      </c>
      <c r="G71" s="20" t="s">
        <v>190</v>
      </c>
      <c r="H71" s="20">
        <v>1020</v>
      </c>
      <c r="I71" s="20">
        <v>995</v>
      </c>
      <c r="J71" s="20">
        <v>985</v>
      </c>
      <c r="K71" s="20">
        <v>990</v>
      </c>
      <c r="L71" s="20">
        <v>995</v>
      </c>
      <c r="M71" s="58">
        <v>990</v>
      </c>
      <c r="N71" s="58">
        <v>970</v>
      </c>
      <c r="O71" s="58">
        <v>970</v>
      </c>
      <c r="P71" s="58">
        <v>965</v>
      </c>
      <c r="Q71" s="58">
        <v>945</v>
      </c>
    </row>
    <row r="72" spans="1:17" x14ac:dyDescent="0.2">
      <c r="A72" s="16" t="s">
        <v>182</v>
      </c>
      <c r="B72" s="16" t="s">
        <v>62</v>
      </c>
      <c r="C72" s="20" t="s">
        <v>190</v>
      </c>
      <c r="D72" s="20" t="s">
        <v>190</v>
      </c>
      <c r="E72" s="20" t="s">
        <v>190</v>
      </c>
      <c r="F72" s="20" t="s">
        <v>190</v>
      </c>
      <c r="G72" s="20" t="s">
        <v>190</v>
      </c>
      <c r="H72" s="20">
        <v>1765</v>
      </c>
      <c r="I72" s="20">
        <v>1815</v>
      </c>
      <c r="J72" s="20">
        <v>1845</v>
      </c>
      <c r="K72" s="20">
        <v>1825</v>
      </c>
      <c r="L72" s="20">
        <v>1825</v>
      </c>
      <c r="M72" s="58">
        <v>1950</v>
      </c>
      <c r="N72" s="58">
        <v>1925</v>
      </c>
      <c r="O72" s="58">
        <v>1795</v>
      </c>
      <c r="P72" s="58">
        <v>1755</v>
      </c>
      <c r="Q72" s="58">
        <v>1745</v>
      </c>
    </row>
    <row r="73" spans="1:17" x14ac:dyDescent="0.2">
      <c r="A73" s="16" t="s">
        <v>182</v>
      </c>
      <c r="B73" s="16" t="s">
        <v>63</v>
      </c>
      <c r="C73" s="20" t="s">
        <v>190</v>
      </c>
      <c r="D73" s="20" t="s">
        <v>190</v>
      </c>
      <c r="E73" s="20" t="s">
        <v>190</v>
      </c>
      <c r="F73" s="20" t="s">
        <v>190</v>
      </c>
      <c r="G73" s="20" t="s">
        <v>190</v>
      </c>
      <c r="H73" s="20">
        <v>3940</v>
      </c>
      <c r="I73" s="20">
        <v>3900</v>
      </c>
      <c r="J73" s="20">
        <v>3900</v>
      </c>
      <c r="K73" s="20">
        <v>3920</v>
      </c>
      <c r="L73" s="20">
        <v>3920</v>
      </c>
      <c r="M73" s="58">
        <v>3920</v>
      </c>
      <c r="N73" s="58">
        <v>3885</v>
      </c>
      <c r="O73" s="58">
        <v>3935</v>
      </c>
      <c r="P73" s="58">
        <v>3930</v>
      </c>
      <c r="Q73" s="58">
        <v>3985</v>
      </c>
    </row>
    <row r="74" spans="1:17" x14ac:dyDescent="0.2">
      <c r="A74" s="16" t="s">
        <v>182</v>
      </c>
      <c r="B74" s="16" t="s">
        <v>64</v>
      </c>
      <c r="C74" s="20" t="s">
        <v>190</v>
      </c>
      <c r="D74" s="20" t="s">
        <v>190</v>
      </c>
      <c r="E74" s="20" t="s">
        <v>190</v>
      </c>
      <c r="F74" s="20" t="s">
        <v>190</v>
      </c>
      <c r="G74" s="20" t="s">
        <v>190</v>
      </c>
      <c r="H74" s="20">
        <v>6875</v>
      </c>
      <c r="I74" s="20">
        <v>6950</v>
      </c>
      <c r="J74" s="20">
        <v>7060</v>
      </c>
      <c r="K74" s="20">
        <v>6985</v>
      </c>
      <c r="L74" s="20">
        <v>7080</v>
      </c>
      <c r="M74" s="58">
        <v>7120</v>
      </c>
      <c r="N74" s="58">
        <v>7135</v>
      </c>
      <c r="O74" s="58">
        <v>7175</v>
      </c>
      <c r="P74" s="58">
        <v>7110</v>
      </c>
      <c r="Q74" s="58">
        <v>7135</v>
      </c>
    </row>
    <row r="75" spans="1:17" x14ac:dyDescent="0.2">
      <c r="A75" s="16" t="s">
        <v>182</v>
      </c>
      <c r="B75" s="16" t="s">
        <v>65</v>
      </c>
      <c r="C75" s="20" t="s">
        <v>190</v>
      </c>
      <c r="D75" s="20" t="s">
        <v>190</v>
      </c>
      <c r="E75" s="20" t="s">
        <v>190</v>
      </c>
      <c r="F75" s="20" t="s">
        <v>190</v>
      </c>
      <c r="G75" s="20" t="s">
        <v>190</v>
      </c>
      <c r="H75" s="20">
        <v>7245</v>
      </c>
      <c r="I75" s="20">
        <v>7425</v>
      </c>
      <c r="J75" s="20">
        <v>7810</v>
      </c>
      <c r="K75" s="20">
        <v>8015</v>
      </c>
      <c r="L75" s="20">
        <v>8025</v>
      </c>
      <c r="M75" s="58">
        <v>8130</v>
      </c>
      <c r="N75" s="58">
        <v>7780</v>
      </c>
      <c r="O75" s="58">
        <v>7310</v>
      </c>
      <c r="P75" s="58">
        <v>7205</v>
      </c>
      <c r="Q75" s="58">
        <v>7170</v>
      </c>
    </row>
    <row r="76" spans="1:17" x14ac:dyDescent="0.2">
      <c r="A76" s="16" t="s">
        <v>182</v>
      </c>
      <c r="B76" s="16" t="s">
        <v>66</v>
      </c>
      <c r="C76" s="20" t="s">
        <v>190</v>
      </c>
      <c r="D76" s="20" t="s">
        <v>190</v>
      </c>
      <c r="E76" s="20" t="s">
        <v>190</v>
      </c>
      <c r="F76" s="20" t="s">
        <v>190</v>
      </c>
      <c r="G76" s="20" t="s">
        <v>190</v>
      </c>
      <c r="H76" s="20">
        <v>830</v>
      </c>
      <c r="I76" s="20">
        <v>830</v>
      </c>
      <c r="J76" s="20">
        <v>825</v>
      </c>
      <c r="K76" s="20">
        <v>790</v>
      </c>
      <c r="L76" s="20">
        <v>785</v>
      </c>
      <c r="M76" s="58">
        <v>775</v>
      </c>
      <c r="N76" s="58">
        <v>755</v>
      </c>
      <c r="O76" s="58">
        <v>775</v>
      </c>
      <c r="P76" s="58">
        <v>795</v>
      </c>
      <c r="Q76" s="58">
        <v>795</v>
      </c>
    </row>
    <row r="77" spans="1:17" x14ac:dyDescent="0.2">
      <c r="A77" s="16" t="s">
        <v>182</v>
      </c>
      <c r="B77" s="16" t="s">
        <v>67</v>
      </c>
      <c r="C77" s="20" t="s">
        <v>190</v>
      </c>
      <c r="D77" s="20" t="s">
        <v>190</v>
      </c>
      <c r="E77" s="20" t="s">
        <v>190</v>
      </c>
      <c r="F77" s="20" t="s">
        <v>190</v>
      </c>
      <c r="G77" s="20" t="s">
        <v>190</v>
      </c>
      <c r="H77" s="20">
        <v>23930</v>
      </c>
      <c r="I77" s="20">
        <v>24985</v>
      </c>
      <c r="J77" s="20">
        <v>25540</v>
      </c>
      <c r="K77" s="20">
        <v>25720</v>
      </c>
      <c r="L77" s="20">
        <v>26470</v>
      </c>
      <c r="M77" s="58">
        <v>26740</v>
      </c>
      <c r="N77" s="58">
        <v>25910</v>
      </c>
      <c r="O77" s="58">
        <v>25405</v>
      </c>
      <c r="P77" s="58">
        <v>25140</v>
      </c>
      <c r="Q77" s="58">
        <v>25290</v>
      </c>
    </row>
    <row r="78" spans="1:17" x14ac:dyDescent="0.2">
      <c r="A78" s="16" t="s">
        <v>182</v>
      </c>
      <c r="B78" s="16" t="s">
        <v>68</v>
      </c>
      <c r="C78" s="20" t="s">
        <v>190</v>
      </c>
      <c r="D78" s="20" t="s">
        <v>190</v>
      </c>
      <c r="E78" s="20" t="s">
        <v>190</v>
      </c>
      <c r="F78" s="20" t="s">
        <v>190</v>
      </c>
      <c r="G78" s="20" t="s">
        <v>190</v>
      </c>
      <c r="H78" s="20">
        <v>3785</v>
      </c>
      <c r="I78" s="20">
        <v>3835</v>
      </c>
      <c r="J78" s="20">
        <v>3855</v>
      </c>
      <c r="K78" s="20">
        <v>3830</v>
      </c>
      <c r="L78" s="20">
        <v>3890</v>
      </c>
      <c r="M78" s="58">
        <v>3890</v>
      </c>
      <c r="N78" s="58">
        <v>3810</v>
      </c>
      <c r="O78" s="58">
        <v>3755</v>
      </c>
      <c r="P78" s="58">
        <v>3750</v>
      </c>
      <c r="Q78" s="58">
        <v>3720</v>
      </c>
    </row>
    <row r="79" spans="1:17" x14ac:dyDescent="0.2">
      <c r="A79" s="16" t="s">
        <v>182</v>
      </c>
      <c r="B79" s="16" t="s">
        <v>69</v>
      </c>
      <c r="C79" s="20" t="s">
        <v>190</v>
      </c>
      <c r="D79" s="20" t="s">
        <v>190</v>
      </c>
      <c r="E79" s="20" t="s">
        <v>190</v>
      </c>
      <c r="F79" s="20" t="s">
        <v>190</v>
      </c>
      <c r="G79" s="20" t="s">
        <v>190</v>
      </c>
      <c r="H79" s="20">
        <v>8870</v>
      </c>
      <c r="I79" s="20">
        <v>9040</v>
      </c>
      <c r="J79" s="20">
        <v>9065</v>
      </c>
      <c r="K79" s="20">
        <v>9010</v>
      </c>
      <c r="L79" s="20">
        <v>9035</v>
      </c>
      <c r="M79" s="58">
        <v>9040</v>
      </c>
      <c r="N79" s="58">
        <v>8880</v>
      </c>
      <c r="O79" s="58">
        <v>8745</v>
      </c>
      <c r="P79" s="58">
        <v>8650</v>
      </c>
      <c r="Q79" s="58">
        <v>8675</v>
      </c>
    </row>
    <row r="80" spans="1:17" x14ac:dyDescent="0.2">
      <c r="A80" s="16" t="s">
        <v>182</v>
      </c>
      <c r="B80" s="16" t="s">
        <v>70</v>
      </c>
      <c r="C80" s="20" t="s">
        <v>190</v>
      </c>
      <c r="D80" s="20" t="s">
        <v>190</v>
      </c>
      <c r="E80" s="20" t="s">
        <v>190</v>
      </c>
      <c r="F80" s="20" t="s">
        <v>190</v>
      </c>
      <c r="G80" s="20" t="s">
        <v>190</v>
      </c>
      <c r="H80" s="20">
        <v>1070</v>
      </c>
      <c r="I80" s="20">
        <v>1075</v>
      </c>
      <c r="J80" s="20">
        <v>1095</v>
      </c>
      <c r="K80" s="20">
        <v>1110</v>
      </c>
      <c r="L80" s="20">
        <v>1130</v>
      </c>
      <c r="M80" s="58">
        <v>1120</v>
      </c>
      <c r="N80" s="58">
        <v>1125</v>
      </c>
      <c r="O80" s="58">
        <v>1160</v>
      </c>
      <c r="P80" s="58">
        <v>1185</v>
      </c>
      <c r="Q80" s="58">
        <v>1215</v>
      </c>
    </row>
    <row r="81" spans="1:17" x14ac:dyDescent="0.2">
      <c r="A81" s="16" t="s">
        <v>182</v>
      </c>
      <c r="B81" s="16" t="s">
        <v>71</v>
      </c>
      <c r="C81" s="20" t="s">
        <v>190</v>
      </c>
      <c r="D81" s="20" t="s">
        <v>190</v>
      </c>
      <c r="E81" s="20" t="s">
        <v>190</v>
      </c>
      <c r="F81" s="20" t="s">
        <v>190</v>
      </c>
      <c r="G81" s="20" t="s">
        <v>190</v>
      </c>
      <c r="H81" s="20">
        <v>1185</v>
      </c>
      <c r="I81" s="20">
        <v>1180</v>
      </c>
      <c r="J81" s="20">
        <v>1200</v>
      </c>
      <c r="K81" s="20">
        <v>1190</v>
      </c>
      <c r="L81" s="20">
        <v>1220</v>
      </c>
      <c r="M81" s="58">
        <v>1230</v>
      </c>
      <c r="N81" s="58">
        <v>1215</v>
      </c>
      <c r="O81" s="58">
        <v>1195</v>
      </c>
      <c r="P81" s="58">
        <v>1165</v>
      </c>
      <c r="Q81" s="58">
        <v>1155</v>
      </c>
    </row>
    <row r="82" spans="1:17" x14ac:dyDescent="0.2">
      <c r="A82" s="16" t="s">
        <v>182</v>
      </c>
      <c r="B82" s="16" t="s">
        <v>72</v>
      </c>
      <c r="C82" s="20" t="s">
        <v>190</v>
      </c>
      <c r="D82" s="20" t="s">
        <v>190</v>
      </c>
      <c r="E82" s="20" t="s">
        <v>190</v>
      </c>
      <c r="F82" s="20" t="s">
        <v>190</v>
      </c>
      <c r="G82" s="20" t="s">
        <v>190</v>
      </c>
      <c r="H82" s="20">
        <v>2655</v>
      </c>
      <c r="I82" s="20">
        <v>2685</v>
      </c>
      <c r="J82" s="20">
        <v>2700</v>
      </c>
      <c r="K82" s="20">
        <v>2720</v>
      </c>
      <c r="L82" s="20">
        <v>2725</v>
      </c>
      <c r="M82" s="58">
        <v>2725</v>
      </c>
      <c r="N82" s="58">
        <v>2700</v>
      </c>
      <c r="O82" s="58">
        <v>2745</v>
      </c>
      <c r="P82" s="58">
        <v>2705</v>
      </c>
      <c r="Q82" s="58">
        <v>2705</v>
      </c>
    </row>
    <row r="83" spans="1:17" x14ac:dyDescent="0.2">
      <c r="A83" s="16" t="s">
        <v>182</v>
      </c>
      <c r="B83" s="16" t="s">
        <v>73</v>
      </c>
      <c r="C83" s="20" t="s">
        <v>190</v>
      </c>
      <c r="D83" s="20" t="s">
        <v>190</v>
      </c>
      <c r="E83" s="20" t="s">
        <v>190</v>
      </c>
      <c r="F83" s="20" t="s">
        <v>190</v>
      </c>
      <c r="G83" s="20" t="s">
        <v>190</v>
      </c>
      <c r="H83" s="20">
        <v>465</v>
      </c>
      <c r="I83" s="20">
        <v>475</v>
      </c>
      <c r="J83" s="20">
        <v>470</v>
      </c>
      <c r="K83" s="20">
        <v>460</v>
      </c>
      <c r="L83" s="20">
        <v>450</v>
      </c>
      <c r="M83" s="58">
        <v>450</v>
      </c>
      <c r="N83" s="58">
        <v>440</v>
      </c>
      <c r="O83" s="58">
        <v>440</v>
      </c>
      <c r="P83" s="58">
        <v>440</v>
      </c>
      <c r="Q83" s="58">
        <v>435</v>
      </c>
    </row>
    <row r="84" spans="1:17" x14ac:dyDescent="0.2">
      <c r="A84" s="16" t="s">
        <v>182</v>
      </c>
      <c r="B84" s="16" t="s">
        <v>53</v>
      </c>
      <c r="C84" s="20" t="s">
        <v>190</v>
      </c>
      <c r="D84" s="20" t="s">
        <v>190</v>
      </c>
      <c r="E84" s="20" t="s">
        <v>190</v>
      </c>
      <c r="F84" s="20" t="s">
        <v>190</v>
      </c>
      <c r="G84" s="20" t="s">
        <v>190</v>
      </c>
      <c r="H84" s="20">
        <v>34605</v>
      </c>
      <c r="I84" s="20">
        <v>35985</v>
      </c>
      <c r="J84" s="20">
        <v>37155</v>
      </c>
      <c r="K84" s="20">
        <v>37360</v>
      </c>
      <c r="L84" s="20">
        <v>38100</v>
      </c>
      <c r="M84" s="58">
        <v>38565</v>
      </c>
      <c r="N84" s="58">
        <v>38575</v>
      </c>
      <c r="O84" s="58">
        <v>38550</v>
      </c>
      <c r="P84" s="58">
        <v>38245</v>
      </c>
      <c r="Q84" s="58">
        <v>38440</v>
      </c>
    </row>
    <row r="85" spans="1:17" x14ac:dyDescent="0.2">
      <c r="A85" s="16" t="s">
        <v>182</v>
      </c>
      <c r="B85" s="16" t="s">
        <v>74</v>
      </c>
      <c r="C85" s="20" t="s">
        <v>190</v>
      </c>
      <c r="D85" s="20" t="s">
        <v>190</v>
      </c>
      <c r="E85" s="20" t="s">
        <v>190</v>
      </c>
      <c r="F85" s="20" t="s">
        <v>190</v>
      </c>
      <c r="G85" s="20" t="s">
        <v>190</v>
      </c>
      <c r="H85" s="20">
        <v>685</v>
      </c>
      <c r="I85" s="20">
        <v>685</v>
      </c>
      <c r="J85" s="20">
        <v>670</v>
      </c>
      <c r="K85" s="20">
        <v>675</v>
      </c>
      <c r="L85" s="20">
        <v>680</v>
      </c>
      <c r="M85" s="58">
        <v>680</v>
      </c>
      <c r="N85" s="58">
        <v>680</v>
      </c>
      <c r="O85" s="58">
        <v>670</v>
      </c>
      <c r="P85" s="58">
        <v>650</v>
      </c>
      <c r="Q85" s="58">
        <v>665</v>
      </c>
    </row>
    <row r="86" spans="1:17" x14ac:dyDescent="0.2">
      <c r="A86" s="16" t="s">
        <v>182</v>
      </c>
      <c r="B86" s="16" t="s">
        <v>75</v>
      </c>
      <c r="C86" s="20" t="s">
        <v>190</v>
      </c>
      <c r="D86" s="20" t="s">
        <v>190</v>
      </c>
      <c r="E86" s="20" t="s">
        <v>190</v>
      </c>
      <c r="F86" s="20" t="s">
        <v>190</v>
      </c>
      <c r="G86" s="20" t="s">
        <v>190</v>
      </c>
      <c r="H86" s="20">
        <v>1875</v>
      </c>
      <c r="I86" s="20">
        <v>1935</v>
      </c>
      <c r="J86" s="20">
        <v>1970</v>
      </c>
      <c r="K86" s="20">
        <v>1925</v>
      </c>
      <c r="L86" s="20">
        <v>1885</v>
      </c>
      <c r="M86" s="58">
        <v>1875</v>
      </c>
      <c r="N86" s="58">
        <v>1840</v>
      </c>
      <c r="O86" s="58">
        <v>1795</v>
      </c>
      <c r="P86" s="58">
        <v>1775</v>
      </c>
      <c r="Q86" s="58">
        <v>1725</v>
      </c>
    </row>
    <row r="87" spans="1:17" x14ac:dyDescent="0.2">
      <c r="A87" s="16" t="s">
        <v>182</v>
      </c>
      <c r="B87" s="16" t="s">
        <v>76</v>
      </c>
      <c r="C87" s="20" t="s">
        <v>190</v>
      </c>
      <c r="D87" s="20" t="s">
        <v>190</v>
      </c>
      <c r="E87" s="20" t="s">
        <v>190</v>
      </c>
      <c r="F87" s="20" t="s">
        <v>190</v>
      </c>
      <c r="G87" s="20" t="s">
        <v>190</v>
      </c>
      <c r="H87" s="20">
        <v>1560</v>
      </c>
      <c r="I87" s="20">
        <v>1555</v>
      </c>
      <c r="J87" s="20">
        <v>1530</v>
      </c>
      <c r="K87" s="20">
        <v>1520</v>
      </c>
      <c r="L87" s="20">
        <v>1515</v>
      </c>
      <c r="M87" s="58">
        <v>1515</v>
      </c>
      <c r="N87" s="58">
        <v>1545</v>
      </c>
      <c r="O87" s="58">
        <v>1565</v>
      </c>
      <c r="P87" s="58">
        <v>1565</v>
      </c>
      <c r="Q87" s="58">
        <v>1555</v>
      </c>
    </row>
    <row r="88" spans="1:17" x14ac:dyDescent="0.2">
      <c r="A88" s="16" t="s">
        <v>182</v>
      </c>
      <c r="B88" s="16" t="s">
        <v>77</v>
      </c>
      <c r="C88" s="20" t="s">
        <v>190</v>
      </c>
      <c r="D88" s="20" t="s">
        <v>190</v>
      </c>
      <c r="E88" s="20" t="s">
        <v>190</v>
      </c>
      <c r="F88" s="20" t="s">
        <v>190</v>
      </c>
      <c r="G88" s="20" t="s">
        <v>190</v>
      </c>
      <c r="H88" s="20">
        <v>4960</v>
      </c>
      <c r="I88" s="20">
        <v>5075</v>
      </c>
      <c r="J88" s="20">
        <v>5020</v>
      </c>
      <c r="K88" s="20">
        <v>5065</v>
      </c>
      <c r="L88" s="20">
        <v>5125</v>
      </c>
      <c r="M88" s="58">
        <v>5090</v>
      </c>
      <c r="N88" s="58">
        <v>5085</v>
      </c>
      <c r="O88" s="58">
        <v>5135</v>
      </c>
      <c r="P88" s="58">
        <v>5110</v>
      </c>
      <c r="Q88" s="58">
        <v>5175</v>
      </c>
    </row>
    <row r="89" spans="1:17" x14ac:dyDescent="0.2">
      <c r="A89" s="16" t="s">
        <v>182</v>
      </c>
      <c r="B89" s="16" t="s">
        <v>78</v>
      </c>
      <c r="C89" s="20" t="s">
        <v>190</v>
      </c>
      <c r="D89" s="20" t="s">
        <v>190</v>
      </c>
      <c r="E89" s="20" t="s">
        <v>190</v>
      </c>
      <c r="F89" s="20" t="s">
        <v>190</v>
      </c>
      <c r="G89" s="20" t="s">
        <v>190</v>
      </c>
      <c r="H89" s="20">
        <v>5260</v>
      </c>
      <c r="I89" s="20">
        <v>5340</v>
      </c>
      <c r="J89" s="20">
        <v>5515</v>
      </c>
      <c r="K89" s="20">
        <v>5425</v>
      </c>
      <c r="L89" s="20">
        <v>5460</v>
      </c>
      <c r="M89" s="58">
        <v>5505</v>
      </c>
      <c r="N89" s="58">
        <v>5480</v>
      </c>
      <c r="O89" s="58">
        <v>5335</v>
      </c>
      <c r="P89" s="58">
        <v>5250</v>
      </c>
      <c r="Q89" s="58">
        <v>5205</v>
      </c>
    </row>
    <row r="90" spans="1:17" x14ac:dyDescent="0.2">
      <c r="A90" s="16" t="s">
        <v>182</v>
      </c>
      <c r="B90" s="16" t="s">
        <v>79</v>
      </c>
      <c r="C90" s="20" t="s">
        <v>190</v>
      </c>
      <c r="D90" s="20" t="s">
        <v>190</v>
      </c>
      <c r="E90" s="20" t="s">
        <v>190</v>
      </c>
      <c r="F90" s="20" t="s">
        <v>190</v>
      </c>
      <c r="G90" s="20" t="s">
        <v>190</v>
      </c>
      <c r="H90" s="20">
        <v>5320</v>
      </c>
      <c r="I90" s="20">
        <v>5520</v>
      </c>
      <c r="J90" s="20">
        <v>5625</v>
      </c>
      <c r="K90" s="20">
        <v>5660</v>
      </c>
      <c r="L90" s="20">
        <v>5785</v>
      </c>
      <c r="M90" s="58">
        <v>5760</v>
      </c>
      <c r="N90" s="58">
        <v>5675</v>
      </c>
      <c r="O90" s="58">
        <v>5595</v>
      </c>
      <c r="P90" s="58">
        <v>5570</v>
      </c>
      <c r="Q90" s="58">
        <v>5675</v>
      </c>
    </row>
    <row r="91" spans="1:17" x14ac:dyDescent="0.2">
      <c r="A91" s="16" t="s">
        <v>182</v>
      </c>
      <c r="B91" s="16" t="s">
        <v>80</v>
      </c>
      <c r="C91" s="20" t="s">
        <v>190</v>
      </c>
      <c r="D91" s="20" t="s">
        <v>190</v>
      </c>
      <c r="E91" s="20" t="s">
        <v>190</v>
      </c>
      <c r="F91" s="20" t="s">
        <v>190</v>
      </c>
      <c r="G91" s="20" t="s">
        <v>190</v>
      </c>
      <c r="H91" s="20">
        <v>545</v>
      </c>
      <c r="I91" s="20">
        <v>550</v>
      </c>
      <c r="J91" s="20">
        <v>545</v>
      </c>
      <c r="K91" s="20">
        <v>545</v>
      </c>
      <c r="L91" s="20">
        <v>535</v>
      </c>
      <c r="M91" s="58">
        <v>560</v>
      </c>
      <c r="N91" s="58">
        <v>570</v>
      </c>
      <c r="O91" s="58">
        <v>565</v>
      </c>
      <c r="P91" s="58">
        <v>565</v>
      </c>
      <c r="Q91" s="58">
        <v>565</v>
      </c>
    </row>
    <row r="92" spans="1:17" x14ac:dyDescent="0.2">
      <c r="A92" s="16" t="s">
        <v>182</v>
      </c>
      <c r="B92" s="16" t="s">
        <v>81</v>
      </c>
      <c r="C92" s="20" t="s">
        <v>190</v>
      </c>
      <c r="D92" s="20" t="s">
        <v>190</v>
      </c>
      <c r="E92" s="20" t="s">
        <v>190</v>
      </c>
      <c r="F92" s="20" t="s">
        <v>190</v>
      </c>
      <c r="G92" s="20" t="s">
        <v>190</v>
      </c>
      <c r="H92" s="20">
        <v>10860</v>
      </c>
      <c r="I92" s="20">
        <v>11240</v>
      </c>
      <c r="J92" s="20">
        <v>11520</v>
      </c>
      <c r="K92" s="20">
        <v>11510</v>
      </c>
      <c r="L92" s="20">
        <v>11690</v>
      </c>
      <c r="M92" s="58">
        <v>11780</v>
      </c>
      <c r="N92" s="58">
        <v>11710</v>
      </c>
      <c r="O92" s="58">
        <v>11765</v>
      </c>
      <c r="P92" s="58">
        <v>11715</v>
      </c>
      <c r="Q92" s="58">
        <v>11785</v>
      </c>
    </row>
    <row r="93" spans="1:17" x14ac:dyDescent="0.2">
      <c r="A93" s="16" t="s">
        <v>182</v>
      </c>
      <c r="B93" s="16" t="s">
        <v>82</v>
      </c>
      <c r="C93" s="20" t="s">
        <v>190</v>
      </c>
      <c r="D93" s="20" t="s">
        <v>190</v>
      </c>
      <c r="E93" s="20" t="s">
        <v>190</v>
      </c>
      <c r="F93" s="20" t="s">
        <v>190</v>
      </c>
      <c r="G93" s="20" t="s">
        <v>190</v>
      </c>
      <c r="H93" s="20">
        <v>665</v>
      </c>
      <c r="I93" s="20">
        <v>660</v>
      </c>
      <c r="J93" s="20">
        <v>670</v>
      </c>
      <c r="K93" s="20">
        <v>670</v>
      </c>
      <c r="L93" s="20">
        <v>675</v>
      </c>
      <c r="M93" s="58">
        <v>660</v>
      </c>
      <c r="N93" s="58">
        <v>660</v>
      </c>
      <c r="O93" s="58">
        <v>690</v>
      </c>
      <c r="P93" s="58">
        <v>710</v>
      </c>
      <c r="Q93" s="58">
        <v>695</v>
      </c>
    </row>
    <row r="94" spans="1:17" x14ac:dyDescent="0.2">
      <c r="A94" s="16" t="s">
        <v>182</v>
      </c>
      <c r="B94" s="16" t="s">
        <v>83</v>
      </c>
      <c r="C94" s="20" t="s">
        <v>190</v>
      </c>
      <c r="D94" s="20" t="s">
        <v>190</v>
      </c>
      <c r="E94" s="20" t="s">
        <v>190</v>
      </c>
      <c r="F94" s="20" t="s">
        <v>190</v>
      </c>
      <c r="G94" s="20" t="s">
        <v>190</v>
      </c>
      <c r="H94" s="20">
        <v>765</v>
      </c>
      <c r="I94" s="20">
        <v>755</v>
      </c>
      <c r="J94" s="20">
        <v>740</v>
      </c>
      <c r="K94" s="20">
        <v>745</v>
      </c>
      <c r="L94" s="20">
        <v>745</v>
      </c>
      <c r="M94" s="58">
        <v>725</v>
      </c>
      <c r="N94" s="58">
        <v>715</v>
      </c>
      <c r="O94" s="58">
        <v>725</v>
      </c>
      <c r="P94" s="58">
        <v>730</v>
      </c>
      <c r="Q94" s="58">
        <v>720</v>
      </c>
    </row>
    <row r="95" spans="1:17" x14ac:dyDescent="0.2">
      <c r="A95" s="16" t="s">
        <v>182</v>
      </c>
      <c r="B95" s="16" t="s">
        <v>84</v>
      </c>
      <c r="C95" s="20" t="s">
        <v>190</v>
      </c>
      <c r="D95" s="20" t="s">
        <v>190</v>
      </c>
      <c r="E95" s="20" t="s">
        <v>190</v>
      </c>
      <c r="F95" s="20" t="s">
        <v>190</v>
      </c>
      <c r="G95" s="20" t="s">
        <v>190</v>
      </c>
      <c r="H95" s="20">
        <v>980</v>
      </c>
      <c r="I95" s="20">
        <v>970</v>
      </c>
      <c r="J95" s="20">
        <v>1005</v>
      </c>
      <c r="K95" s="20">
        <v>985</v>
      </c>
      <c r="L95" s="20">
        <v>995</v>
      </c>
      <c r="M95" s="58">
        <v>995</v>
      </c>
      <c r="N95" s="58">
        <v>1025</v>
      </c>
      <c r="O95" s="58">
        <v>1060</v>
      </c>
      <c r="P95" s="58">
        <v>1045</v>
      </c>
      <c r="Q95" s="58">
        <v>1040</v>
      </c>
    </row>
    <row r="96" spans="1:17" x14ac:dyDescent="0.2">
      <c r="A96" s="16" t="s">
        <v>182</v>
      </c>
      <c r="B96" s="16" t="s">
        <v>15</v>
      </c>
      <c r="C96" s="20" t="s">
        <v>190</v>
      </c>
      <c r="D96" s="20" t="s">
        <v>190</v>
      </c>
      <c r="E96" s="20" t="s">
        <v>190</v>
      </c>
      <c r="F96" s="20" t="s">
        <v>190</v>
      </c>
      <c r="G96" s="20" t="s">
        <v>190</v>
      </c>
      <c r="H96" s="20">
        <v>1555</v>
      </c>
      <c r="I96" s="20">
        <v>1530</v>
      </c>
      <c r="J96" s="20">
        <v>1530</v>
      </c>
      <c r="K96" s="20">
        <v>1565</v>
      </c>
      <c r="L96" s="20">
        <v>1575</v>
      </c>
      <c r="M96" s="58">
        <v>1535</v>
      </c>
      <c r="N96" s="58">
        <v>1510</v>
      </c>
      <c r="O96" s="58">
        <v>1545</v>
      </c>
      <c r="P96" s="58">
        <v>1545</v>
      </c>
      <c r="Q96" s="58">
        <v>1545</v>
      </c>
    </row>
    <row r="97" spans="1:17" x14ac:dyDescent="0.2">
      <c r="A97" s="16" t="s">
        <v>182</v>
      </c>
      <c r="B97" s="16" t="s">
        <v>85</v>
      </c>
      <c r="C97" s="20" t="s">
        <v>190</v>
      </c>
      <c r="D97" s="20" t="s">
        <v>190</v>
      </c>
      <c r="E97" s="20" t="s">
        <v>190</v>
      </c>
      <c r="F97" s="20" t="s">
        <v>190</v>
      </c>
      <c r="G97" s="20" t="s">
        <v>190</v>
      </c>
      <c r="H97" s="20">
        <v>5160</v>
      </c>
      <c r="I97" s="20">
        <v>5180</v>
      </c>
      <c r="J97" s="20">
        <v>5240</v>
      </c>
      <c r="K97" s="20">
        <v>5280</v>
      </c>
      <c r="L97" s="20">
        <v>5325</v>
      </c>
      <c r="M97" s="58">
        <v>5255</v>
      </c>
      <c r="N97" s="58">
        <v>5250</v>
      </c>
      <c r="O97" s="58">
        <v>5280</v>
      </c>
      <c r="P97" s="58">
        <v>5265</v>
      </c>
      <c r="Q97" s="58">
        <v>5245</v>
      </c>
    </row>
    <row r="98" spans="1:17" x14ac:dyDescent="0.2">
      <c r="A98" s="16" t="s">
        <v>182</v>
      </c>
      <c r="B98" s="16" t="s">
        <v>86</v>
      </c>
      <c r="C98" s="20" t="s">
        <v>190</v>
      </c>
      <c r="D98" s="20" t="s">
        <v>190</v>
      </c>
      <c r="E98" s="20" t="s">
        <v>190</v>
      </c>
      <c r="F98" s="20" t="s">
        <v>190</v>
      </c>
      <c r="G98" s="20" t="s">
        <v>190</v>
      </c>
      <c r="H98" s="20">
        <v>1885</v>
      </c>
      <c r="I98" s="20">
        <v>1900</v>
      </c>
      <c r="J98" s="20">
        <v>1915</v>
      </c>
      <c r="K98" s="20">
        <v>1905</v>
      </c>
      <c r="L98" s="20">
        <v>1885</v>
      </c>
      <c r="M98" s="58">
        <v>1865</v>
      </c>
      <c r="N98" s="58">
        <v>1835</v>
      </c>
      <c r="O98" s="58">
        <v>1795</v>
      </c>
      <c r="P98" s="58">
        <v>1735</v>
      </c>
      <c r="Q98" s="58">
        <v>1715</v>
      </c>
    </row>
    <row r="99" spans="1:17" x14ac:dyDescent="0.2">
      <c r="A99" s="16" t="s">
        <v>182</v>
      </c>
      <c r="B99" s="16" t="s">
        <v>87</v>
      </c>
      <c r="C99" s="20" t="s">
        <v>190</v>
      </c>
      <c r="D99" s="20" t="s">
        <v>190</v>
      </c>
      <c r="E99" s="20" t="s">
        <v>190</v>
      </c>
      <c r="F99" s="20" t="s">
        <v>190</v>
      </c>
      <c r="G99" s="20" t="s">
        <v>190</v>
      </c>
      <c r="H99" s="20">
        <v>890</v>
      </c>
      <c r="I99" s="20">
        <v>895</v>
      </c>
      <c r="J99" s="20">
        <v>905</v>
      </c>
      <c r="K99" s="20">
        <v>900</v>
      </c>
      <c r="L99" s="20">
        <v>895</v>
      </c>
      <c r="M99" s="58">
        <v>910</v>
      </c>
      <c r="N99" s="58">
        <v>895</v>
      </c>
      <c r="O99" s="58">
        <v>920</v>
      </c>
      <c r="P99" s="58">
        <v>915</v>
      </c>
      <c r="Q99" s="58">
        <v>965</v>
      </c>
    </row>
    <row r="100" spans="1:17" x14ac:dyDescent="0.2">
      <c r="A100" s="16" t="s">
        <v>182</v>
      </c>
      <c r="B100" s="16" t="s">
        <v>88</v>
      </c>
      <c r="C100" s="20" t="s">
        <v>190</v>
      </c>
      <c r="D100" s="20" t="s">
        <v>190</v>
      </c>
      <c r="E100" s="20" t="s">
        <v>190</v>
      </c>
      <c r="F100" s="20" t="s">
        <v>190</v>
      </c>
      <c r="G100" s="20" t="s">
        <v>190</v>
      </c>
      <c r="H100" s="20">
        <v>625</v>
      </c>
      <c r="I100" s="20">
        <v>620</v>
      </c>
      <c r="J100" s="20">
        <v>640</v>
      </c>
      <c r="K100" s="20">
        <v>620</v>
      </c>
      <c r="L100" s="20">
        <v>640</v>
      </c>
      <c r="M100" s="58">
        <v>655</v>
      </c>
      <c r="N100" s="58">
        <v>635</v>
      </c>
      <c r="O100" s="58">
        <v>650</v>
      </c>
      <c r="P100" s="58">
        <v>655</v>
      </c>
      <c r="Q100" s="58">
        <v>680</v>
      </c>
    </row>
    <row r="101" spans="1:17" x14ac:dyDescent="0.2">
      <c r="A101" s="16" t="s">
        <v>182</v>
      </c>
      <c r="B101" s="16" t="s">
        <v>18</v>
      </c>
      <c r="C101" s="20" t="s">
        <v>190</v>
      </c>
      <c r="D101" s="20" t="s">
        <v>190</v>
      </c>
      <c r="E101" s="20" t="s">
        <v>190</v>
      </c>
      <c r="F101" s="20" t="s">
        <v>190</v>
      </c>
      <c r="G101" s="20" t="s">
        <v>190</v>
      </c>
      <c r="H101" s="20">
        <v>1490</v>
      </c>
      <c r="I101" s="20">
        <v>1530</v>
      </c>
      <c r="J101" s="20">
        <v>1565</v>
      </c>
      <c r="K101" s="20">
        <v>1585</v>
      </c>
      <c r="L101" s="20">
        <v>1570</v>
      </c>
      <c r="M101" s="58">
        <v>1580</v>
      </c>
      <c r="N101" s="58">
        <v>1625</v>
      </c>
      <c r="O101" s="58">
        <v>1655</v>
      </c>
      <c r="P101" s="58">
        <v>1665</v>
      </c>
      <c r="Q101" s="58">
        <v>1650</v>
      </c>
    </row>
    <row r="102" spans="1:17" x14ac:dyDescent="0.2">
      <c r="A102" s="16" t="s">
        <v>182</v>
      </c>
      <c r="B102" s="16" t="s">
        <v>89</v>
      </c>
      <c r="C102" s="20" t="s">
        <v>190</v>
      </c>
      <c r="D102" s="20" t="s">
        <v>190</v>
      </c>
      <c r="E102" s="20" t="s">
        <v>190</v>
      </c>
      <c r="F102" s="20" t="s">
        <v>190</v>
      </c>
      <c r="G102" s="20" t="s">
        <v>190</v>
      </c>
      <c r="H102" s="20">
        <v>1990</v>
      </c>
      <c r="I102" s="20">
        <v>2040</v>
      </c>
      <c r="J102" s="20">
        <v>2005</v>
      </c>
      <c r="K102" s="20">
        <v>2020</v>
      </c>
      <c r="L102" s="20">
        <v>2040</v>
      </c>
      <c r="M102" s="58">
        <v>2045</v>
      </c>
      <c r="N102" s="58">
        <v>2000</v>
      </c>
      <c r="O102" s="58">
        <v>2025</v>
      </c>
      <c r="P102" s="58">
        <v>2040</v>
      </c>
      <c r="Q102" s="58">
        <v>2025</v>
      </c>
    </row>
    <row r="103" spans="1:17" x14ac:dyDescent="0.2">
      <c r="A103" s="16" t="s">
        <v>182</v>
      </c>
      <c r="B103" s="16" t="s">
        <v>90</v>
      </c>
      <c r="C103" s="20" t="s">
        <v>190</v>
      </c>
      <c r="D103" s="20" t="s">
        <v>190</v>
      </c>
      <c r="E103" s="20" t="s">
        <v>190</v>
      </c>
      <c r="F103" s="20" t="s">
        <v>190</v>
      </c>
      <c r="G103" s="20" t="s">
        <v>190</v>
      </c>
      <c r="H103" s="20">
        <v>815</v>
      </c>
      <c r="I103" s="20">
        <v>820</v>
      </c>
      <c r="J103" s="20">
        <v>815</v>
      </c>
      <c r="K103" s="20">
        <v>795</v>
      </c>
      <c r="L103" s="20">
        <v>790</v>
      </c>
      <c r="M103" s="58">
        <v>765</v>
      </c>
      <c r="N103" s="58">
        <v>760</v>
      </c>
      <c r="O103" s="58">
        <v>755</v>
      </c>
      <c r="P103" s="58">
        <v>750</v>
      </c>
      <c r="Q103" s="58">
        <v>735</v>
      </c>
    </row>
    <row r="104" spans="1:17" x14ac:dyDescent="0.2">
      <c r="A104" s="16" t="s">
        <v>182</v>
      </c>
      <c r="B104" s="16" t="s">
        <v>91</v>
      </c>
      <c r="C104" s="20" t="s">
        <v>190</v>
      </c>
      <c r="D104" s="20" t="s">
        <v>190</v>
      </c>
      <c r="E104" s="20" t="s">
        <v>190</v>
      </c>
      <c r="F104" s="20" t="s">
        <v>190</v>
      </c>
      <c r="G104" s="20" t="s">
        <v>190</v>
      </c>
      <c r="H104" s="20">
        <v>850</v>
      </c>
      <c r="I104" s="20">
        <v>855</v>
      </c>
      <c r="J104" s="20">
        <v>845</v>
      </c>
      <c r="K104" s="20">
        <v>860</v>
      </c>
      <c r="L104" s="20">
        <v>865</v>
      </c>
      <c r="M104" s="58">
        <v>850</v>
      </c>
      <c r="N104" s="58">
        <v>835</v>
      </c>
      <c r="O104" s="58">
        <v>795</v>
      </c>
      <c r="P104" s="58">
        <v>780</v>
      </c>
      <c r="Q104" s="58">
        <v>770</v>
      </c>
    </row>
    <row r="105" spans="1:17" x14ac:dyDescent="0.2">
      <c r="A105" s="16" t="s">
        <v>182</v>
      </c>
      <c r="B105" s="16" t="s">
        <v>92</v>
      </c>
      <c r="C105" s="20" t="s">
        <v>190</v>
      </c>
      <c r="D105" s="20" t="s">
        <v>190</v>
      </c>
      <c r="E105" s="20" t="s">
        <v>190</v>
      </c>
      <c r="F105" s="20" t="s">
        <v>190</v>
      </c>
      <c r="G105" s="20" t="s">
        <v>190</v>
      </c>
      <c r="H105" s="20">
        <v>1510</v>
      </c>
      <c r="I105" s="20">
        <v>1525</v>
      </c>
      <c r="J105" s="20">
        <v>1510</v>
      </c>
      <c r="K105" s="20">
        <v>1505</v>
      </c>
      <c r="L105" s="20">
        <v>1535</v>
      </c>
      <c r="M105" s="58">
        <v>1530</v>
      </c>
      <c r="N105" s="58">
        <v>1505</v>
      </c>
      <c r="O105" s="58">
        <v>1500</v>
      </c>
      <c r="P105" s="58">
        <v>1465</v>
      </c>
      <c r="Q105" s="58">
        <v>1475</v>
      </c>
    </row>
    <row r="106" spans="1:17" x14ac:dyDescent="0.2">
      <c r="A106" s="16" t="s">
        <v>182</v>
      </c>
      <c r="B106" s="16" t="s">
        <v>93</v>
      </c>
      <c r="C106" s="20" t="s">
        <v>190</v>
      </c>
      <c r="D106" s="20" t="s">
        <v>190</v>
      </c>
      <c r="E106" s="20" t="s">
        <v>190</v>
      </c>
      <c r="F106" s="20" t="s">
        <v>190</v>
      </c>
      <c r="G106" s="20" t="s">
        <v>190</v>
      </c>
      <c r="H106" s="20">
        <v>565</v>
      </c>
      <c r="I106" s="20">
        <v>555</v>
      </c>
      <c r="J106" s="20">
        <v>560</v>
      </c>
      <c r="K106" s="20">
        <v>565</v>
      </c>
      <c r="L106" s="20">
        <v>580</v>
      </c>
      <c r="M106" s="58">
        <v>560</v>
      </c>
      <c r="N106" s="58">
        <v>545</v>
      </c>
      <c r="O106" s="58">
        <v>560</v>
      </c>
      <c r="P106" s="58">
        <v>565</v>
      </c>
      <c r="Q106" s="58">
        <v>570</v>
      </c>
    </row>
    <row r="107" spans="1:17" x14ac:dyDescent="0.2">
      <c r="A107" s="16" t="s">
        <v>182</v>
      </c>
      <c r="B107" s="16" t="s">
        <v>94</v>
      </c>
      <c r="C107" s="20" t="s">
        <v>190</v>
      </c>
      <c r="D107" s="20" t="s">
        <v>190</v>
      </c>
      <c r="E107" s="20" t="s">
        <v>190</v>
      </c>
      <c r="F107" s="20" t="s">
        <v>190</v>
      </c>
      <c r="G107" s="20" t="s">
        <v>190</v>
      </c>
      <c r="H107" s="20">
        <v>1240</v>
      </c>
      <c r="I107" s="20">
        <v>1230</v>
      </c>
      <c r="J107" s="20">
        <v>1225</v>
      </c>
      <c r="K107" s="20">
        <v>1255</v>
      </c>
      <c r="L107" s="20">
        <v>1245</v>
      </c>
      <c r="M107" s="58">
        <v>1250</v>
      </c>
      <c r="N107" s="58">
        <v>1250</v>
      </c>
      <c r="O107" s="58">
        <v>1255</v>
      </c>
      <c r="P107" s="58">
        <v>1255</v>
      </c>
      <c r="Q107" s="58">
        <v>1275</v>
      </c>
    </row>
    <row r="108" spans="1:17" x14ac:dyDescent="0.2">
      <c r="A108" s="16" t="s">
        <v>182</v>
      </c>
      <c r="B108" s="16" t="s">
        <v>95</v>
      </c>
      <c r="C108" s="20" t="s">
        <v>190</v>
      </c>
      <c r="D108" s="20" t="s">
        <v>190</v>
      </c>
      <c r="E108" s="20" t="s">
        <v>190</v>
      </c>
      <c r="F108" s="20" t="s">
        <v>190</v>
      </c>
      <c r="G108" s="20" t="s">
        <v>190</v>
      </c>
      <c r="H108" s="20">
        <v>760</v>
      </c>
      <c r="I108" s="20">
        <v>785</v>
      </c>
      <c r="J108" s="20">
        <v>790</v>
      </c>
      <c r="K108" s="20">
        <v>780</v>
      </c>
      <c r="L108" s="20">
        <v>780</v>
      </c>
      <c r="M108" s="58">
        <v>770</v>
      </c>
      <c r="N108" s="58">
        <v>750</v>
      </c>
      <c r="O108" s="58">
        <v>740</v>
      </c>
      <c r="P108" s="58">
        <v>710</v>
      </c>
      <c r="Q108" s="58">
        <v>705</v>
      </c>
    </row>
    <row r="109" spans="1:17" ht="43.5" customHeight="1" x14ac:dyDescent="0.2">
      <c r="A109" s="17" t="s">
        <v>183</v>
      </c>
      <c r="B109" s="9" t="s">
        <v>112</v>
      </c>
      <c r="C109" s="20" t="s">
        <v>190</v>
      </c>
      <c r="D109" s="20" t="s">
        <v>190</v>
      </c>
      <c r="E109" s="20" t="s">
        <v>190</v>
      </c>
      <c r="F109" s="20" t="s">
        <v>190</v>
      </c>
      <c r="G109" s="20" t="s">
        <v>190</v>
      </c>
      <c r="H109" s="20">
        <v>3630</v>
      </c>
      <c r="I109" s="20">
        <v>3610</v>
      </c>
      <c r="J109" s="20">
        <v>3650</v>
      </c>
      <c r="K109" s="20">
        <v>3590</v>
      </c>
      <c r="L109" s="20">
        <v>3575</v>
      </c>
      <c r="M109" s="18">
        <v>3585</v>
      </c>
      <c r="N109" s="18">
        <v>3615</v>
      </c>
      <c r="O109" s="18">
        <v>3715</v>
      </c>
      <c r="P109" s="18">
        <v>3730</v>
      </c>
      <c r="Q109" s="18">
        <v>3705</v>
      </c>
    </row>
    <row r="110" spans="1:17" x14ac:dyDescent="0.2">
      <c r="A110" s="16" t="s">
        <v>183</v>
      </c>
      <c r="B110" s="9" t="s">
        <v>113</v>
      </c>
      <c r="C110" s="20" t="s">
        <v>190</v>
      </c>
      <c r="D110" s="20" t="s">
        <v>190</v>
      </c>
      <c r="E110" s="20" t="s">
        <v>190</v>
      </c>
      <c r="F110" s="20" t="s">
        <v>190</v>
      </c>
      <c r="G110" s="20" t="s">
        <v>190</v>
      </c>
      <c r="H110" s="20">
        <v>2400</v>
      </c>
      <c r="I110" s="20">
        <v>2425</v>
      </c>
      <c r="J110" s="20">
        <v>2385</v>
      </c>
      <c r="K110" s="20">
        <v>2400</v>
      </c>
      <c r="L110" s="20">
        <v>2420</v>
      </c>
      <c r="M110" s="18">
        <v>2385</v>
      </c>
      <c r="N110" s="18">
        <v>2350</v>
      </c>
      <c r="O110" s="18">
        <v>2310</v>
      </c>
      <c r="P110" s="18">
        <v>2240</v>
      </c>
      <c r="Q110" s="18">
        <v>2240</v>
      </c>
    </row>
    <row r="111" spans="1:17" x14ac:dyDescent="0.2">
      <c r="A111" s="16" t="s">
        <v>183</v>
      </c>
      <c r="B111" s="9" t="s">
        <v>114</v>
      </c>
      <c r="C111" s="20" t="s">
        <v>190</v>
      </c>
      <c r="D111" s="20" t="s">
        <v>190</v>
      </c>
      <c r="E111" s="20" t="s">
        <v>190</v>
      </c>
      <c r="F111" s="20" t="s">
        <v>190</v>
      </c>
      <c r="G111" s="20" t="s">
        <v>190</v>
      </c>
      <c r="H111" s="20">
        <v>6755</v>
      </c>
      <c r="I111" s="20">
        <v>6860</v>
      </c>
      <c r="J111" s="20">
        <v>6780</v>
      </c>
      <c r="K111" s="20">
        <v>6805</v>
      </c>
      <c r="L111" s="20">
        <v>6890</v>
      </c>
      <c r="M111" s="18">
        <v>6815</v>
      </c>
      <c r="N111" s="18">
        <v>6830</v>
      </c>
      <c r="O111" s="18">
        <v>6830</v>
      </c>
      <c r="P111" s="18">
        <v>6750</v>
      </c>
      <c r="Q111" s="18">
        <v>6815</v>
      </c>
    </row>
    <row r="112" spans="1:17" x14ac:dyDescent="0.2">
      <c r="A112" s="16" t="s">
        <v>183</v>
      </c>
      <c r="B112" s="9" t="s">
        <v>115</v>
      </c>
      <c r="C112" s="20" t="s">
        <v>190</v>
      </c>
      <c r="D112" s="20" t="s">
        <v>190</v>
      </c>
      <c r="E112" s="20" t="s">
        <v>190</v>
      </c>
      <c r="F112" s="20" t="s">
        <v>190</v>
      </c>
      <c r="G112" s="20" t="s">
        <v>190</v>
      </c>
      <c r="H112" s="20">
        <v>2440</v>
      </c>
      <c r="I112" s="20">
        <v>2445</v>
      </c>
      <c r="J112" s="20">
        <v>2480</v>
      </c>
      <c r="K112" s="20">
        <v>2485</v>
      </c>
      <c r="L112" s="20">
        <v>2545</v>
      </c>
      <c r="M112" s="18">
        <v>2525</v>
      </c>
      <c r="N112" s="18">
        <v>2490</v>
      </c>
      <c r="O112" s="18">
        <v>2545</v>
      </c>
      <c r="P112" s="18">
        <v>2605</v>
      </c>
      <c r="Q112" s="18">
        <v>2670</v>
      </c>
    </row>
    <row r="113" spans="1:17" x14ac:dyDescent="0.2">
      <c r="A113" s="16" t="s">
        <v>183</v>
      </c>
      <c r="B113" s="9" t="s">
        <v>13</v>
      </c>
      <c r="C113" s="20" t="s">
        <v>190</v>
      </c>
      <c r="D113" s="20" t="s">
        <v>190</v>
      </c>
      <c r="E113" s="20" t="s">
        <v>190</v>
      </c>
      <c r="F113" s="20" t="s">
        <v>190</v>
      </c>
      <c r="G113" s="20" t="s">
        <v>190</v>
      </c>
      <c r="H113" s="20">
        <v>3430</v>
      </c>
      <c r="I113" s="20">
        <v>3485</v>
      </c>
      <c r="J113" s="20">
        <v>3510</v>
      </c>
      <c r="K113" s="20">
        <v>3505</v>
      </c>
      <c r="L113" s="20">
        <v>3560</v>
      </c>
      <c r="M113" s="18">
        <v>3565</v>
      </c>
      <c r="N113" s="18">
        <v>3485</v>
      </c>
      <c r="O113" s="18">
        <v>3435</v>
      </c>
      <c r="P113" s="18">
        <v>3430</v>
      </c>
      <c r="Q113" s="18">
        <v>3400</v>
      </c>
    </row>
    <row r="114" spans="1:17" ht="15" customHeight="1" x14ac:dyDescent="0.2">
      <c r="A114" s="16" t="s">
        <v>183</v>
      </c>
      <c r="B114" s="9" t="s">
        <v>116</v>
      </c>
      <c r="C114" s="20" t="s">
        <v>190</v>
      </c>
      <c r="D114" s="20" t="s">
        <v>190</v>
      </c>
      <c r="E114" s="20" t="s">
        <v>190</v>
      </c>
      <c r="F114" s="20" t="s">
        <v>190</v>
      </c>
      <c r="G114" s="20" t="s">
        <v>190</v>
      </c>
      <c r="H114" s="20">
        <v>1555</v>
      </c>
      <c r="I114" s="20">
        <v>1530</v>
      </c>
      <c r="J114" s="20">
        <v>1530</v>
      </c>
      <c r="K114" s="20">
        <v>1565</v>
      </c>
      <c r="L114" s="20">
        <v>1575</v>
      </c>
      <c r="M114" s="18">
        <v>1535</v>
      </c>
      <c r="N114" s="18">
        <v>1510</v>
      </c>
      <c r="O114" s="18">
        <v>1545</v>
      </c>
      <c r="P114" s="18">
        <v>1545</v>
      </c>
      <c r="Q114" s="18">
        <v>1545</v>
      </c>
    </row>
    <row r="115" spans="1:17" x14ac:dyDescent="0.2">
      <c r="A115" s="16" t="s">
        <v>183</v>
      </c>
      <c r="B115" s="9" t="s">
        <v>117</v>
      </c>
      <c r="C115" s="20" t="s">
        <v>190</v>
      </c>
      <c r="D115" s="20" t="s">
        <v>190</v>
      </c>
      <c r="E115" s="20" t="s">
        <v>190</v>
      </c>
      <c r="F115" s="20" t="s">
        <v>190</v>
      </c>
      <c r="G115" s="20" t="s">
        <v>190</v>
      </c>
      <c r="H115" s="20">
        <v>1240</v>
      </c>
      <c r="I115" s="20">
        <v>1230</v>
      </c>
      <c r="J115" s="20">
        <v>1225</v>
      </c>
      <c r="K115" s="20">
        <v>1255</v>
      </c>
      <c r="L115" s="20">
        <v>1245</v>
      </c>
      <c r="M115" s="18">
        <v>1250</v>
      </c>
      <c r="N115" s="18">
        <v>1250</v>
      </c>
      <c r="O115" s="18">
        <v>1255</v>
      </c>
      <c r="P115" s="18">
        <v>1255</v>
      </c>
      <c r="Q115" s="18">
        <v>1275</v>
      </c>
    </row>
    <row r="116" spans="1:17" x14ac:dyDescent="0.2">
      <c r="A116" s="16" t="s">
        <v>183</v>
      </c>
      <c r="B116" s="9" t="s">
        <v>118</v>
      </c>
      <c r="C116" s="20" t="s">
        <v>190</v>
      </c>
      <c r="D116" s="20" t="s">
        <v>190</v>
      </c>
      <c r="E116" s="20" t="s">
        <v>190</v>
      </c>
      <c r="F116" s="20" t="s">
        <v>190</v>
      </c>
      <c r="G116" s="20" t="s">
        <v>190</v>
      </c>
      <c r="H116" s="20">
        <v>1490</v>
      </c>
      <c r="I116" s="20">
        <v>1530</v>
      </c>
      <c r="J116" s="20">
        <v>1565</v>
      </c>
      <c r="K116" s="20">
        <v>1585</v>
      </c>
      <c r="L116" s="20">
        <v>1570</v>
      </c>
      <c r="M116" s="18">
        <v>1580</v>
      </c>
      <c r="N116" s="18">
        <v>1625</v>
      </c>
      <c r="O116" s="18">
        <v>1655</v>
      </c>
      <c r="P116" s="18">
        <v>1665</v>
      </c>
      <c r="Q116" s="18">
        <v>1650</v>
      </c>
    </row>
    <row r="117" spans="1:17" x14ac:dyDescent="0.2">
      <c r="A117" s="16" t="s">
        <v>183</v>
      </c>
      <c r="B117" s="9" t="s">
        <v>184</v>
      </c>
      <c r="C117" s="20" t="s">
        <v>190</v>
      </c>
      <c r="D117" s="20" t="s">
        <v>190</v>
      </c>
      <c r="E117" s="20" t="s">
        <v>190</v>
      </c>
      <c r="F117" s="20" t="s">
        <v>190</v>
      </c>
      <c r="G117" s="20" t="s">
        <v>190</v>
      </c>
      <c r="H117" s="20">
        <v>22115</v>
      </c>
      <c r="I117" s="20">
        <v>22315</v>
      </c>
      <c r="J117" s="20">
        <v>22295</v>
      </c>
      <c r="K117" s="20">
        <v>22350</v>
      </c>
      <c r="L117" s="20">
        <v>22555</v>
      </c>
      <c r="M117" s="18">
        <v>22405</v>
      </c>
      <c r="N117" s="18">
        <v>22320</v>
      </c>
      <c r="O117" s="18">
        <v>22455</v>
      </c>
      <c r="P117" s="18">
        <v>22385</v>
      </c>
      <c r="Q117" s="18">
        <v>22480</v>
      </c>
    </row>
    <row r="118" spans="1:17" ht="28.5" customHeight="1" x14ac:dyDescent="0.2">
      <c r="A118" s="17" t="s">
        <v>185</v>
      </c>
      <c r="B118" s="17" t="s">
        <v>111</v>
      </c>
      <c r="C118" s="20" t="s">
        <v>190</v>
      </c>
      <c r="D118" s="20" t="s">
        <v>190</v>
      </c>
      <c r="E118" s="20" t="s">
        <v>190</v>
      </c>
      <c r="F118" s="20" t="s">
        <v>190</v>
      </c>
      <c r="G118" s="20" t="s">
        <v>190</v>
      </c>
      <c r="H118" s="20">
        <v>925</v>
      </c>
      <c r="I118" s="20">
        <v>975</v>
      </c>
      <c r="J118" s="20">
        <v>1000</v>
      </c>
      <c r="K118" s="20">
        <v>1040</v>
      </c>
      <c r="L118" s="20">
        <v>1055</v>
      </c>
      <c r="M118" s="18">
        <v>1055</v>
      </c>
      <c r="N118" s="18">
        <v>1110</v>
      </c>
      <c r="O118" s="18">
        <v>1215</v>
      </c>
      <c r="P118" s="18">
        <v>1230</v>
      </c>
      <c r="Q118" s="18">
        <v>1255</v>
      </c>
    </row>
    <row r="119" spans="1:17" x14ac:dyDescent="0.2">
      <c r="A119" s="17" t="s">
        <v>185</v>
      </c>
      <c r="B119" s="9" t="s">
        <v>186</v>
      </c>
      <c r="C119" s="20" t="s">
        <v>190</v>
      </c>
      <c r="D119" s="20" t="s">
        <v>190</v>
      </c>
      <c r="E119" s="20" t="s">
        <v>190</v>
      </c>
      <c r="F119" s="20" t="s">
        <v>190</v>
      </c>
      <c r="G119" s="20" t="s">
        <v>190</v>
      </c>
      <c r="H119" s="20">
        <v>12860</v>
      </c>
      <c r="I119" s="20">
        <v>13250</v>
      </c>
      <c r="J119" s="20">
        <v>13425</v>
      </c>
      <c r="K119" s="20">
        <v>13635</v>
      </c>
      <c r="L119" s="20">
        <v>13895</v>
      </c>
      <c r="M119" s="18">
        <v>14025</v>
      </c>
      <c r="N119" s="18">
        <v>14015</v>
      </c>
      <c r="O119" s="18">
        <v>13995</v>
      </c>
      <c r="P119" s="18">
        <v>13925</v>
      </c>
      <c r="Q119" s="18">
        <v>14065</v>
      </c>
    </row>
    <row r="120" spans="1:17" x14ac:dyDescent="0.2">
      <c r="A120" s="17" t="s">
        <v>185</v>
      </c>
      <c r="B120" s="9" t="s">
        <v>151</v>
      </c>
      <c r="C120" s="20" t="s">
        <v>190</v>
      </c>
      <c r="D120" s="20" t="s">
        <v>190</v>
      </c>
      <c r="E120" s="20" t="s">
        <v>190</v>
      </c>
      <c r="F120" s="20" t="s">
        <v>190</v>
      </c>
      <c r="G120" s="20" t="s">
        <v>190</v>
      </c>
      <c r="H120" s="59">
        <v>22060</v>
      </c>
      <c r="I120" s="20">
        <v>22915</v>
      </c>
      <c r="J120" s="20">
        <v>23490</v>
      </c>
      <c r="K120" s="20">
        <v>23815</v>
      </c>
      <c r="L120" s="20">
        <v>24375</v>
      </c>
      <c r="M120" s="18">
        <v>24985</v>
      </c>
      <c r="N120" s="18">
        <v>24920</v>
      </c>
      <c r="O120" s="18">
        <v>24985</v>
      </c>
      <c r="P120" s="18">
        <v>24840</v>
      </c>
      <c r="Q120" s="18">
        <v>25045</v>
      </c>
    </row>
    <row r="121" spans="1:17" ht="28.5" customHeight="1" x14ac:dyDescent="0.2">
      <c r="A121" s="91" t="s">
        <v>270</v>
      </c>
      <c r="B121" s="92" t="s">
        <v>271</v>
      </c>
      <c r="C121" s="20" t="s">
        <v>190</v>
      </c>
      <c r="D121" s="20" t="s">
        <v>190</v>
      </c>
      <c r="E121" s="20" t="s">
        <v>190</v>
      </c>
      <c r="F121" s="20" t="s">
        <v>190</v>
      </c>
      <c r="G121" s="20" t="s">
        <v>190</v>
      </c>
      <c r="H121" s="93">
        <v>710</v>
      </c>
      <c r="I121" s="93">
        <v>705</v>
      </c>
      <c r="J121" s="93">
        <v>720</v>
      </c>
      <c r="K121" s="93">
        <v>725</v>
      </c>
      <c r="L121" s="93">
        <v>730</v>
      </c>
      <c r="M121" s="61">
        <v>710</v>
      </c>
      <c r="N121" s="18">
        <v>710</v>
      </c>
      <c r="O121" s="61">
        <v>745</v>
      </c>
      <c r="P121" s="61">
        <v>760</v>
      </c>
      <c r="Q121" s="61">
        <v>745</v>
      </c>
    </row>
    <row r="122" spans="1:17" x14ac:dyDescent="0.2">
      <c r="A122" s="91" t="s">
        <v>270</v>
      </c>
      <c r="B122" s="92" t="s">
        <v>272</v>
      </c>
      <c r="C122" s="20" t="s">
        <v>190</v>
      </c>
      <c r="D122" s="20" t="s">
        <v>190</v>
      </c>
      <c r="E122" s="20" t="s">
        <v>190</v>
      </c>
      <c r="F122" s="20" t="s">
        <v>190</v>
      </c>
      <c r="G122" s="20" t="s">
        <v>190</v>
      </c>
      <c r="H122" s="93">
        <v>585</v>
      </c>
      <c r="I122" s="93">
        <v>580</v>
      </c>
      <c r="J122" s="93">
        <v>590</v>
      </c>
      <c r="K122" s="93">
        <v>575</v>
      </c>
      <c r="L122" s="93">
        <v>565</v>
      </c>
      <c r="M122" s="61">
        <v>555</v>
      </c>
      <c r="N122" s="18">
        <v>565</v>
      </c>
      <c r="O122" s="61">
        <v>585</v>
      </c>
      <c r="P122" s="61">
        <v>590</v>
      </c>
      <c r="Q122" s="61">
        <v>590</v>
      </c>
    </row>
    <row r="123" spans="1:17" x14ac:dyDescent="0.2">
      <c r="A123" s="91" t="s">
        <v>270</v>
      </c>
      <c r="B123" s="92" t="s">
        <v>273</v>
      </c>
      <c r="C123" s="20" t="s">
        <v>190</v>
      </c>
      <c r="D123" s="20" t="s">
        <v>190</v>
      </c>
      <c r="E123" s="20" t="s">
        <v>190</v>
      </c>
      <c r="F123" s="20" t="s">
        <v>190</v>
      </c>
      <c r="G123" s="20" t="s">
        <v>190</v>
      </c>
      <c r="H123" s="93">
        <v>810</v>
      </c>
      <c r="I123" s="93">
        <v>810</v>
      </c>
      <c r="J123" s="93">
        <v>830</v>
      </c>
      <c r="K123" s="93">
        <v>815</v>
      </c>
      <c r="L123" s="93">
        <v>835</v>
      </c>
      <c r="M123" s="61">
        <v>850</v>
      </c>
      <c r="N123" s="18">
        <v>820</v>
      </c>
      <c r="O123" s="61">
        <v>845</v>
      </c>
      <c r="P123" s="61">
        <v>855</v>
      </c>
      <c r="Q123" s="61">
        <v>890</v>
      </c>
    </row>
    <row r="124" spans="1:17" x14ac:dyDescent="0.2">
      <c r="A124" s="91" t="s">
        <v>270</v>
      </c>
      <c r="B124" s="92" t="s">
        <v>274</v>
      </c>
      <c r="C124" s="20" t="s">
        <v>190</v>
      </c>
      <c r="D124" s="20" t="s">
        <v>190</v>
      </c>
      <c r="E124" s="20" t="s">
        <v>190</v>
      </c>
      <c r="F124" s="20" t="s">
        <v>190</v>
      </c>
      <c r="G124" s="20" t="s">
        <v>190</v>
      </c>
      <c r="H124" s="93">
        <v>880</v>
      </c>
      <c r="I124" s="93">
        <v>875</v>
      </c>
      <c r="J124" s="93">
        <v>870</v>
      </c>
      <c r="K124" s="93">
        <v>885</v>
      </c>
      <c r="L124" s="93">
        <v>865</v>
      </c>
      <c r="M124" s="61">
        <v>880</v>
      </c>
      <c r="N124" s="18">
        <v>870</v>
      </c>
      <c r="O124" s="61">
        <v>870</v>
      </c>
      <c r="P124" s="61">
        <v>855</v>
      </c>
      <c r="Q124" s="61">
        <v>865</v>
      </c>
    </row>
    <row r="125" spans="1:17" x14ac:dyDescent="0.2">
      <c r="A125" s="91" t="s">
        <v>270</v>
      </c>
      <c r="B125" s="92" t="s">
        <v>275</v>
      </c>
      <c r="C125" s="20" t="s">
        <v>190</v>
      </c>
      <c r="D125" s="20" t="s">
        <v>190</v>
      </c>
      <c r="E125" s="20" t="s">
        <v>190</v>
      </c>
      <c r="F125" s="20" t="s">
        <v>190</v>
      </c>
      <c r="G125" s="20" t="s">
        <v>190</v>
      </c>
      <c r="H125" s="93">
        <v>1255</v>
      </c>
      <c r="I125" s="93">
        <v>1230</v>
      </c>
      <c r="J125" s="93">
        <v>1235</v>
      </c>
      <c r="K125" s="93">
        <v>1265</v>
      </c>
      <c r="L125" s="93">
        <v>1270</v>
      </c>
      <c r="M125" s="61">
        <v>1245</v>
      </c>
      <c r="N125" s="18">
        <v>1230</v>
      </c>
      <c r="O125" s="61">
        <v>1260</v>
      </c>
      <c r="P125" s="61">
        <v>1265</v>
      </c>
      <c r="Q125" s="61">
        <v>1260</v>
      </c>
    </row>
    <row r="126" spans="1:17" x14ac:dyDescent="0.2">
      <c r="A126" s="91" t="s">
        <v>270</v>
      </c>
      <c r="B126" s="92" t="s">
        <v>276</v>
      </c>
      <c r="C126" s="20" t="s">
        <v>190</v>
      </c>
      <c r="D126" s="20" t="s">
        <v>190</v>
      </c>
      <c r="E126" s="20" t="s">
        <v>190</v>
      </c>
      <c r="F126" s="20" t="s">
        <v>190</v>
      </c>
      <c r="G126" s="20" t="s">
        <v>190</v>
      </c>
      <c r="H126" s="93">
        <v>305</v>
      </c>
      <c r="I126" s="93">
        <v>305</v>
      </c>
      <c r="J126" s="93">
        <v>300</v>
      </c>
      <c r="K126" s="93">
        <v>300</v>
      </c>
      <c r="L126" s="93">
        <v>310</v>
      </c>
      <c r="M126" s="61">
        <v>295</v>
      </c>
      <c r="N126" s="18">
        <v>285</v>
      </c>
      <c r="O126" s="61">
        <v>295</v>
      </c>
      <c r="P126" s="61">
        <v>285</v>
      </c>
      <c r="Q126" s="61">
        <v>290</v>
      </c>
    </row>
    <row r="127" spans="1:17" x14ac:dyDescent="0.2">
      <c r="A127" s="91" t="s">
        <v>270</v>
      </c>
      <c r="B127" s="92" t="s">
        <v>277</v>
      </c>
      <c r="C127" s="20" t="s">
        <v>190</v>
      </c>
      <c r="D127" s="20" t="s">
        <v>190</v>
      </c>
      <c r="E127" s="20" t="s">
        <v>190</v>
      </c>
      <c r="F127" s="20" t="s">
        <v>190</v>
      </c>
      <c r="G127" s="20" t="s">
        <v>190</v>
      </c>
      <c r="H127" s="93">
        <v>1270</v>
      </c>
      <c r="I127" s="93">
        <v>1310</v>
      </c>
      <c r="J127" s="93">
        <v>1340</v>
      </c>
      <c r="K127" s="93">
        <v>1355</v>
      </c>
      <c r="L127" s="93">
        <v>1340</v>
      </c>
      <c r="M127" s="61">
        <v>1340</v>
      </c>
      <c r="N127" s="18">
        <v>1385</v>
      </c>
      <c r="O127" s="61">
        <v>1425</v>
      </c>
      <c r="P127" s="61">
        <v>1425</v>
      </c>
      <c r="Q127" s="61">
        <v>1420</v>
      </c>
    </row>
    <row r="128" spans="1:17" ht="15" customHeight="1" x14ac:dyDescent="0.2">
      <c r="A128" s="91" t="s">
        <v>270</v>
      </c>
      <c r="B128" s="92" t="s">
        <v>278</v>
      </c>
      <c r="C128" s="20" t="s">
        <v>190</v>
      </c>
      <c r="D128" s="20" t="s">
        <v>190</v>
      </c>
      <c r="E128" s="20" t="s">
        <v>190</v>
      </c>
      <c r="F128" s="20" t="s">
        <v>190</v>
      </c>
      <c r="G128" s="20" t="s">
        <v>190</v>
      </c>
      <c r="H128" s="93">
        <v>225</v>
      </c>
      <c r="I128" s="93">
        <v>225</v>
      </c>
      <c r="J128" s="93">
        <v>230</v>
      </c>
      <c r="K128" s="93">
        <v>235</v>
      </c>
      <c r="L128" s="93">
        <v>240</v>
      </c>
      <c r="M128" s="61">
        <v>245</v>
      </c>
      <c r="N128" s="18">
        <v>245</v>
      </c>
      <c r="O128" s="61">
        <v>240</v>
      </c>
      <c r="P128" s="61">
        <v>245</v>
      </c>
      <c r="Q128" s="61">
        <v>235</v>
      </c>
    </row>
    <row r="129" spans="1:17" x14ac:dyDescent="0.2">
      <c r="A129" s="91" t="s">
        <v>270</v>
      </c>
      <c r="B129" s="92" t="s">
        <v>279</v>
      </c>
      <c r="C129" s="20" t="s">
        <v>190</v>
      </c>
      <c r="D129" s="20" t="s">
        <v>190</v>
      </c>
      <c r="E129" s="20" t="s">
        <v>190</v>
      </c>
      <c r="F129" s="20" t="s">
        <v>190</v>
      </c>
      <c r="G129" s="20" t="s">
        <v>190</v>
      </c>
      <c r="H129" s="93">
        <v>375</v>
      </c>
      <c r="I129" s="93">
        <v>370</v>
      </c>
      <c r="J129" s="93">
        <v>370</v>
      </c>
      <c r="K129" s="93">
        <v>390</v>
      </c>
      <c r="L129" s="93">
        <v>395</v>
      </c>
      <c r="M129" s="61">
        <v>385</v>
      </c>
      <c r="N129" s="18">
        <v>400</v>
      </c>
      <c r="O129" s="61">
        <v>405</v>
      </c>
      <c r="P129" s="61">
        <v>420</v>
      </c>
      <c r="Q129" s="61">
        <v>430</v>
      </c>
    </row>
    <row r="130" spans="1:17" ht="28.5" customHeight="1" x14ac:dyDescent="0.2">
      <c r="A130" s="91" t="s">
        <v>263</v>
      </c>
      <c r="B130" s="9" t="s">
        <v>280</v>
      </c>
      <c r="C130" s="20" t="s">
        <v>190</v>
      </c>
      <c r="D130" s="20" t="s">
        <v>190</v>
      </c>
      <c r="E130" s="20" t="s">
        <v>190</v>
      </c>
      <c r="F130" s="20" t="s">
        <v>190</v>
      </c>
      <c r="G130" s="20" t="s">
        <v>190</v>
      </c>
      <c r="H130" s="93">
        <v>21160</v>
      </c>
      <c r="I130" s="93">
        <v>21640</v>
      </c>
      <c r="J130" s="93">
        <v>22310</v>
      </c>
      <c r="K130" s="93">
        <v>22245</v>
      </c>
      <c r="L130" s="93">
        <v>22570</v>
      </c>
      <c r="M130" s="61">
        <v>22955</v>
      </c>
      <c r="N130" s="18">
        <v>23260</v>
      </c>
      <c r="O130" s="61">
        <v>23335</v>
      </c>
      <c r="P130" s="61">
        <v>23140</v>
      </c>
      <c r="Q130" s="61">
        <v>23045</v>
      </c>
    </row>
    <row r="131" spans="1:17" x14ac:dyDescent="0.2">
      <c r="A131" s="91" t="s">
        <v>263</v>
      </c>
      <c r="B131" s="92" t="s">
        <v>264</v>
      </c>
      <c r="C131" s="20" t="s">
        <v>190</v>
      </c>
      <c r="D131" s="20" t="s">
        <v>190</v>
      </c>
      <c r="E131" s="20" t="s">
        <v>190</v>
      </c>
      <c r="F131" s="20" t="s">
        <v>190</v>
      </c>
      <c r="G131" s="20" t="s">
        <v>190</v>
      </c>
      <c r="H131" s="93">
        <v>28525</v>
      </c>
      <c r="I131" s="93">
        <v>29155</v>
      </c>
      <c r="J131" s="93">
        <v>29480</v>
      </c>
      <c r="K131" s="93">
        <v>29410</v>
      </c>
      <c r="L131" s="93">
        <v>29930</v>
      </c>
      <c r="M131" s="61">
        <v>30320</v>
      </c>
      <c r="N131" s="18">
        <v>30170</v>
      </c>
      <c r="O131" s="61">
        <v>30160</v>
      </c>
      <c r="P131" s="61">
        <v>29845</v>
      </c>
      <c r="Q131" s="61">
        <v>29865</v>
      </c>
    </row>
    <row r="132" spans="1:17" x14ac:dyDescent="0.2">
      <c r="A132" s="91" t="s">
        <v>263</v>
      </c>
      <c r="B132" s="92" t="s">
        <v>265</v>
      </c>
      <c r="C132" s="20" t="s">
        <v>190</v>
      </c>
      <c r="D132" s="20" t="s">
        <v>190</v>
      </c>
      <c r="E132" s="20" t="s">
        <v>190</v>
      </c>
      <c r="F132" s="20" t="s">
        <v>190</v>
      </c>
      <c r="G132" s="20" t="s">
        <v>190</v>
      </c>
      <c r="H132" s="93">
        <v>42300</v>
      </c>
      <c r="I132" s="93">
        <v>42880</v>
      </c>
      <c r="J132" s="93">
        <v>43285</v>
      </c>
      <c r="K132" s="93">
        <v>43485</v>
      </c>
      <c r="L132" s="93">
        <v>43965</v>
      </c>
      <c r="M132" s="61">
        <v>43990</v>
      </c>
      <c r="N132" s="18">
        <v>43430</v>
      </c>
      <c r="O132" s="61">
        <v>43475</v>
      </c>
      <c r="P132" s="61">
        <v>43610</v>
      </c>
      <c r="Q132" s="61">
        <v>43930</v>
      </c>
    </row>
    <row r="133" spans="1:17" x14ac:dyDescent="0.2">
      <c r="A133" s="91" t="s">
        <v>263</v>
      </c>
      <c r="B133" s="92" t="s">
        <v>266</v>
      </c>
      <c r="C133" s="20" t="s">
        <v>190</v>
      </c>
      <c r="D133" s="20" t="s">
        <v>190</v>
      </c>
      <c r="E133" s="20" t="s">
        <v>190</v>
      </c>
      <c r="F133" s="20" t="s">
        <v>190</v>
      </c>
      <c r="G133" s="20" t="s">
        <v>190</v>
      </c>
      <c r="H133" s="93">
        <v>47535</v>
      </c>
      <c r="I133" s="93">
        <v>48690</v>
      </c>
      <c r="J133" s="93">
        <v>49545</v>
      </c>
      <c r="K133" s="93">
        <v>49760</v>
      </c>
      <c r="L133" s="93">
        <v>50315</v>
      </c>
      <c r="M133" s="61">
        <v>50390</v>
      </c>
      <c r="N133" s="18">
        <v>49690</v>
      </c>
      <c r="O133" s="61">
        <v>48955</v>
      </c>
      <c r="P133" s="61">
        <v>48555</v>
      </c>
      <c r="Q133" s="61">
        <v>49225</v>
      </c>
    </row>
    <row r="134" spans="1:17" x14ac:dyDescent="0.2">
      <c r="A134" s="91" t="s">
        <v>263</v>
      </c>
      <c r="B134" s="92" t="s">
        <v>281</v>
      </c>
      <c r="C134" s="20" t="s">
        <v>190</v>
      </c>
      <c r="D134" s="20" t="s">
        <v>190</v>
      </c>
      <c r="E134" s="20" t="s">
        <v>190</v>
      </c>
      <c r="F134" s="20" t="s">
        <v>190</v>
      </c>
      <c r="G134" s="20" t="s">
        <v>190</v>
      </c>
      <c r="H134" s="93">
        <v>38265</v>
      </c>
      <c r="I134" s="93">
        <v>39080</v>
      </c>
      <c r="J134" s="93">
        <v>39190</v>
      </c>
      <c r="K134" s="93">
        <v>38890</v>
      </c>
      <c r="L134" s="93">
        <v>39540</v>
      </c>
      <c r="M134" s="61">
        <v>39360</v>
      </c>
      <c r="N134" s="18">
        <v>37950</v>
      </c>
      <c r="O134" s="61">
        <v>36520</v>
      </c>
      <c r="P134" s="61">
        <v>35435</v>
      </c>
      <c r="Q134" s="61">
        <v>35185</v>
      </c>
    </row>
  </sheetData>
  <phoneticPr fontId="44" type="noConversion"/>
  <hyperlinks>
    <hyperlink ref="A11" location="Contents!A1" display="This cell contains a hyperlink to the Table of Contents" xr:uid="{00000000-0004-0000-0400-000000000000}"/>
    <hyperlink ref="A8" r:id="rId1" xr:uid="{58D66FCD-9E65-4236-963F-22171C42F1DC}"/>
    <hyperlink ref="A9" r:id="rId2" xr:uid="{507B9E00-2735-4D44-BCB4-3D817CA1E634}"/>
  </hyperlinks>
  <pageMargins left="0.7" right="0.7" top="0.75" bottom="0.75" header="0.3" footer="0.3"/>
  <pageSetup paperSize="9" scale="30" orientation="portrait"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BB43A-637D-46AB-988F-2594CC96A2D6}">
  <sheetPr>
    <pageSetUpPr fitToPage="1"/>
  </sheetPr>
  <dimension ref="A1:Q134"/>
  <sheetViews>
    <sheetView showGridLines="0" zoomScaleNormal="100" workbookViewId="0"/>
  </sheetViews>
  <sheetFormatPr defaultColWidth="9.140625" defaultRowHeight="15" x14ac:dyDescent="0.2"/>
  <cols>
    <col min="1" max="1" width="61.42578125" style="13" customWidth="1"/>
    <col min="2" max="2" width="54.42578125" style="9" customWidth="1"/>
    <col min="3" max="12" width="11.42578125" style="14" bestFit="1" customWidth="1"/>
    <col min="13" max="17" width="11.42578125" style="13" customWidth="1"/>
    <col min="18" max="16384" width="9.140625" style="13"/>
  </cols>
  <sheetData>
    <row r="1" spans="1:17" ht="20.25" x14ac:dyDescent="0.3">
      <c r="A1" s="22" t="s">
        <v>292</v>
      </c>
      <c r="B1" s="13"/>
    </row>
    <row r="2" spans="1:17" x14ac:dyDescent="0.2">
      <c r="A2" s="9" t="s">
        <v>152</v>
      </c>
      <c r="B2" s="13"/>
    </row>
    <row r="3" spans="1:17" x14ac:dyDescent="0.2">
      <c r="A3" s="9" t="s">
        <v>233</v>
      </c>
      <c r="B3" s="13"/>
      <c r="C3" s="15"/>
      <c r="D3" s="15"/>
      <c r="E3" s="15"/>
      <c r="F3" s="15"/>
      <c r="G3" s="15"/>
      <c r="M3" s="14"/>
      <c r="N3" s="14"/>
      <c r="O3" s="14"/>
      <c r="P3" s="14"/>
      <c r="Q3" s="14"/>
    </row>
    <row r="4" spans="1:17" x14ac:dyDescent="0.2">
      <c r="A4" s="9" t="s">
        <v>297</v>
      </c>
      <c r="B4" s="13"/>
    </row>
    <row r="5" spans="1:17" x14ac:dyDescent="0.2">
      <c r="A5" s="9" t="s">
        <v>302</v>
      </c>
      <c r="B5" s="13"/>
    </row>
    <row r="6" spans="1:17" x14ac:dyDescent="0.2">
      <c r="A6" s="9" t="s">
        <v>191</v>
      </c>
      <c r="B6" s="13"/>
    </row>
    <row r="7" spans="1:17" ht="15" customHeight="1" x14ac:dyDescent="0.2">
      <c r="A7" s="9" t="s">
        <v>339</v>
      </c>
      <c r="B7" s="13"/>
    </row>
    <row r="8" spans="1:17" x14ac:dyDescent="0.2">
      <c r="A8" s="3" t="s">
        <v>340</v>
      </c>
      <c r="B8" s="13"/>
    </row>
    <row r="9" spans="1:17" x14ac:dyDescent="0.2">
      <c r="A9" s="3" t="s">
        <v>341</v>
      </c>
      <c r="B9" s="13"/>
    </row>
    <row r="10" spans="1:17" s="27" customFormat="1" x14ac:dyDescent="0.25">
      <c r="A10" s="26" t="s">
        <v>338</v>
      </c>
      <c r="C10" s="28"/>
      <c r="D10" s="28"/>
      <c r="E10" s="28"/>
      <c r="F10" s="28"/>
      <c r="G10" s="28"/>
      <c r="H10" s="28"/>
      <c r="I10" s="28"/>
      <c r="J10" s="28"/>
      <c r="K10" s="28"/>
      <c r="L10" s="28"/>
    </row>
    <row r="11" spans="1:17" s="27" customFormat="1" ht="24.6" customHeight="1" x14ac:dyDescent="0.25">
      <c r="A11" s="35" t="s">
        <v>232</v>
      </c>
      <c r="C11" s="39"/>
      <c r="D11" s="28"/>
      <c r="E11" s="28"/>
      <c r="F11" s="28"/>
      <c r="G11" s="28"/>
      <c r="H11" s="28"/>
      <c r="I11" s="28"/>
      <c r="J11" s="28"/>
      <c r="K11" s="28"/>
      <c r="L11" s="28"/>
    </row>
    <row r="12" spans="1:17" ht="15.75" customHeight="1" x14ac:dyDescent="0.2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80" t="s">
        <v>257</v>
      </c>
      <c r="P12" s="80" t="s">
        <v>316</v>
      </c>
      <c r="Q12" s="80" t="s">
        <v>337</v>
      </c>
    </row>
    <row r="13" spans="1:17" x14ac:dyDescent="0.2">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18" t="s">
        <v>190</v>
      </c>
      <c r="P13" s="18" t="s">
        <v>190</v>
      </c>
      <c r="Q13" s="18" t="s">
        <v>190</v>
      </c>
    </row>
    <row r="14" spans="1:17" x14ac:dyDescent="0.2">
      <c r="A14" s="16" t="s">
        <v>178</v>
      </c>
      <c r="B14" s="17" t="s">
        <v>1</v>
      </c>
      <c r="C14" s="18">
        <v>149130</v>
      </c>
      <c r="D14" s="18">
        <v>148505</v>
      </c>
      <c r="E14" s="18">
        <v>153695</v>
      </c>
      <c r="F14" s="18">
        <v>154080</v>
      </c>
      <c r="G14" s="18">
        <v>160450</v>
      </c>
      <c r="H14" s="18">
        <v>164170</v>
      </c>
      <c r="I14" s="18">
        <v>167710</v>
      </c>
      <c r="J14" s="18">
        <v>170180</v>
      </c>
      <c r="K14" s="18">
        <v>169990</v>
      </c>
      <c r="L14" s="18">
        <v>172370</v>
      </c>
      <c r="M14" s="18">
        <v>172965</v>
      </c>
      <c r="N14" s="18">
        <v>170890</v>
      </c>
      <c r="O14" s="18">
        <v>169000</v>
      </c>
      <c r="P14" s="18">
        <v>167115</v>
      </c>
      <c r="Q14" s="18">
        <v>167710</v>
      </c>
    </row>
    <row r="15" spans="1:17" ht="35.450000000000003" customHeight="1" x14ac:dyDescent="0.2">
      <c r="A15" s="17" t="s">
        <v>179</v>
      </c>
      <c r="B15" s="17" t="s">
        <v>35</v>
      </c>
      <c r="C15" s="18">
        <v>19470</v>
      </c>
      <c r="D15" s="18">
        <v>19935</v>
      </c>
      <c r="E15" s="18">
        <v>20880</v>
      </c>
      <c r="F15" s="18">
        <v>21475</v>
      </c>
      <c r="G15" s="18">
        <v>22400</v>
      </c>
      <c r="H15" s="18">
        <v>22810</v>
      </c>
      <c r="I15" s="18">
        <v>22655</v>
      </c>
      <c r="J15" s="18">
        <v>22245</v>
      </c>
      <c r="K15" s="18">
        <v>21895</v>
      </c>
      <c r="L15" s="18">
        <v>22095</v>
      </c>
      <c r="M15" s="18">
        <v>21940</v>
      </c>
      <c r="N15" s="18">
        <v>21285</v>
      </c>
      <c r="O15" s="18">
        <v>20470</v>
      </c>
      <c r="P15" s="18">
        <v>19795</v>
      </c>
      <c r="Q15" s="18">
        <v>19875</v>
      </c>
    </row>
    <row r="16" spans="1:17" x14ac:dyDescent="0.2">
      <c r="A16" s="16" t="s">
        <v>179</v>
      </c>
      <c r="B16" s="17" t="s">
        <v>36</v>
      </c>
      <c r="C16" s="18">
        <v>39445</v>
      </c>
      <c r="D16" s="18">
        <v>39120</v>
      </c>
      <c r="E16" s="18">
        <v>40645</v>
      </c>
      <c r="F16" s="18">
        <v>40545</v>
      </c>
      <c r="G16" s="18">
        <v>42595</v>
      </c>
      <c r="H16" s="18">
        <v>43860</v>
      </c>
      <c r="I16" s="18">
        <v>45575</v>
      </c>
      <c r="J16" s="18">
        <v>47085</v>
      </c>
      <c r="K16" s="18">
        <v>47210</v>
      </c>
      <c r="L16" s="18">
        <v>48075</v>
      </c>
      <c r="M16" s="18">
        <v>48690</v>
      </c>
      <c r="N16" s="18">
        <v>48695</v>
      </c>
      <c r="O16" s="18">
        <v>48605</v>
      </c>
      <c r="P16" s="18">
        <v>48215</v>
      </c>
      <c r="Q16" s="18">
        <v>48435</v>
      </c>
    </row>
    <row r="17" spans="1:17" x14ac:dyDescent="0.2">
      <c r="A17" s="16" t="s">
        <v>179</v>
      </c>
      <c r="B17" s="17" t="s">
        <v>37</v>
      </c>
      <c r="C17" s="18">
        <v>35490</v>
      </c>
      <c r="D17" s="18">
        <v>35360</v>
      </c>
      <c r="E17" s="18">
        <v>36665</v>
      </c>
      <c r="F17" s="18">
        <v>36905</v>
      </c>
      <c r="G17" s="18">
        <v>38695</v>
      </c>
      <c r="H17" s="18">
        <v>39730</v>
      </c>
      <c r="I17" s="18">
        <v>41130</v>
      </c>
      <c r="J17" s="18">
        <v>42110</v>
      </c>
      <c r="K17" s="18">
        <v>42405</v>
      </c>
      <c r="L17" s="18">
        <v>43265</v>
      </c>
      <c r="M17" s="18">
        <v>43535</v>
      </c>
      <c r="N17" s="18">
        <v>42410</v>
      </c>
      <c r="O17" s="18">
        <v>41480</v>
      </c>
      <c r="P17" s="18">
        <v>41045</v>
      </c>
      <c r="Q17" s="18">
        <v>41185</v>
      </c>
    </row>
    <row r="18" spans="1:17" x14ac:dyDescent="0.2">
      <c r="A18" s="16" t="s">
        <v>179</v>
      </c>
      <c r="B18" s="17" t="s">
        <v>236</v>
      </c>
      <c r="C18" s="18">
        <v>7665</v>
      </c>
      <c r="D18" s="18">
        <v>7660</v>
      </c>
      <c r="E18" s="18">
        <v>7860</v>
      </c>
      <c r="F18" s="18">
        <v>7860</v>
      </c>
      <c r="G18" s="18">
        <v>8210</v>
      </c>
      <c r="H18" s="18">
        <v>8415</v>
      </c>
      <c r="I18" s="18">
        <v>8600</v>
      </c>
      <c r="J18" s="18">
        <v>8600</v>
      </c>
      <c r="K18" s="18">
        <v>8500</v>
      </c>
      <c r="L18" s="18">
        <v>8530</v>
      </c>
      <c r="M18" s="18">
        <v>8555</v>
      </c>
      <c r="N18" s="18">
        <v>8435</v>
      </c>
      <c r="O18" s="18">
        <v>8300</v>
      </c>
      <c r="P18" s="18">
        <v>8240</v>
      </c>
      <c r="Q18" s="18">
        <v>8255</v>
      </c>
    </row>
    <row r="19" spans="1:17" x14ac:dyDescent="0.2">
      <c r="A19" s="16" t="s">
        <v>179</v>
      </c>
      <c r="B19" s="17" t="s">
        <v>38</v>
      </c>
      <c r="C19" s="18">
        <v>20185</v>
      </c>
      <c r="D19" s="18">
        <v>19885</v>
      </c>
      <c r="E19" s="18">
        <v>20490</v>
      </c>
      <c r="F19" s="18">
        <v>20420</v>
      </c>
      <c r="G19" s="18">
        <v>21185</v>
      </c>
      <c r="H19" s="18">
        <v>21740</v>
      </c>
      <c r="I19" s="18">
        <v>21990</v>
      </c>
      <c r="J19" s="18">
        <v>22500</v>
      </c>
      <c r="K19" s="18">
        <v>22635</v>
      </c>
      <c r="L19" s="18">
        <v>22800</v>
      </c>
      <c r="M19" s="18">
        <v>22900</v>
      </c>
      <c r="N19" s="18">
        <v>22545</v>
      </c>
      <c r="O19" s="18">
        <v>22190</v>
      </c>
      <c r="P19" s="18">
        <v>22190</v>
      </c>
      <c r="Q19" s="18">
        <v>21915</v>
      </c>
    </row>
    <row r="20" spans="1:17" x14ac:dyDescent="0.2">
      <c r="A20" s="16" t="s">
        <v>179</v>
      </c>
      <c r="B20" s="17" t="s">
        <v>121</v>
      </c>
      <c r="C20" s="18">
        <v>20630</v>
      </c>
      <c r="D20" s="18">
        <v>20435</v>
      </c>
      <c r="E20" s="18">
        <v>20970</v>
      </c>
      <c r="F20" s="18">
        <v>20885</v>
      </c>
      <c r="G20" s="18">
        <v>21295</v>
      </c>
      <c r="H20" s="18">
        <v>21525</v>
      </c>
      <c r="I20" s="18">
        <v>21730</v>
      </c>
      <c r="J20" s="18">
        <v>21715</v>
      </c>
      <c r="K20" s="18">
        <v>21730</v>
      </c>
      <c r="L20" s="18">
        <v>21940</v>
      </c>
      <c r="M20" s="18">
        <v>21790</v>
      </c>
      <c r="N20" s="18">
        <v>21700</v>
      </c>
      <c r="O20" s="18">
        <v>21825</v>
      </c>
      <c r="P20" s="18">
        <v>21720</v>
      </c>
      <c r="Q20" s="18">
        <v>21795</v>
      </c>
    </row>
    <row r="21" spans="1:17" x14ac:dyDescent="0.2">
      <c r="A21" s="16" t="s">
        <v>179</v>
      </c>
      <c r="B21" s="17" t="s">
        <v>39</v>
      </c>
      <c r="C21" s="18">
        <v>8975</v>
      </c>
      <c r="D21" s="18">
        <v>8805</v>
      </c>
      <c r="E21" s="18">
        <v>9060</v>
      </c>
      <c r="F21" s="18">
        <v>8920</v>
      </c>
      <c r="G21" s="18">
        <v>9230</v>
      </c>
      <c r="H21" s="18">
        <v>9475</v>
      </c>
      <c r="I21" s="18">
        <v>9660</v>
      </c>
      <c r="J21" s="18">
        <v>9920</v>
      </c>
      <c r="K21" s="18">
        <v>9775</v>
      </c>
      <c r="L21" s="18">
        <v>9840</v>
      </c>
      <c r="M21" s="18">
        <v>9850</v>
      </c>
      <c r="N21" s="18">
        <v>9805</v>
      </c>
      <c r="O21" s="18">
        <v>9605</v>
      </c>
      <c r="P21" s="18">
        <v>9545</v>
      </c>
      <c r="Q21" s="18">
        <v>9495</v>
      </c>
    </row>
    <row r="22" spans="1:17" x14ac:dyDescent="0.2">
      <c r="A22" s="16" t="s">
        <v>179</v>
      </c>
      <c r="B22" s="17" t="s">
        <v>40</v>
      </c>
      <c r="C22" s="18">
        <v>11220</v>
      </c>
      <c r="D22" s="18">
        <v>11100</v>
      </c>
      <c r="E22" s="18">
        <v>11240</v>
      </c>
      <c r="F22" s="18">
        <v>11045</v>
      </c>
      <c r="G22" s="18">
        <v>11340</v>
      </c>
      <c r="H22" s="18">
        <v>11315</v>
      </c>
      <c r="I22" s="18">
        <v>11260</v>
      </c>
      <c r="J22" s="18">
        <v>11230</v>
      </c>
      <c r="K22" s="18">
        <v>11205</v>
      </c>
      <c r="L22" s="18">
        <v>11245</v>
      </c>
      <c r="M22" s="18">
        <v>11170</v>
      </c>
      <c r="N22" s="18">
        <v>11115</v>
      </c>
      <c r="O22" s="18">
        <v>11260</v>
      </c>
      <c r="P22" s="18">
        <v>11260</v>
      </c>
      <c r="Q22" s="18">
        <v>11200</v>
      </c>
    </row>
    <row r="23" spans="1:17" ht="36.6" customHeight="1" x14ac:dyDescent="0.2">
      <c r="A23" s="17" t="s">
        <v>180</v>
      </c>
      <c r="B23" s="17" t="s">
        <v>41</v>
      </c>
      <c r="C23" s="18">
        <v>7635</v>
      </c>
      <c r="D23" s="18">
        <v>7545</v>
      </c>
      <c r="E23" s="18">
        <v>7730</v>
      </c>
      <c r="F23" s="18">
        <v>7670</v>
      </c>
      <c r="G23" s="18">
        <v>7815</v>
      </c>
      <c r="H23" s="18">
        <v>7880</v>
      </c>
      <c r="I23" s="18">
        <v>7880</v>
      </c>
      <c r="J23" s="18">
        <v>7955</v>
      </c>
      <c r="K23" s="18">
        <v>7950</v>
      </c>
      <c r="L23" s="18">
        <v>7940</v>
      </c>
      <c r="M23" s="18">
        <v>7915</v>
      </c>
      <c r="N23" s="18">
        <v>7950</v>
      </c>
      <c r="O23" s="18">
        <v>8105</v>
      </c>
      <c r="P23" s="18">
        <v>8100</v>
      </c>
      <c r="Q23" s="18">
        <v>8080</v>
      </c>
    </row>
    <row r="24" spans="1:17" x14ac:dyDescent="0.2">
      <c r="A24" s="16" t="s">
        <v>180</v>
      </c>
      <c r="B24" s="17" t="s">
        <v>42</v>
      </c>
      <c r="C24" s="18">
        <v>55440</v>
      </c>
      <c r="D24" s="18">
        <v>55245</v>
      </c>
      <c r="E24" s="18">
        <v>56695</v>
      </c>
      <c r="F24" s="18">
        <v>56650</v>
      </c>
      <c r="G24" s="18">
        <v>58240</v>
      </c>
      <c r="H24" s="18">
        <v>59015</v>
      </c>
      <c r="I24" s="18">
        <v>59515</v>
      </c>
      <c r="J24" s="18">
        <v>59545</v>
      </c>
      <c r="K24" s="18">
        <v>59310</v>
      </c>
      <c r="L24" s="18">
        <v>59780</v>
      </c>
      <c r="M24" s="18">
        <v>59420</v>
      </c>
      <c r="N24" s="18">
        <v>58715</v>
      </c>
      <c r="O24" s="18">
        <v>58400</v>
      </c>
      <c r="P24" s="18">
        <v>57625</v>
      </c>
      <c r="Q24" s="18">
        <v>57685</v>
      </c>
    </row>
    <row r="25" spans="1:17" x14ac:dyDescent="0.2">
      <c r="A25" s="16" t="s">
        <v>180</v>
      </c>
      <c r="B25" s="17" t="s">
        <v>43</v>
      </c>
      <c r="C25" s="18">
        <v>48425</v>
      </c>
      <c r="D25" s="18">
        <v>47900</v>
      </c>
      <c r="E25" s="18">
        <v>49610</v>
      </c>
      <c r="F25" s="18">
        <v>49525</v>
      </c>
      <c r="G25" s="18">
        <v>51925</v>
      </c>
      <c r="H25" s="18">
        <v>53360</v>
      </c>
      <c r="I25" s="18">
        <v>55060</v>
      </c>
      <c r="J25" s="18">
        <v>56445</v>
      </c>
      <c r="K25" s="18">
        <v>56320</v>
      </c>
      <c r="L25" s="18">
        <v>56995</v>
      </c>
      <c r="M25" s="18">
        <v>57350</v>
      </c>
      <c r="N25" s="18">
        <v>56745</v>
      </c>
      <c r="O25" s="18">
        <v>55730</v>
      </c>
      <c r="P25" s="18">
        <v>55225</v>
      </c>
      <c r="Q25" s="18">
        <v>55400</v>
      </c>
    </row>
    <row r="26" spans="1:17" x14ac:dyDescent="0.2">
      <c r="A26" s="16" t="s">
        <v>180</v>
      </c>
      <c r="B26" s="17" t="s">
        <v>44</v>
      </c>
      <c r="C26" s="18">
        <v>38615</v>
      </c>
      <c r="D26" s="18">
        <v>38785</v>
      </c>
      <c r="E26" s="18">
        <v>40605</v>
      </c>
      <c r="F26" s="18">
        <v>41175</v>
      </c>
      <c r="G26" s="18">
        <v>43425</v>
      </c>
      <c r="H26" s="18">
        <v>44850</v>
      </c>
      <c r="I26" s="18">
        <v>46170</v>
      </c>
      <c r="J26" s="18">
        <v>47135</v>
      </c>
      <c r="K26" s="18">
        <v>47280</v>
      </c>
      <c r="L26" s="18">
        <v>48535</v>
      </c>
      <c r="M26" s="18">
        <v>49160</v>
      </c>
      <c r="N26" s="18">
        <v>48350</v>
      </c>
      <c r="O26" s="18">
        <v>47625</v>
      </c>
      <c r="P26" s="18">
        <v>47015</v>
      </c>
      <c r="Q26" s="18">
        <v>47360</v>
      </c>
    </row>
    <row r="27" spans="1:17" ht="28.5" customHeight="1" x14ac:dyDescent="0.2">
      <c r="A27" s="17" t="s">
        <v>181</v>
      </c>
      <c r="B27" s="17" t="s">
        <v>45</v>
      </c>
      <c r="C27" s="18">
        <v>20630</v>
      </c>
      <c r="D27" s="18">
        <v>20435</v>
      </c>
      <c r="E27" s="18">
        <v>20970</v>
      </c>
      <c r="F27" s="18">
        <v>20885</v>
      </c>
      <c r="G27" s="18">
        <v>21295</v>
      </c>
      <c r="H27" s="18">
        <v>21525</v>
      </c>
      <c r="I27" s="18">
        <v>21730</v>
      </c>
      <c r="J27" s="18">
        <v>21715</v>
      </c>
      <c r="K27" s="18">
        <v>21730</v>
      </c>
      <c r="L27" s="18">
        <v>21940</v>
      </c>
      <c r="M27" s="18">
        <v>21790</v>
      </c>
      <c r="N27" s="18">
        <v>21700</v>
      </c>
      <c r="O27" s="18">
        <v>21825</v>
      </c>
      <c r="P27" s="18">
        <v>21720</v>
      </c>
      <c r="Q27" s="18">
        <v>21795</v>
      </c>
    </row>
    <row r="28" spans="1:17" x14ac:dyDescent="0.2">
      <c r="A28" s="16" t="s">
        <v>181</v>
      </c>
      <c r="B28" s="17" t="s">
        <v>120</v>
      </c>
      <c r="C28" s="18">
        <v>11220</v>
      </c>
      <c r="D28" s="18">
        <v>11100</v>
      </c>
      <c r="E28" s="18">
        <v>11240</v>
      </c>
      <c r="F28" s="18">
        <v>11045</v>
      </c>
      <c r="G28" s="18">
        <v>11340</v>
      </c>
      <c r="H28" s="18">
        <v>11315</v>
      </c>
      <c r="I28" s="18">
        <v>11260</v>
      </c>
      <c r="J28" s="18">
        <v>11230</v>
      </c>
      <c r="K28" s="18">
        <v>11205</v>
      </c>
      <c r="L28" s="18">
        <v>11245</v>
      </c>
      <c r="M28" s="18">
        <v>11170</v>
      </c>
      <c r="N28" s="18">
        <v>11115</v>
      </c>
      <c r="O28" s="18">
        <v>11260</v>
      </c>
      <c r="P28" s="18">
        <v>11180</v>
      </c>
      <c r="Q28" s="18">
        <v>11200</v>
      </c>
    </row>
    <row r="29" spans="1:17" x14ac:dyDescent="0.2">
      <c r="A29" s="16" t="s">
        <v>181</v>
      </c>
      <c r="B29" s="17" t="s">
        <v>46</v>
      </c>
      <c r="C29" s="18">
        <v>117555</v>
      </c>
      <c r="D29" s="18">
        <v>117250</v>
      </c>
      <c r="E29" s="18">
        <v>121755</v>
      </c>
      <c r="F29" s="18">
        <v>122405</v>
      </c>
      <c r="G29" s="18">
        <v>128085</v>
      </c>
      <c r="H29" s="18">
        <v>131585</v>
      </c>
      <c r="I29" s="18">
        <v>134975</v>
      </c>
      <c r="J29" s="18">
        <v>137505</v>
      </c>
      <c r="K29" s="18">
        <v>137325</v>
      </c>
      <c r="L29" s="18">
        <v>139460</v>
      </c>
      <c r="M29" s="18">
        <v>140275</v>
      </c>
      <c r="N29" s="18">
        <v>138340</v>
      </c>
      <c r="O29" s="18">
        <v>136175</v>
      </c>
      <c r="P29" s="18">
        <v>134465</v>
      </c>
      <c r="Q29" s="18">
        <v>134940</v>
      </c>
    </row>
    <row r="30" spans="1:17" ht="30" customHeight="1" x14ac:dyDescent="0.2">
      <c r="A30" s="17" t="s">
        <v>47</v>
      </c>
      <c r="B30" s="17" t="s">
        <v>22</v>
      </c>
      <c r="C30" s="19">
        <v>7230</v>
      </c>
      <c r="D30" s="19">
        <v>7460</v>
      </c>
      <c r="E30" s="19">
        <v>7940</v>
      </c>
      <c r="F30" s="19">
        <v>8280</v>
      </c>
      <c r="G30" s="19">
        <v>8760</v>
      </c>
      <c r="H30" s="19">
        <v>8940</v>
      </c>
      <c r="I30" s="19">
        <v>8785</v>
      </c>
      <c r="J30" s="19">
        <v>8515</v>
      </c>
      <c r="K30" s="19">
        <v>8325</v>
      </c>
      <c r="L30" s="19">
        <v>8435</v>
      </c>
      <c r="M30" s="18">
        <v>8340</v>
      </c>
      <c r="N30" s="18">
        <v>8060</v>
      </c>
      <c r="O30" s="18">
        <v>7635</v>
      </c>
      <c r="P30" s="18">
        <v>7445</v>
      </c>
      <c r="Q30" s="18">
        <v>7610</v>
      </c>
    </row>
    <row r="31" spans="1:17" x14ac:dyDescent="0.2">
      <c r="A31" s="16" t="s">
        <v>47</v>
      </c>
      <c r="B31" s="17" t="s">
        <v>23</v>
      </c>
      <c r="C31" s="19">
        <v>12315</v>
      </c>
      <c r="D31" s="19">
        <v>12550</v>
      </c>
      <c r="E31" s="19">
        <v>13015</v>
      </c>
      <c r="F31" s="19">
        <v>13275</v>
      </c>
      <c r="G31" s="19">
        <v>13720</v>
      </c>
      <c r="H31" s="19">
        <v>13945</v>
      </c>
      <c r="I31" s="19">
        <v>13935</v>
      </c>
      <c r="J31" s="19">
        <v>13805</v>
      </c>
      <c r="K31" s="19">
        <v>13645</v>
      </c>
      <c r="L31" s="19">
        <v>13730</v>
      </c>
      <c r="M31" s="18">
        <v>13660</v>
      </c>
      <c r="N31" s="18">
        <v>13285</v>
      </c>
      <c r="O31" s="18">
        <v>12895</v>
      </c>
      <c r="P31" s="18">
        <v>12410</v>
      </c>
      <c r="Q31" s="18">
        <v>12325</v>
      </c>
    </row>
    <row r="32" spans="1:17" x14ac:dyDescent="0.2">
      <c r="A32" s="16" t="s">
        <v>47</v>
      </c>
      <c r="B32" s="17" t="s">
        <v>29</v>
      </c>
      <c r="C32" s="19">
        <v>3550</v>
      </c>
      <c r="D32" s="19">
        <v>3540</v>
      </c>
      <c r="E32" s="19">
        <v>3650</v>
      </c>
      <c r="F32" s="19">
        <v>3640</v>
      </c>
      <c r="G32" s="19">
        <v>3760</v>
      </c>
      <c r="H32" s="19">
        <v>3845</v>
      </c>
      <c r="I32" s="19">
        <v>3880</v>
      </c>
      <c r="J32" s="19">
        <v>3875</v>
      </c>
      <c r="K32" s="19">
        <v>3875</v>
      </c>
      <c r="L32" s="19">
        <v>3890</v>
      </c>
      <c r="M32" s="18">
        <v>3880</v>
      </c>
      <c r="N32" s="18">
        <v>3840</v>
      </c>
      <c r="O32" s="18">
        <v>3830</v>
      </c>
      <c r="P32" s="18">
        <v>3750</v>
      </c>
      <c r="Q32" s="18">
        <v>3710</v>
      </c>
    </row>
    <row r="33" spans="1:17" x14ac:dyDescent="0.2">
      <c r="A33" s="16" t="s">
        <v>47</v>
      </c>
      <c r="B33" s="17" t="s">
        <v>24</v>
      </c>
      <c r="C33" s="19">
        <v>3840</v>
      </c>
      <c r="D33" s="19">
        <v>3800</v>
      </c>
      <c r="E33" s="19">
        <v>3870</v>
      </c>
      <c r="F33" s="19">
        <v>3815</v>
      </c>
      <c r="G33" s="19">
        <v>3870</v>
      </c>
      <c r="H33" s="19">
        <v>3835</v>
      </c>
      <c r="I33" s="19">
        <v>3825</v>
      </c>
      <c r="J33" s="19">
        <v>3865</v>
      </c>
      <c r="K33" s="19">
        <v>3790</v>
      </c>
      <c r="L33" s="19">
        <v>3780</v>
      </c>
      <c r="M33" s="18">
        <v>3795</v>
      </c>
      <c r="N33" s="18">
        <v>3800</v>
      </c>
      <c r="O33" s="18">
        <v>3890</v>
      </c>
      <c r="P33" s="18">
        <v>3870</v>
      </c>
      <c r="Q33" s="18">
        <v>3845</v>
      </c>
    </row>
    <row r="34" spans="1:17" x14ac:dyDescent="0.2">
      <c r="A34" s="16" t="s">
        <v>47</v>
      </c>
      <c r="B34" s="17" t="s">
        <v>25</v>
      </c>
      <c r="C34" s="19">
        <v>14230</v>
      </c>
      <c r="D34" s="19">
        <v>14315</v>
      </c>
      <c r="E34" s="19">
        <v>15005</v>
      </c>
      <c r="F34" s="19">
        <v>15250</v>
      </c>
      <c r="G34" s="19">
        <v>16135</v>
      </c>
      <c r="H34" s="19">
        <v>16730</v>
      </c>
      <c r="I34" s="19">
        <v>17530</v>
      </c>
      <c r="J34" s="19">
        <v>17955</v>
      </c>
      <c r="K34" s="19">
        <v>18045</v>
      </c>
      <c r="L34" s="19">
        <v>18620</v>
      </c>
      <c r="M34" s="18">
        <v>18820</v>
      </c>
      <c r="N34" s="18">
        <v>18155</v>
      </c>
      <c r="O34" s="18">
        <v>17660</v>
      </c>
      <c r="P34" s="18">
        <v>17405</v>
      </c>
      <c r="Q34" s="18">
        <v>17440</v>
      </c>
    </row>
    <row r="35" spans="1:17" x14ac:dyDescent="0.2">
      <c r="A35" s="16" t="s">
        <v>47</v>
      </c>
      <c r="B35" s="17" t="s">
        <v>2</v>
      </c>
      <c r="C35" s="19">
        <v>1035</v>
      </c>
      <c r="D35" s="19">
        <v>1025</v>
      </c>
      <c r="E35" s="19">
        <v>1035</v>
      </c>
      <c r="F35" s="19">
        <v>1010</v>
      </c>
      <c r="G35" s="19">
        <v>1080</v>
      </c>
      <c r="H35" s="19">
        <v>1120</v>
      </c>
      <c r="I35" s="19">
        <v>1135</v>
      </c>
      <c r="J35" s="19">
        <v>1130</v>
      </c>
      <c r="K35" s="19">
        <v>1120</v>
      </c>
      <c r="L35" s="19">
        <v>1105</v>
      </c>
      <c r="M35" s="18">
        <v>1090</v>
      </c>
      <c r="N35" s="18">
        <v>1070</v>
      </c>
      <c r="O35" s="18">
        <v>1065</v>
      </c>
      <c r="P35" s="18">
        <v>1070</v>
      </c>
      <c r="Q35" s="18">
        <v>1065</v>
      </c>
    </row>
    <row r="36" spans="1:17" x14ac:dyDescent="0.2">
      <c r="A36" s="16" t="s">
        <v>47</v>
      </c>
      <c r="B36" s="17" t="s">
        <v>3</v>
      </c>
      <c r="C36" s="19">
        <v>6345</v>
      </c>
      <c r="D36" s="19">
        <v>6240</v>
      </c>
      <c r="E36" s="19">
        <v>6300</v>
      </c>
      <c r="F36" s="19">
        <v>6185</v>
      </c>
      <c r="G36" s="19">
        <v>6325</v>
      </c>
      <c r="H36" s="19">
        <v>6320</v>
      </c>
      <c r="I36" s="19">
        <v>6250</v>
      </c>
      <c r="J36" s="19">
        <v>6225</v>
      </c>
      <c r="K36" s="19">
        <v>6220</v>
      </c>
      <c r="L36" s="19">
        <v>6265</v>
      </c>
      <c r="M36" s="18">
        <v>6225</v>
      </c>
      <c r="N36" s="18">
        <v>6175</v>
      </c>
      <c r="O36" s="18">
        <v>6235</v>
      </c>
      <c r="P36" s="18">
        <v>6200</v>
      </c>
      <c r="Q36" s="18">
        <v>6235</v>
      </c>
    </row>
    <row r="37" spans="1:17" x14ac:dyDescent="0.2">
      <c r="A37" s="16" t="s">
        <v>47</v>
      </c>
      <c r="B37" s="17" t="s">
        <v>30</v>
      </c>
      <c r="C37" s="19">
        <v>2830</v>
      </c>
      <c r="D37" s="19">
        <v>2770</v>
      </c>
      <c r="E37" s="19">
        <v>2855</v>
      </c>
      <c r="F37" s="19">
        <v>2900</v>
      </c>
      <c r="G37" s="19">
        <v>3035</v>
      </c>
      <c r="H37" s="19">
        <v>3165</v>
      </c>
      <c r="I37" s="19">
        <v>3170</v>
      </c>
      <c r="J37" s="19">
        <v>3250</v>
      </c>
      <c r="K37" s="19">
        <v>3185</v>
      </c>
      <c r="L37" s="19">
        <v>3260</v>
      </c>
      <c r="M37" s="18">
        <v>3325</v>
      </c>
      <c r="N37" s="18">
        <v>3380</v>
      </c>
      <c r="O37" s="18">
        <v>3420</v>
      </c>
      <c r="P37" s="18">
        <v>3380</v>
      </c>
      <c r="Q37" s="18">
        <v>3410</v>
      </c>
    </row>
    <row r="38" spans="1:17" x14ac:dyDescent="0.2">
      <c r="A38" s="16" t="s">
        <v>47</v>
      </c>
      <c r="B38" s="17" t="s">
        <v>4</v>
      </c>
      <c r="C38" s="19">
        <v>2840</v>
      </c>
      <c r="D38" s="19">
        <v>2800</v>
      </c>
      <c r="E38" s="19">
        <v>2880</v>
      </c>
      <c r="F38" s="19">
        <v>2860</v>
      </c>
      <c r="G38" s="19">
        <v>2955</v>
      </c>
      <c r="H38" s="19">
        <v>3060</v>
      </c>
      <c r="I38" s="19">
        <v>3110</v>
      </c>
      <c r="J38" s="19">
        <v>3190</v>
      </c>
      <c r="K38" s="19">
        <v>3155</v>
      </c>
      <c r="L38" s="19">
        <v>3170</v>
      </c>
      <c r="M38" s="18">
        <v>3245</v>
      </c>
      <c r="N38" s="18">
        <v>3175</v>
      </c>
      <c r="O38" s="18">
        <v>3195</v>
      </c>
      <c r="P38" s="18">
        <v>3150</v>
      </c>
      <c r="Q38" s="18">
        <v>3110</v>
      </c>
    </row>
    <row r="39" spans="1:17" x14ac:dyDescent="0.2">
      <c r="A39" s="16" t="s">
        <v>47</v>
      </c>
      <c r="B39" s="17" t="s">
        <v>32</v>
      </c>
      <c r="C39" s="19">
        <v>2505</v>
      </c>
      <c r="D39" s="19">
        <v>2510</v>
      </c>
      <c r="E39" s="19">
        <v>2600</v>
      </c>
      <c r="F39" s="19">
        <v>2575</v>
      </c>
      <c r="G39" s="19">
        <v>2725</v>
      </c>
      <c r="H39" s="19">
        <v>2805</v>
      </c>
      <c r="I39" s="19">
        <v>2955</v>
      </c>
      <c r="J39" s="19">
        <v>2990</v>
      </c>
      <c r="K39" s="19">
        <v>2960</v>
      </c>
      <c r="L39" s="19">
        <v>2975</v>
      </c>
      <c r="M39" s="18">
        <v>2920</v>
      </c>
      <c r="N39" s="18">
        <v>2870</v>
      </c>
      <c r="O39" s="18">
        <v>2795</v>
      </c>
      <c r="P39" s="18">
        <v>2760</v>
      </c>
      <c r="Q39" s="18">
        <v>2750</v>
      </c>
    </row>
    <row r="40" spans="1:17" x14ac:dyDescent="0.2">
      <c r="A40" s="16" t="s">
        <v>47</v>
      </c>
      <c r="B40" s="17" t="s">
        <v>5</v>
      </c>
      <c r="C40" s="19">
        <v>2625</v>
      </c>
      <c r="D40" s="19">
        <v>2620</v>
      </c>
      <c r="E40" s="19">
        <v>2730</v>
      </c>
      <c r="F40" s="19">
        <v>2805</v>
      </c>
      <c r="G40" s="19">
        <v>2885</v>
      </c>
      <c r="H40" s="19">
        <v>2910</v>
      </c>
      <c r="I40" s="19">
        <v>3045</v>
      </c>
      <c r="J40" s="19">
        <v>3100</v>
      </c>
      <c r="K40" s="19">
        <v>3120</v>
      </c>
      <c r="L40" s="19">
        <v>3170</v>
      </c>
      <c r="M40" s="18">
        <v>3165</v>
      </c>
      <c r="N40" s="18">
        <v>3115</v>
      </c>
      <c r="O40" s="18">
        <v>3085</v>
      </c>
      <c r="P40" s="18">
        <v>3070</v>
      </c>
      <c r="Q40" s="18">
        <v>3110</v>
      </c>
    </row>
    <row r="41" spans="1:17" x14ac:dyDescent="0.2">
      <c r="A41" s="16" t="s">
        <v>47</v>
      </c>
      <c r="B41" s="17" t="s">
        <v>6</v>
      </c>
      <c r="C41" s="19">
        <v>2160</v>
      </c>
      <c r="D41" s="19">
        <v>2145</v>
      </c>
      <c r="E41" s="19">
        <v>2280</v>
      </c>
      <c r="F41" s="19">
        <v>2280</v>
      </c>
      <c r="G41" s="19">
        <v>2415</v>
      </c>
      <c r="H41" s="19">
        <v>2480</v>
      </c>
      <c r="I41" s="19">
        <v>2565</v>
      </c>
      <c r="J41" s="19">
        <v>2635</v>
      </c>
      <c r="K41" s="19">
        <v>2615</v>
      </c>
      <c r="L41" s="19">
        <v>2635</v>
      </c>
      <c r="M41" s="18">
        <v>2610</v>
      </c>
      <c r="N41" s="18">
        <v>2630</v>
      </c>
      <c r="O41" s="18">
        <v>2615</v>
      </c>
      <c r="P41" s="18">
        <v>2575</v>
      </c>
      <c r="Q41" s="18">
        <v>2620</v>
      </c>
    </row>
    <row r="42" spans="1:17" x14ac:dyDescent="0.2">
      <c r="A42" s="16" t="s">
        <v>47</v>
      </c>
      <c r="B42" s="17" t="s">
        <v>8</v>
      </c>
      <c r="C42" s="19">
        <v>3190</v>
      </c>
      <c r="D42" s="19">
        <v>3175</v>
      </c>
      <c r="E42" s="19">
        <v>3285</v>
      </c>
      <c r="F42" s="19">
        <v>3350</v>
      </c>
      <c r="G42" s="19">
        <v>3505</v>
      </c>
      <c r="H42" s="19">
        <v>3590</v>
      </c>
      <c r="I42" s="19">
        <v>3700</v>
      </c>
      <c r="J42" s="19">
        <v>3740</v>
      </c>
      <c r="K42" s="19">
        <v>3675</v>
      </c>
      <c r="L42" s="19">
        <v>3680</v>
      </c>
      <c r="M42" s="18">
        <v>3695</v>
      </c>
      <c r="N42" s="18">
        <v>3630</v>
      </c>
      <c r="O42" s="18">
        <v>3525</v>
      </c>
      <c r="P42" s="18">
        <v>3475</v>
      </c>
      <c r="Q42" s="18">
        <v>3495</v>
      </c>
    </row>
    <row r="43" spans="1:17" x14ac:dyDescent="0.2">
      <c r="A43" s="16" t="s">
        <v>47</v>
      </c>
      <c r="B43" s="17" t="s">
        <v>9</v>
      </c>
      <c r="C43" s="19">
        <v>8190</v>
      </c>
      <c r="D43" s="19">
        <v>8055</v>
      </c>
      <c r="E43" s="19">
        <v>8345</v>
      </c>
      <c r="F43" s="19">
        <v>8275</v>
      </c>
      <c r="G43" s="19">
        <v>8635</v>
      </c>
      <c r="H43" s="19">
        <v>8885</v>
      </c>
      <c r="I43" s="19">
        <v>9080</v>
      </c>
      <c r="J43" s="19">
        <v>9415</v>
      </c>
      <c r="K43" s="19">
        <v>9590</v>
      </c>
      <c r="L43" s="19">
        <v>9650</v>
      </c>
      <c r="M43" s="18">
        <v>9745</v>
      </c>
      <c r="N43" s="18">
        <v>9395</v>
      </c>
      <c r="O43" s="18">
        <v>8945</v>
      </c>
      <c r="P43" s="18">
        <v>8840</v>
      </c>
      <c r="Q43" s="18">
        <v>8780</v>
      </c>
    </row>
    <row r="44" spans="1:17" x14ac:dyDescent="0.2">
      <c r="A44" s="16" t="s">
        <v>47</v>
      </c>
      <c r="B44" s="17" t="s">
        <v>33</v>
      </c>
      <c r="C44" s="19">
        <v>14565</v>
      </c>
      <c r="D44" s="19">
        <v>14475</v>
      </c>
      <c r="E44" s="19">
        <v>15020</v>
      </c>
      <c r="F44" s="19">
        <v>14975</v>
      </c>
      <c r="G44" s="19">
        <v>15730</v>
      </c>
      <c r="H44" s="19">
        <v>16230</v>
      </c>
      <c r="I44" s="19">
        <v>16900</v>
      </c>
      <c r="J44" s="19">
        <v>17630</v>
      </c>
      <c r="K44" s="19">
        <v>17935</v>
      </c>
      <c r="L44" s="19">
        <v>18425</v>
      </c>
      <c r="M44" s="18">
        <v>18875</v>
      </c>
      <c r="N44" s="18">
        <v>18950</v>
      </c>
      <c r="O44" s="18">
        <v>19090</v>
      </c>
      <c r="P44" s="18">
        <v>18960</v>
      </c>
      <c r="Q44" s="18">
        <v>19075</v>
      </c>
    </row>
    <row r="45" spans="1:17" x14ac:dyDescent="0.2">
      <c r="A45" s="16" t="s">
        <v>47</v>
      </c>
      <c r="B45" s="17" t="s">
        <v>10</v>
      </c>
      <c r="C45" s="19">
        <v>10070</v>
      </c>
      <c r="D45" s="19">
        <v>10005</v>
      </c>
      <c r="E45" s="19">
        <v>10290</v>
      </c>
      <c r="F45" s="19">
        <v>10270</v>
      </c>
      <c r="G45" s="19">
        <v>10490</v>
      </c>
      <c r="H45" s="19">
        <v>10600</v>
      </c>
      <c r="I45" s="19">
        <v>10740</v>
      </c>
      <c r="J45" s="19">
        <v>10635</v>
      </c>
      <c r="K45" s="19">
        <v>10660</v>
      </c>
      <c r="L45" s="19">
        <v>10830</v>
      </c>
      <c r="M45" s="18">
        <v>10695</v>
      </c>
      <c r="N45" s="18">
        <v>10650</v>
      </c>
      <c r="O45" s="18">
        <v>10675</v>
      </c>
      <c r="P45" s="18">
        <v>10575</v>
      </c>
      <c r="Q45" s="18">
        <v>10695</v>
      </c>
    </row>
    <row r="46" spans="1:17" x14ac:dyDescent="0.2">
      <c r="A46" s="16" t="s">
        <v>47</v>
      </c>
      <c r="B46" s="17" t="s">
        <v>11</v>
      </c>
      <c r="C46" s="19">
        <v>1460</v>
      </c>
      <c r="D46" s="19">
        <v>1425</v>
      </c>
      <c r="E46" s="19">
        <v>1500</v>
      </c>
      <c r="F46" s="19">
        <v>1485</v>
      </c>
      <c r="G46" s="19">
        <v>1545</v>
      </c>
      <c r="H46" s="19">
        <v>1570</v>
      </c>
      <c r="I46" s="19">
        <v>1625</v>
      </c>
      <c r="J46" s="19">
        <v>1655</v>
      </c>
      <c r="K46" s="19">
        <v>1615</v>
      </c>
      <c r="L46" s="19">
        <v>1590</v>
      </c>
      <c r="M46" s="18">
        <v>1575</v>
      </c>
      <c r="N46" s="18">
        <v>1545</v>
      </c>
      <c r="O46" s="18">
        <v>1500</v>
      </c>
      <c r="P46" s="18">
        <v>1490</v>
      </c>
      <c r="Q46" s="18">
        <v>1460</v>
      </c>
    </row>
    <row r="47" spans="1:17" x14ac:dyDescent="0.2">
      <c r="A47" s="16" t="s">
        <v>47</v>
      </c>
      <c r="B47" s="17" t="s">
        <v>12</v>
      </c>
      <c r="C47" s="19">
        <v>1955</v>
      </c>
      <c r="D47" s="19">
        <v>1960</v>
      </c>
      <c r="E47" s="19">
        <v>1990</v>
      </c>
      <c r="F47" s="19">
        <v>2015</v>
      </c>
      <c r="G47" s="19">
        <v>2105</v>
      </c>
      <c r="H47" s="19">
        <v>2185</v>
      </c>
      <c r="I47" s="19">
        <v>2245</v>
      </c>
      <c r="J47" s="19">
        <v>2325</v>
      </c>
      <c r="K47" s="19">
        <v>2330</v>
      </c>
      <c r="L47" s="19">
        <v>2380</v>
      </c>
      <c r="M47" s="18">
        <v>2445</v>
      </c>
      <c r="N47" s="18">
        <v>2425</v>
      </c>
      <c r="O47" s="18">
        <v>2470</v>
      </c>
      <c r="P47" s="18">
        <v>2475</v>
      </c>
      <c r="Q47" s="18">
        <v>2515</v>
      </c>
    </row>
    <row r="48" spans="1:17" x14ac:dyDescent="0.2">
      <c r="A48" s="16" t="s">
        <v>47</v>
      </c>
      <c r="B48" s="17" t="s">
        <v>13</v>
      </c>
      <c r="C48" s="19">
        <v>2995</v>
      </c>
      <c r="D48" s="19">
        <v>2950</v>
      </c>
      <c r="E48" s="19">
        <v>3015</v>
      </c>
      <c r="F48" s="19">
        <v>3005</v>
      </c>
      <c r="G48" s="19">
        <v>3050</v>
      </c>
      <c r="H48" s="19">
        <v>3105</v>
      </c>
      <c r="I48" s="19">
        <v>3165</v>
      </c>
      <c r="J48" s="19">
        <v>3180</v>
      </c>
      <c r="K48" s="19">
        <v>3170</v>
      </c>
      <c r="L48" s="19">
        <v>3230</v>
      </c>
      <c r="M48" s="18">
        <v>3235</v>
      </c>
      <c r="N48" s="18">
        <v>3160</v>
      </c>
      <c r="O48" s="18">
        <v>3105</v>
      </c>
      <c r="P48" s="18">
        <v>3105</v>
      </c>
      <c r="Q48" s="18">
        <v>3075</v>
      </c>
    </row>
    <row r="49" spans="1:17" x14ac:dyDescent="0.2">
      <c r="A49" s="16" t="s">
        <v>47</v>
      </c>
      <c r="B49" s="17" t="s">
        <v>7</v>
      </c>
      <c r="C49" s="19">
        <v>1070</v>
      </c>
      <c r="D49" s="19">
        <v>1035</v>
      </c>
      <c r="E49" s="19">
        <v>1090</v>
      </c>
      <c r="F49" s="19">
        <v>1090</v>
      </c>
      <c r="G49" s="19">
        <v>1120</v>
      </c>
      <c r="H49" s="19">
        <v>1170</v>
      </c>
      <c r="I49" s="19">
        <v>1155</v>
      </c>
      <c r="J49" s="19">
        <v>1155</v>
      </c>
      <c r="K49" s="19">
        <v>1180</v>
      </c>
      <c r="L49" s="19">
        <v>1175</v>
      </c>
      <c r="M49" s="18">
        <v>1175</v>
      </c>
      <c r="N49" s="18">
        <v>1180</v>
      </c>
      <c r="O49" s="18">
        <v>1180</v>
      </c>
      <c r="P49" s="18">
        <v>1185</v>
      </c>
      <c r="Q49" s="18">
        <v>1205</v>
      </c>
    </row>
    <row r="50" spans="1:17" x14ac:dyDescent="0.2">
      <c r="A50" s="16" t="s">
        <v>47</v>
      </c>
      <c r="B50" s="17" t="s">
        <v>14</v>
      </c>
      <c r="C50" s="19">
        <v>2915</v>
      </c>
      <c r="D50" s="19">
        <v>2820</v>
      </c>
      <c r="E50" s="19">
        <v>2940</v>
      </c>
      <c r="F50" s="19">
        <v>2885</v>
      </c>
      <c r="G50" s="19">
        <v>3035</v>
      </c>
      <c r="H50" s="19">
        <v>3120</v>
      </c>
      <c r="I50" s="19">
        <v>3145</v>
      </c>
      <c r="J50" s="19">
        <v>3260</v>
      </c>
      <c r="K50" s="19">
        <v>3210</v>
      </c>
      <c r="L50" s="19">
        <v>3210</v>
      </c>
      <c r="M50" s="18">
        <v>3240</v>
      </c>
      <c r="N50" s="18">
        <v>3215</v>
      </c>
      <c r="O50" s="18">
        <v>3060</v>
      </c>
      <c r="P50" s="18">
        <v>3010</v>
      </c>
      <c r="Q50" s="18">
        <v>2980</v>
      </c>
    </row>
    <row r="51" spans="1:17" x14ac:dyDescent="0.2">
      <c r="A51" s="16" t="s">
        <v>47</v>
      </c>
      <c r="B51" s="17" t="s">
        <v>31</v>
      </c>
      <c r="C51" s="19">
        <v>5965</v>
      </c>
      <c r="D51" s="19">
        <v>5945</v>
      </c>
      <c r="E51" s="19">
        <v>6220</v>
      </c>
      <c r="F51" s="19">
        <v>6240</v>
      </c>
      <c r="G51" s="19">
        <v>6555</v>
      </c>
      <c r="H51" s="19">
        <v>6785</v>
      </c>
      <c r="I51" s="19">
        <v>7070</v>
      </c>
      <c r="J51" s="19">
        <v>7355</v>
      </c>
      <c r="K51" s="19">
        <v>7275</v>
      </c>
      <c r="L51" s="19">
        <v>7425</v>
      </c>
      <c r="M51" s="18">
        <v>7535</v>
      </c>
      <c r="N51" s="18">
        <v>7505</v>
      </c>
      <c r="O51" s="18">
        <v>7565</v>
      </c>
      <c r="P51" s="18">
        <v>7475</v>
      </c>
      <c r="Q51" s="18">
        <v>7530</v>
      </c>
    </row>
    <row r="52" spans="1:17" x14ac:dyDescent="0.2">
      <c r="A52" s="16" t="s">
        <v>47</v>
      </c>
      <c r="B52" s="17" t="s">
        <v>15</v>
      </c>
      <c r="C52" s="19">
        <v>1460</v>
      </c>
      <c r="D52" s="19">
        <v>1440</v>
      </c>
      <c r="E52" s="19">
        <v>1460</v>
      </c>
      <c r="F52" s="19">
        <v>1430</v>
      </c>
      <c r="G52" s="19">
        <v>1475</v>
      </c>
      <c r="H52" s="19">
        <v>1480</v>
      </c>
      <c r="I52" s="19">
        <v>1460</v>
      </c>
      <c r="J52" s="19">
        <v>1465</v>
      </c>
      <c r="K52" s="19">
        <v>1490</v>
      </c>
      <c r="L52" s="19">
        <v>1505</v>
      </c>
      <c r="M52" s="18">
        <v>1465</v>
      </c>
      <c r="N52" s="18">
        <v>1440</v>
      </c>
      <c r="O52" s="18">
        <v>1475</v>
      </c>
      <c r="P52" s="18">
        <v>1470</v>
      </c>
      <c r="Q52" s="18">
        <v>1470</v>
      </c>
    </row>
    <row r="53" spans="1:17" x14ac:dyDescent="0.2">
      <c r="A53" s="16" t="s">
        <v>47</v>
      </c>
      <c r="B53" s="17" t="s">
        <v>16</v>
      </c>
      <c r="C53" s="19">
        <v>5725</v>
      </c>
      <c r="D53" s="19">
        <v>5620</v>
      </c>
      <c r="E53" s="19">
        <v>5745</v>
      </c>
      <c r="F53" s="19">
        <v>5705</v>
      </c>
      <c r="G53" s="19">
        <v>5855</v>
      </c>
      <c r="H53" s="19">
        <v>5945</v>
      </c>
      <c r="I53" s="19">
        <v>5965</v>
      </c>
      <c r="J53" s="19">
        <v>6055</v>
      </c>
      <c r="K53" s="19">
        <v>6080</v>
      </c>
      <c r="L53" s="19">
        <v>6095</v>
      </c>
      <c r="M53" s="18">
        <v>6045</v>
      </c>
      <c r="N53" s="18">
        <v>6025</v>
      </c>
      <c r="O53" s="18">
        <v>6085</v>
      </c>
      <c r="P53" s="18">
        <v>6055</v>
      </c>
      <c r="Q53" s="18">
        <v>6105</v>
      </c>
    </row>
    <row r="54" spans="1:17" x14ac:dyDescent="0.2">
      <c r="A54" s="16" t="s">
        <v>47</v>
      </c>
      <c r="B54" s="17" t="s">
        <v>26</v>
      </c>
      <c r="C54" s="19">
        <v>3965</v>
      </c>
      <c r="D54" s="19">
        <v>3915</v>
      </c>
      <c r="E54" s="19">
        <v>4010</v>
      </c>
      <c r="F54" s="19">
        <v>4020</v>
      </c>
      <c r="G54" s="19">
        <v>4175</v>
      </c>
      <c r="H54" s="19">
        <v>4265</v>
      </c>
      <c r="I54" s="19">
        <v>4390</v>
      </c>
      <c r="J54" s="19">
        <v>4490</v>
      </c>
      <c r="K54" s="19">
        <v>4490</v>
      </c>
      <c r="L54" s="19">
        <v>4550</v>
      </c>
      <c r="M54" s="18">
        <v>4595</v>
      </c>
      <c r="N54" s="18">
        <v>4640</v>
      </c>
      <c r="O54" s="18">
        <v>4610</v>
      </c>
      <c r="P54" s="18">
        <v>4545</v>
      </c>
      <c r="Q54" s="18">
        <v>4560</v>
      </c>
    </row>
    <row r="55" spans="1:17" x14ac:dyDescent="0.2">
      <c r="A55" s="16" t="s">
        <v>47</v>
      </c>
      <c r="B55" s="17" t="s">
        <v>17</v>
      </c>
      <c r="C55" s="19">
        <v>4875</v>
      </c>
      <c r="D55" s="19">
        <v>4870</v>
      </c>
      <c r="E55" s="19">
        <v>4945</v>
      </c>
      <c r="F55" s="19">
        <v>4875</v>
      </c>
      <c r="G55" s="19">
        <v>5025</v>
      </c>
      <c r="H55" s="19">
        <v>5005</v>
      </c>
      <c r="I55" s="19">
        <v>5015</v>
      </c>
      <c r="J55" s="19">
        <v>5015</v>
      </c>
      <c r="K55" s="19">
        <v>4990</v>
      </c>
      <c r="L55" s="19">
        <v>4985</v>
      </c>
      <c r="M55" s="18">
        <v>4950</v>
      </c>
      <c r="N55" s="18">
        <v>4940</v>
      </c>
      <c r="O55" s="18">
        <v>5025</v>
      </c>
      <c r="P55" s="18">
        <v>4985</v>
      </c>
      <c r="Q55" s="18">
        <v>4965</v>
      </c>
    </row>
    <row r="56" spans="1:17" x14ac:dyDescent="0.2">
      <c r="A56" s="16" t="s">
        <v>47</v>
      </c>
      <c r="B56" s="17" t="s">
        <v>18</v>
      </c>
      <c r="C56" s="19">
        <v>1265</v>
      </c>
      <c r="D56" s="19">
        <v>1280</v>
      </c>
      <c r="E56" s="19">
        <v>1320</v>
      </c>
      <c r="F56" s="19">
        <v>1345</v>
      </c>
      <c r="G56" s="19">
        <v>1365</v>
      </c>
      <c r="H56" s="19">
        <v>1400</v>
      </c>
      <c r="I56" s="19">
        <v>1440</v>
      </c>
      <c r="J56" s="19">
        <v>1475</v>
      </c>
      <c r="K56" s="19">
        <v>1495</v>
      </c>
      <c r="L56" s="19">
        <v>1485</v>
      </c>
      <c r="M56" s="18">
        <v>1490</v>
      </c>
      <c r="N56" s="18">
        <v>1540</v>
      </c>
      <c r="O56" s="18">
        <v>1570</v>
      </c>
      <c r="P56" s="18">
        <v>1580</v>
      </c>
      <c r="Q56" s="18">
        <v>1565</v>
      </c>
    </row>
    <row r="57" spans="1:17" x14ac:dyDescent="0.2">
      <c r="A57" s="16" t="s">
        <v>47</v>
      </c>
      <c r="B57" s="17" t="s">
        <v>19</v>
      </c>
      <c r="C57" s="19">
        <v>3270</v>
      </c>
      <c r="D57" s="19">
        <v>3245</v>
      </c>
      <c r="E57" s="19">
        <v>3295</v>
      </c>
      <c r="F57" s="19">
        <v>3235</v>
      </c>
      <c r="G57" s="19">
        <v>3295</v>
      </c>
      <c r="H57" s="19">
        <v>3350</v>
      </c>
      <c r="I57" s="19">
        <v>3450</v>
      </c>
      <c r="J57" s="19">
        <v>3520</v>
      </c>
      <c r="K57" s="19">
        <v>3455</v>
      </c>
      <c r="L57" s="19">
        <v>3505</v>
      </c>
      <c r="M57" s="18">
        <v>3415</v>
      </c>
      <c r="N57" s="18">
        <v>3460</v>
      </c>
      <c r="O57" s="18">
        <v>3390</v>
      </c>
      <c r="P57" s="18">
        <v>3425</v>
      </c>
      <c r="Q57" s="18">
        <v>3440</v>
      </c>
    </row>
    <row r="58" spans="1:17" x14ac:dyDescent="0.2">
      <c r="A58" s="16" t="s">
        <v>47</v>
      </c>
      <c r="B58" s="17" t="s">
        <v>20</v>
      </c>
      <c r="C58" s="19">
        <v>7635</v>
      </c>
      <c r="D58" s="19">
        <v>7510</v>
      </c>
      <c r="E58" s="19">
        <v>7745</v>
      </c>
      <c r="F58" s="19">
        <v>7700</v>
      </c>
      <c r="G58" s="19">
        <v>8115</v>
      </c>
      <c r="H58" s="19">
        <v>8340</v>
      </c>
      <c r="I58" s="19">
        <v>8585</v>
      </c>
      <c r="J58" s="19">
        <v>8795</v>
      </c>
      <c r="K58" s="19">
        <v>8780</v>
      </c>
      <c r="L58" s="19">
        <v>8930</v>
      </c>
      <c r="M58" s="18">
        <v>8915</v>
      </c>
      <c r="N58" s="18">
        <v>8875</v>
      </c>
      <c r="O58" s="18">
        <v>8875</v>
      </c>
      <c r="P58" s="18">
        <v>8860</v>
      </c>
      <c r="Q58" s="18">
        <v>8895</v>
      </c>
    </row>
    <row r="59" spans="1:17" x14ac:dyDescent="0.2">
      <c r="A59" s="16" t="s">
        <v>47</v>
      </c>
      <c r="B59" s="17" t="s">
        <v>21</v>
      </c>
      <c r="C59" s="19">
        <v>3480</v>
      </c>
      <c r="D59" s="19">
        <v>3495</v>
      </c>
      <c r="E59" s="19">
        <v>3575</v>
      </c>
      <c r="F59" s="19">
        <v>3540</v>
      </c>
      <c r="G59" s="19">
        <v>3665</v>
      </c>
      <c r="H59" s="19">
        <v>3745</v>
      </c>
      <c r="I59" s="19">
        <v>3810</v>
      </c>
      <c r="J59" s="19">
        <v>3770</v>
      </c>
      <c r="K59" s="19">
        <v>3740</v>
      </c>
      <c r="L59" s="19">
        <v>3775</v>
      </c>
      <c r="M59" s="18">
        <v>3810</v>
      </c>
      <c r="N59" s="18">
        <v>3780</v>
      </c>
      <c r="O59" s="18">
        <v>3755</v>
      </c>
      <c r="P59" s="18">
        <v>3730</v>
      </c>
      <c r="Q59" s="18">
        <v>3725</v>
      </c>
    </row>
    <row r="60" spans="1:17" x14ac:dyDescent="0.2">
      <c r="A60" s="16" t="s">
        <v>47</v>
      </c>
      <c r="B60" s="17" t="s">
        <v>27</v>
      </c>
      <c r="C60" s="19">
        <v>1525</v>
      </c>
      <c r="D60" s="19">
        <v>1525</v>
      </c>
      <c r="E60" s="19">
        <v>1595</v>
      </c>
      <c r="F60" s="19">
        <v>1600</v>
      </c>
      <c r="G60" s="19">
        <v>1665</v>
      </c>
      <c r="H60" s="19">
        <v>1700</v>
      </c>
      <c r="I60" s="19">
        <v>1780</v>
      </c>
      <c r="J60" s="19">
        <v>1820</v>
      </c>
      <c r="K60" s="19">
        <v>1790</v>
      </c>
      <c r="L60" s="19">
        <v>1785</v>
      </c>
      <c r="M60" s="18">
        <v>1925</v>
      </c>
      <c r="N60" s="18">
        <v>1925</v>
      </c>
      <c r="O60" s="18">
        <v>1780</v>
      </c>
      <c r="P60" s="18">
        <v>1765</v>
      </c>
      <c r="Q60" s="18">
        <v>1765</v>
      </c>
    </row>
    <row r="61" spans="1:17" x14ac:dyDescent="0.2">
      <c r="A61" s="16" t="s">
        <v>47</v>
      </c>
      <c r="B61" s="17" t="s">
        <v>28</v>
      </c>
      <c r="C61" s="19">
        <v>3800</v>
      </c>
      <c r="D61" s="19">
        <v>3735</v>
      </c>
      <c r="E61" s="19">
        <v>3835</v>
      </c>
      <c r="F61" s="19">
        <v>3865</v>
      </c>
      <c r="G61" s="19">
        <v>4095</v>
      </c>
      <c r="H61" s="19">
        <v>4195</v>
      </c>
      <c r="I61" s="19">
        <v>4390</v>
      </c>
      <c r="J61" s="19">
        <v>4480</v>
      </c>
      <c r="K61" s="19">
        <v>4520</v>
      </c>
      <c r="L61" s="19">
        <v>4645</v>
      </c>
      <c r="M61" s="18">
        <v>4595</v>
      </c>
      <c r="N61" s="18">
        <v>4565</v>
      </c>
      <c r="O61" s="18">
        <v>4485</v>
      </c>
      <c r="P61" s="18">
        <v>4460</v>
      </c>
      <c r="Q61" s="18">
        <v>4550</v>
      </c>
    </row>
    <row r="62" spans="1:17" ht="29.1" customHeight="1" x14ac:dyDescent="0.2">
      <c r="A62" s="17" t="s">
        <v>182</v>
      </c>
      <c r="B62" s="17" t="s">
        <v>54</v>
      </c>
      <c r="C62" s="20" t="s">
        <v>190</v>
      </c>
      <c r="D62" s="20" t="s">
        <v>190</v>
      </c>
      <c r="E62" s="20" t="s">
        <v>190</v>
      </c>
      <c r="F62" s="20" t="s">
        <v>190</v>
      </c>
      <c r="G62" s="20" t="s">
        <v>190</v>
      </c>
      <c r="H62" s="20">
        <v>18310</v>
      </c>
      <c r="I62" s="20">
        <v>18155</v>
      </c>
      <c r="J62" s="20">
        <v>17730</v>
      </c>
      <c r="K62" s="20">
        <v>17425</v>
      </c>
      <c r="L62" s="20">
        <v>17570</v>
      </c>
      <c r="M62" s="18">
        <v>17435</v>
      </c>
      <c r="N62" s="18">
        <v>16850</v>
      </c>
      <c r="O62" s="18">
        <v>16100</v>
      </c>
      <c r="P62" s="18">
        <v>15555</v>
      </c>
      <c r="Q62" s="18">
        <v>15645</v>
      </c>
    </row>
    <row r="63" spans="1:17" x14ac:dyDescent="0.2">
      <c r="A63" s="16" t="s">
        <v>182</v>
      </c>
      <c r="B63" s="16" t="s">
        <v>55</v>
      </c>
      <c r="C63" s="20" t="s">
        <v>190</v>
      </c>
      <c r="D63" s="20" t="s">
        <v>190</v>
      </c>
      <c r="E63" s="20" t="s">
        <v>190</v>
      </c>
      <c r="F63" s="20" t="s">
        <v>190</v>
      </c>
      <c r="G63" s="20" t="s">
        <v>190</v>
      </c>
      <c r="H63" s="20">
        <v>970</v>
      </c>
      <c r="I63" s="20">
        <v>955</v>
      </c>
      <c r="J63" s="20">
        <v>935</v>
      </c>
      <c r="K63" s="20">
        <v>910</v>
      </c>
      <c r="L63" s="20">
        <v>935</v>
      </c>
      <c r="M63" s="18">
        <v>915</v>
      </c>
      <c r="N63" s="18">
        <v>930</v>
      </c>
      <c r="O63" s="18">
        <v>855</v>
      </c>
      <c r="P63" s="18">
        <v>805</v>
      </c>
      <c r="Q63" s="18">
        <v>805</v>
      </c>
    </row>
    <row r="64" spans="1:17" x14ac:dyDescent="0.2">
      <c r="A64" s="16" t="s">
        <v>182</v>
      </c>
      <c r="B64" s="16" t="s">
        <v>56</v>
      </c>
      <c r="C64" s="20" t="s">
        <v>190</v>
      </c>
      <c r="D64" s="20" t="s">
        <v>190</v>
      </c>
      <c r="E64" s="20" t="s">
        <v>190</v>
      </c>
      <c r="F64" s="20" t="s">
        <v>190</v>
      </c>
      <c r="G64" s="20" t="s">
        <v>190</v>
      </c>
      <c r="H64" s="20">
        <v>1355</v>
      </c>
      <c r="I64" s="20">
        <v>1345</v>
      </c>
      <c r="J64" s="20">
        <v>1315</v>
      </c>
      <c r="K64" s="20">
        <v>1315</v>
      </c>
      <c r="L64" s="20">
        <v>1325</v>
      </c>
      <c r="M64" s="18">
        <v>1335</v>
      </c>
      <c r="N64" s="18">
        <v>1330</v>
      </c>
      <c r="O64" s="18">
        <v>1300</v>
      </c>
      <c r="P64" s="18">
        <v>1250</v>
      </c>
      <c r="Q64" s="18">
        <v>1235</v>
      </c>
    </row>
    <row r="65" spans="1:17" x14ac:dyDescent="0.2">
      <c r="A65" s="16" t="s">
        <v>182</v>
      </c>
      <c r="B65" s="16" t="s">
        <v>57</v>
      </c>
      <c r="C65" s="20" t="s">
        <v>190</v>
      </c>
      <c r="D65" s="20" t="s">
        <v>190</v>
      </c>
      <c r="E65" s="20" t="s">
        <v>190</v>
      </c>
      <c r="F65" s="20" t="s">
        <v>190</v>
      </c>
      <c r="G65" s="20" t="s">
        <v>190</v>
      </c>
      <c r="H65" s="20">
        <v>705</v>
      </c>
      <c r="I65" s="20">
        <v>715</v>
      </c>
      <c r="J65" s="20">
        <v>705</v>
      </c>
      <c r="K65" s="20">
        <v>705</v>
      </c>
      <c r="L65" s="20">
        <v>715</v>
      </c>
      <c r="M65" s="18">
        <v>690</v>
      </c>
      <c r="N65" s="18">
        <v>690</v>
      </c>
      <c r="O65" s="18">
        <v>720</v>
      </c>
      <c r="P65" s="18">
        <v>710</v>
      </c>
      <c r="Q65" s="18">
        <v>710</v>
      </c>
    </row>
    <row r="66" spans="1:17" x14ac:dyDescent="0.2">
      <c r="A66" s="16" t="s">
        <v>182</v>
      </c>
      <c r="B66" s="16" t="s">
        <v>58</v>
      </c>
      <c r="C66" s="20" t="s">
        <v>190</v>
      </c>
      <c r="D66" s="20" t="s">
        <v>190</v>
      </c>
      <c r="E66" s="20" t="s">
        <v>190</v>
      </c>
      <c r="F66" s="20" t="s">
        <v>190</v>
      </c>
      <c r="G66" s="20" t="s">
        <v>190</v>
      </c>
      <c r="H66" s="20">
        <v>3865</v>
      </c>
      <c r="I66" s="20">
        <v>3970</v>
      </c>
      <c r="J66" s="20">
        <v>4050</v>
      </c>
      <c r="K66" s="20">
        <v>4020</v>
      </c>
      <c r="L66" s="20">
        <v>4070</v>
      </c>
      <c r="M66" s="18">
        <v>4045</v>
      </c>
      <c r="N66" s="18">
        <v>4020</v>
      </c>
      <c r="O66" s="18">
        <v>3955</v>
      </c>
      <c r="P66" s="18">
        <v>3975</v>
      </c>
      <c r="Q66" s="18">
        <v>3985</v>
      </c>
    </row>
    <row r="67" spans="1:17" x14ac:dyDescent="0.2">
      <c r="A67" s="16" t="s">
        <v>182</v>
      </c>
      <c r="B67" s="16" t="s">
        <v>96</v>
      </c>
      <c r="C67" s="20" t="s">
        <v>190</v>
      </c>
      <c r="D67" s="20" t="s">
        <v>190</v>
      </c>
      <c r="E67" s="20" t="s">
        <v>190</v>
      </c>
      <c r="F67" s="20" t="s">
        <v>190</v>
      </c>
      <c r="G67" s="20" t="s">
        <v>190</v>
      </c>
      <c r="H67" s="20">
        <v>935</v>
      </c>
      <c r="I67" s="20">
        <v>910</v>
      </c>
      <c r="J67" s="20">
        <v>925</v>
      </c>
      <c r="K67" s="20">
        <v>910</v>
      </c>
      <c r="L67" s="20">
        <v>910</v>
      </c>
      <c r="M67" s="18">
        <v>890</v>
      </c>
      <c r="N67" s="18">
        <v>880</v>
      </c>
      <c r="O67" s="18">
        <v>895</v>
      </c>
      <c r="P67" s="18">
        <v>900</v>
      </c>
      <c r="Q67" s="18">
        <v>910</v>
      </c>
    </row>
    <row r="68" spans="1:17" x14ac:dyDescent="0.2">
      <c r="A68" s="16" t="s">
        <v>182</v>
      </c>
      <c r="B68" s="16" t="s">
        <v>59</v>
      </c>
      <c r="C68" s="20" t="s">
        <v>190</v>
      </c>
      <c r="D68" s="20" t="s">
        <v>190</v>
      </c>
      <c r="E68" s="20" t="s">
        <v>190</v>
      </c>
      <c r="F68" s="20" t="s">
        <v>190</v>
      </c>
      <c r="G68" s="20" t="s">
        <v>190</v>
      </c>
      <c r="H68" s="20">
        <v>460</v>
      </c>
      <c r="I68" s="20">
        <v>465</v>
      </c>
      <c r="J68" s="20">
        <v>455</v>
      </c>
      <c r="K68" s="20">
        <v>460</v>
      </c>
      <c r="L68" s="20">
        <v>460</v>
      </c>
      <c r="M68" s="18">
        <v>455</v>
      </c>
      <c r="N68" s="18">
        <v>455</v>
      </c>
      <c r="O68" s="18">
        <v>455</v>
      </c>
      <c r="P68" s="18">
        <v>470</v>
      </c>
      <c r="Q68" s="18">
        <v>480</v>
      </c>
    </row>
    <row r="69" spans="1:17" x14ac:dyDescent="0.2">
      <c r="A69" s="16" t="s">
        <v>182</v>
      </c>
      <c r="B69" s="16" t="s">
        <v>60</v>
      </c>
      <c r="C69" s="20" t="s">
        <v>190</v>
      </c>
      <c r="D69" s="20" t="s">
        <v>190</v>
      </c>
      <c r="E69" s="20" t="s">
        <v>190</v>
      </c>
      <c r="F69" s="20" t="s">
        <v>190</v>
      </c>
      <c r="G69" s="20" t="s">
        <v>190</v>
      </c>
      <c r="H69" s="20">
        <v>410</v>
      </c>
      <c r="I69" s="20">
        <v>395</v>
      </c>
      <c r="J69" s="20">
        <v>395</v>
      </c>
      <c r="K69" s="20">
        <v>385</v>
      </c>
      <c r="L69" s="20">
        <v>370</v>
      </c>
      <c r="M69" s="18">
        <v>375</v>
      </c>
      <c r="N69" s="18">
        <v>380</v>
      </c>
      <c r="O69" s="18">
        <v>385</v>
      </c>
      <c r="P69" s="18">
        <v>370</v>
      </c>
      <c r="Q69" s="18">
        <v>360</v>
      </c>
    </row>
    <row r="70" spans="1:17" x14ac:dyDescent="0.2">
      <c r="A70" s="16" t="s">
        <v>182</v>
      </c>
      <c r="B70" s="16" t="s">
        <v>97</v>
      </c>
      <c r="C70" s="20" t="s">
        <v>190</v>
      </c>
      <c r="D70" s="20" t="s">
        <v>190</v>
      </c>
      <c r="E70" s="20" t="s">
        <v>190</v>
      </c>
      <c r="F70" s="20" t="s">
        <v>190</v>
      </c>
      <c r="G70" s="20" t="s">
        <v>190</v>
      </c>
      <c r="H70" s="20">
        <v>430</v>
      </c>
      <c r="I70" s="20">
        <v>435</v>
      </c>
      <c r="J70" s="20">
        <v>440</v>
      </c>
      <c r="K70" s="20">
        <v>440</v>
      </c>
      <c r="L70" s="20">
        <v>460</v>
      </c>
      <c r="M70" s="18">
        <v>465</v>
      </c>
      <c r="N70" s="18">
        <v>470</v>
      </c>
      <c r="O70" s="18">
        <v>475</v>
      </c>
      <c r="P70" s="18">
        <v>450</v>
      </c>
      <c r="Q70" s="18">
        <v>455</v>
      </c>
    </row>
    <row r="71" spans="1:17" x14ac:dyDescent="0.2">
      <c r="A71" s="16" t="s">
        <v>182</v>
      </c>
      <c r="B71" s="16" t="s">
        <v>61</v>
      </c>
      <c r="C71" s="20" t="s">
        <v>190</v>
      </c>
      <c r="D71" s="20" t="s">
        <v>190</v>
      </c>
      <c r="E71" s="20" t="s">
        <v>190</v>
      </c>
      <c r="F71" s="20" t="s">
        <v>190</v>
      </c>
      <c r="G71" s="20" t="s">
        <v>190</v>
      </c>
      <c r="H71" s="20">
        <v>960</v>
      </c>
      <c r="I71" s="20">
        <v>935</v>
      </c>
      <c r="J71" s="20">
        <v>920</v>
      </c>
      <c r="K71" s="20">
        <v>930</v>
      </c>
      <c r="L71" s="20">
        <v>935</v>
      </c>
      <c r="M71" s="18">
        <v>925</v>
      </c>
      <c r="N71" s="18">
        <v>910</v>
      </c>
      <c r="O71" s="18">
        <v>915</v>
      </c>
      <c r="P71" s="18">
        <v>900</v>
      </c>
      <c r="Q71" s="18">
        <v>890</v>
      </c>
    </row>
    <row r="72" spans="1:17" x14ac:dyDescent="0.2">
      <c r="A72" s="16" t="s">
        <v>182</v>
      </c>
      <c r="B72" s="16" t="s">
        <v>62</v>
      </c>
      <c r="C72" s="20" t="s">
        <v>190</v>
      </c>
      <c r="D72" s="20" t="s">
        <v>190</v>
      </c>
      <c r="E72" s="20" t="s">
        <v>190</v>
      </c>
      <c r="F72" s="20" t="s">
        <v>190</v>
      </c>
      <c r="G72" s="20" t="s">
        <v>190</v>
      </c>
      <c r="H72" s="20">
        <v>1560</v>
      </c>
      <c r="I72" s="20">
        <v>1595</v>
      </c>
      <c r="J72" s="20">
        <v>1630</v>
      </c>
      <c r="K72" s="20">
        <v>1610</v>
      </c>
      <c r="L72" s="20">
        <v>1615</v>
      </c>
      <c r="M72" s="18">
        <v>1735</v>
      </c>
      <c r="N72" s="18">
        <v>1715</v>
      </c>
      <c r="O72" s="18">
        <v>1590</v>
      </c>
      <c r="P72" s="18">
        <v>1555</v>
      </c>
      <c r="Q72" s="18">
        <v>1550</v>
      </c>
    </row>
    <row r="73" spans="1:17" x14ac:dyDescent="0.2">
      <c r="A73" s="16" t="s">
        <v>182</v>
      </c>
      <c r="B73" s="16" t="s">
        <v>63</v>
      </c>
      <c r="C73" s="20" t="s">
        <v>190</v>
      </c>
      <c r="D73" s="20" t="s">
        <v>190</v>
      </c>
      <c r="E73" s="20" t="s">
        <v>190</v>
      </c>
      <c r="F73" s="20" t="s">
        <v>190</v>
      </c>
      <c r="G73" s="20" t="s">
        <v>190</v>
      </c>
      <c r="H73" s="20">
        <v>3575</v>
      </c>
      <c r="I73" s="20">
        <v>3530</v>
      </c>
      <c r="J73" s="20">
        <v>3535</v>
      </c>
      <c r="K73" s="20">
        <v>3545</v>
      </c>
      <c r="L73" s="20">
        <v>3555</v>
      </c>
      <c r="M73" s="18">
        <v>3560</v>
      </c>
      <c r="N73" s="18">
        <v>3535</v>
      </c>
      <c r="O73" s="18">
        <v>3580</v>
      </c>
      <c r="P73" s="18">
        <v>3585</v>
      </c>
      <c r="Q73" s="18">
        <v>3640</v>
      </c>
    </row>
    <row r="74" spans="1:17" x14ac:dyDescent="0.2">
      <c r="A74" s="16" t="s">
        <v>182</v>
      </c>
      <c r="B74" s="16" t="s">
        <v>64</v>
      </c>
      <c r="C74" s="20" t="s">
        <v>190</v>
      </c>
      <c r="D74" s="20" t="s">
        <v>190</v>
      </c>
      <c r="E74" s="20" t="s">
        <v>190</v>
      </c>
      <c r="F74" s="20" t="s">
        <v>190</v>
      </c>
      <c r="G74" s="20" t="s">
        <v>190</v>
      </c>
      <c r="H74" s="20">
        <v>6220</v>
      </c>
      <c r="I74" s="20">
        <v>6260</v>
      </c>
      <c r="J74" s="20">
        <v>6380</v>
      </c>
      <c r="K74" s="20">
        <v>6295</v>
      </c>
      <c r="L74" s="20">
        <v>6385</v>
      </c>
      <c r="M74" s="18">
        <v>6420</v>
      </c>
      <c r="N74" s="18">
        <v>6450</v>
      </c>
      <c r="O74" s="18">
        <v>6510</v>
      </c>
      <c r="P74" s="18">
        <v>6445</v>
      </c>
      <c r="Q74" s="18">
        <v>6465</v>
      </c>
    </row>
    <row r="75" spans="1:17" x14ac:dyDescent="0.2">
      <c r="A75" s="16" t="s">
        <v>182</v>
      </c>
      <c r="B75" s="16" t="s">
        <v>65</v>
      </c>
      <c r="C75" s="20" t="s">
        <v>190</v>
      </c>
      <c r="D75" s="20" t="s">
        <v>190</v>
      </c>
      <c r="E75" s="20" t="s">
        <v>190</v>
      </c>
      <c r="F75" s="20" t="s">
        <v>190</v>
      </c>
      <c r="G75" s="20" t="s">
        <v>190</v>
      </c>
      <c r="H75" s="20">
        <v>6665</v>
      </c>
      <c r="I75" s="20">
        <v>6820</v>
      </c>
      <c r="J75" s="20">
        <v>7200</v>
      </c>
      <c r="K75" s="20">
        <v>7390</v>
      </c>
      <c r="L75" s="20">
        <v>7405</v>
      </c>
      <c r="M75" s="18">
        <v>7495</v>
      </c>
      <c r="N75" s="18">
        <v>7170</v>
      </c>
      <c r="O75" s="18">
        <v>6695</v>
      </c>
      <c r="P75" s="18">
        <v>6590</v>
      </c>
      <c r="Q75" s="18">
        <v>6565</v>
      </c>
    </row>
    <row r="76" spans="1:17" x14ac:dyDescent="0.2">
      <c r="A76" s="16" t="s">
        <v>182</v>
      </c>
      <c r="B76" s="16" t="s">
        <v>66</v>
      </c>
      <c r="C76" s="20" t="s">
        <v>190</v>
      </c>
      <c r="D76" s="20" t="s">
        <v>190</v>
      </c>
      <c r="E76" s="20" t="s">
        <v>190</v>
      </c>
      <c r="F76" s="20" t="s">
        <v>190</v>
      </c>
      <c r="G76" s="20" t="s">
        <v>190</v>
      </c>
      <c r="H76" s="20">
        <v>760</v>
      </c>
      <c r="I76" s="20">
        <v>760</v>
      </c>
      <c r="J76" s="20">
        <v>760</v>
      </c>
      <c r="K76" s="20">
        <v>720</v>
      </c>
      <c r="L76" s="20">
        <v>720</v>
      </c>
      <c r="M76" s="18">
        <v>715</v>
      </c>
      <c r="N76" s="18">
        <v>695</v>
      </c>
      <c r="O76" s="18">
        <v>715</v>
      </c>
      <c r="P76" s="18">
        <v>735</v>
      </c>
      <c r="Q76" s="18">
        <v>735</v>
      </c>
    </row>
    <row r="77" spans="1:17" x14ac:dyDescent="0.2">
      <c r="A77" s="16" t="s">
        <v>182</v>
      </c>
      <c r="B77" s="16" t="s">
        <v>67</v>
      </c>
      <c r="C77" s="20" t="s">
        <v>190</v>
      </c>
      <c r="D77" s="20" t="s">
        <v>190</v>
      </c>
      <c r="E77" s="20" t="s">
        <v>190</v>
      </c>
      <c r="F77" s="20" t="s">
        <v>190</v>
      </c>
      <c r="G77" s="20" t="s">
        <v>190</v>
      </c>
      <c r="H77" s="20">
        <v>22045</v>
      </c>
      <c r="I77" s="20">
        <v>23045</v>
      </c>
      <c r="J77" s="20">
        <v>23610</v>
      </c>
      <c r="K77" s="20">
        <v>23705</v>
      </c>
      <c r="L77" s="20">
        <v>24385</v>
      </c>
      <c r="M77" s="18">
        <v>24635</v>
      </c>
      <c r="N77" s="18">
        <v>23880</v>
      </c>
      <c r="O77" s="18">
        <v>23395</v>
      </c>
      <c r="P77" s="18">
        <v>23120</v>
      </c>
      <c r="Q77" s="18">
        <v>23225</v>
      </c>
    </row>
    <row r="78" spans="1:17" x14ac:dyDescent="0.2">
      <c r="A78" s="16" t="s">
        <v>182</v>
      </c>
      <c r="B78" s="16" t="s">
        <v>68</v>
      </c>
      <c r="C78" s="20" t="s">
        <v>190</v>
      </c>
      <c r="D78" s="20" t="s">
        <v>190</v>
      </c>
      <c r="E78" s="20" t="s">
        <v>190</v>
      </c>
      <c r="F78" s="20" t="s">
        <v>190</v>
      </c>
      <c r="G78" s="20" t="s">
        <v>190</v>
      </c>
      <c r="H78" s="20">
        <v>3450</v>
      </c>
      <c r="I78" s="20">
        <v>3500</v>
      </c>
      <c r="J78" s="20">
        <v>3510</v>
      </c>
      <c r="K78" s="20">
        <v>3485</v>
      </c>
      <c r="L78" s="20">
        <v>3545</v>
      </c>
      <c r="M78" s="18">
        <v>3545</v>
      </c>
      <c r="N78" s="18">
        <v>3475</v>
      </c>
      <c r="O78" s="18">
        <v>3415</v>
      </c>
      <c r="P78" s="18">
        <v>3410</v>
      </c>
      <c r="Q78" s="18">
        <v>3380</v>
      </c>
    </row>
    <row r="79" spans="1:17" x14ac:dyDescent="0.2">
      <c r="A79" s="16" t="s">
        <v>182</v>
      </c>
      <c r="B79" s="16" t="s">
        <v>69</v>
      </c>
      <c r="C79" s="20" t="s">
        <v>190</v>
      </c>
      <c r="D79" s="20" t="s">
        <v>190</v>
      </c>
      <c r="E79" s="20" t="s">
        <v>190</v>
      </c>
      <c r="F79" s="20" t="s">
        <v>190</v>
      </c>
      <c r="G79" s="20" t="s">
        <v>190</v>
      </c>
      <c r="H79" s="20">
        <v>8050</v>
      </c>
      <c r="I79" s="20">
        <v>8210</v>
      </c>
      <c r="J79" s="20">
        <v>8225</v>
      </c>
      <c r="K79" s="20">
        <v>8155</v>
      </c>
      <c r="L79" s="20">
        <v>8165</v>
      </c>
      <c r="M79" s="18">
        <v>8160</v>
      </c>
      <c r="N79" s="18">
        <v>8035</v>
      </c>
      <c r="O79" s="18">
        <v>7920</v>
      </c>
      <c r="P79" s="18">
        <v>7830</v>
      </c>
      <c r="Q79" s="18">
        <v>7845</v>
      </c>
    </row>
    <row r="80" spans="1:17" x14ac:dyDescent="0.2">
      <c r="A80" s="16" t="s">
        <v>182</v>
      </c>
      <c r="B80" s="16" t="s">
        <v>70</v>
      </c>
      <c r="C80" s="20" t="s">
        <v>190</v>
      </c>
      <c r="D80" s="20" t="s">
        <v>190</v>
      </c>
      <c r="E80" s="20" t="s">
        <v>190</v>
      </c>
      <c r="F80" s="20" t="s">
        <v>190</v>
      </c>
      <c r="G80" s="20" t="s">
        <v>190</v>
      </c>
      <c r="H80" s="20">
        <v>930</v>
      </c>
      <c r="I80" s="20">
        <v>945</v>
      </c>
      <c r="J80" s="20">
        <v>960</v>
      </c>
      <c r="K80" s="20">
        <v>975</v>
      </c>
      <c r="L80" s="20">
        <v>995</v>
      </c>
      <c r="M80" s="18">
        <v>985</v>
      </c>
      <c r="N80" s="18">
        <v>990</v>
      </c>
      <c r="O80" s="18">
        <v>1030</v>
      </c>
      <c r="P80" s="18">
        <v>1050</v>
      </c>
      <c r="Q80" s="18">
        <v>1075</v>
      </c>
    </row>
    <row r="81" spans="1:17" x14ac:dyDescent="0.2">
      <c r="A81" s="16" t="s">
        <v>182</v>
      </c>
      <c r="B81" s="16" t="s">
        <v>71</v>
      </c>
      <c r="C81" s="20" t="s">
        <v>190</v>
      </c>
      <c r="D81" s="20" t="s">
        <v>190</v>
      </c>
      <c r="E81" s="20" t="s">
        <v>190</v>
      </c>
      <c r="F81" s="20" t="s">
        <v>190</v>
      </c>
      <c r="G81" s="20" t="s">
        <v>190</v>
      </c>
      <c r="H81" s="20">
        <v>1110</v>
      </c>
      <c r="I81" s="20">
        <v>1100</v>
      </c>
      <c r="J81" s="20">
        <v>1115</v>
      </c>
      <c r="K81" s="20">
        <v>1110</v>
      </c>
      <c r="L81" s="20">
        <v>1140</v>
      </c>
      <c r="M81" s="18">
        <v>1150</v>
      </c>
      <c r="N81" s="18">
        <v>1135</v>
      </c>
      <c r="O81" s="18">
        <v>1120</v>
      </c>
      <c r="P81" s="18">
        <v>1085</v>
      </c>
      <c r="Q81" s="18">
        <v>1075</v>
      </c>
    </row>
    <row r="82" spans="1:17" x14ac:dyDescent="0.2">
      <c r="A82" s="16" t="s">
        <v>182</v>
      </c>
      <c r="B82" s="16" t="s">
        <v>72</v>
      </c>
      <c r="C82" s="20" t="s">
        <v>190</v>
      </c>
      <c r="D82" s="20" t="s">
        <v>190</v>
      </c>
      <c r="E82" s="20" t="s">
        <v>190</v>
      </c>
      <c r="F82" s="20" t="s">
        <v>190</v>
      </c>
      <c r="G82" s="20" t="s">
        <v>190</v>
      </c>
      <c r="H82" s="20">
        <v>2435</v>
      </c>
      <c r="I82" s="20">
        <v>2460</v>
      </c>
      <c r="J82" s="20">
        <v>2475</v>
      </c>
      <c r="K82" s="20">
        <v>2495</v>
      </c>
      <c r="L82" s="20">
        <v>2500</v>
      </c>
      <c r="M82" s="18">
        <v>2485</v>
      </c>
      <c r="N82" s="18">
        <v>2470</v>
      </c>
      <c r="O82" s="18">
        <v>2520</v>
      </c>
      <c r="P82" s="18">
        <v>2490</v>
      </c>
      <c r="Q82" s="18">
        <v>2485</v>
      </c>
    </row>
    <row r="83" spans="1:17" x14ac:dyDescent="0.2">
      <c r="A83" s="16" t="s">
        <v>182</v>
      </c>
      <c r="B83" s="16" t="s">
        <v>73</v>
      </c>
      <c r="C83" s="20" t="s">
        <v>190</v>
      </c>
      <c r="D83" s="20" t="s">
        <v>190</v>
      </c>
      <c r="E83" s="20" t="s">
        <v>190</v>
      </c>
      <c r="F83" s="20" t="s">
        <v>190</v>
      </c>
      <c r="G83" s="20" t="s">
        <v>190</v>
      </c>
      <c r="H83" s="20">
        <v>415</v>
      </c>
      <c r="I83" s="20">
        <v>425</v>
      </c>
      <c r="J83" s="20">
        <v>420</v>
      </c>
      <c r="K83" s="20">
        <v>405</v>
      </c>
      <c r="L83" s="20">
        <v>400</v>
      </c>
      <c r="M83" s="18">
        <v>405</v>
      </c>
      <c r="N83" s="18">
        <v>395</v>
      </c>
      <c r="O83" s="18">
        <v>390</v>
      </c>
      <c r="P83" s="18">
        <v>390</v>
      </c>
      <c r="Q83" s="18">
        <v>390</v>
      </c>
    </row>
    <row r="84" spans="1:17" x14ac:dyDescent="0.2">
      <c r="A84" s="16" t="s">
        <v>182</v>
      </c>
      <c r="B84" s="16" t="s">
        <v>53</v>
      </c>
      <c r="C84" s="20" t="s">
        <v>190</v>
      </c>
      <c r="D84" s="20" t="s">
        <v>190</v>
      </c>
      <c r="E84" s="20" t="s">
        <v>190</v>
      </c>
      <c r="F84" s="20" t="s">
        <v>190</v>
      </c>
      <c r="G84" s="20" t="s">
        <v>190</v>
      </c>
      <c r="H84" s="20">
        <v>31985</v>
      </c>
      <c r="I84" s="20">
        <v>33285</v>
      </c>
      <c r="J84" s="20">
        <v>34445</v>
      </c>
      <c r="K84" s="20">
        <v>34630</v>
      </c>
      <c r="L84" s="20">
        <v>35320</v>
      </c>
      <c r="M84" s="18">
        <v>35765</v>
      </c>
      <c r="N84" s="18">
        <v>35860</v>
      </c>
      <c r="O84" s="18">
        <v>35885</v>
      </c>
      <c r="P84" s="18">
        <v>35570</v>
      </c>
      <c r="Q84" s="18">
        <v>35760</v>
      </c>
    </row>
    <row r="85" spans="1:17" x14ac:dyDescent="0.2">
      <c r="A85" s="16" t="s">
        <v>182</v>
      </c>
      <c r="B85" s="16" t="s">
        <v>74</v>
      </c>
      <c r="C85" s="20" t="s">
        <v>190</v>
      </c>
      <c r="D85" s="20" t="s">
        <v>190</v>
      </c>
      <c r="E85" s="20" t="s">
        <v>190</v>
      </c>
      <c r="F85" s="20" t="s">
        <v>190</v>
      </c>
      <c r="G85" s="20" t="s">
        <v>190</v>
      </c>
      <c r="H85" s="20">
        <v>650</v>
      </c>
      <c r="I85" s="20">
        <v>650</v>
      </c>
      <c r="J85" s="20">
        <v>635</v>
      </c>
      <c r="K85" s="20">
        <v>635</v>
      </c>
      <c r="L85" s="20">
        <v>645</v>
      </c>
      <c r="M85" s="18">
        <v>645</v>
      </c>
      <c r="N85" s="18">
        <v>645</v>
      </c>
      <c r="O85" s="18">
        <v>635</v>
      </c>
      <c r="P85" s="18">
        <v>615</v>
      </c>
      <c r="Q85" s="18">
        <v>625</v>
      </c>
    </row>
    <row r="86" spans="1:17" x14ac:dyDescent="0.2">
      <c r="A86" s="16" t="s">
        <v>182</v>
      </c>
      <c r="B86" s="16" t="s">
        <v>75</v>
      </c>
      <c r="C86" s="20" t="s">
        <v>190</v>
      </c>
      <c r="D86" s="20" t="s">
        <v>190</v>
      </c>
      <c r="E86" s="20" t="s">
        <v>190</v>
      </c>
      <c r="F86" s="20" t="s">
        <v>190</v>
      </c>
      <c r="G86" s="20" t="s">
        <v>190</v>
      </c>
      <c r="H86" s="20">
        <v>1645</v>
      </c>
      <c r="I86" s="20">
        <v>1705</v>
      </c>
      <c r="J86" s="20">
        <v>1735</v>
      </c>
      <c r="K86" s="20">
        <v>1690</v>
      </c>
      <c r="L86" s="20">
        <v>1660</v>
      </c>
      <c r="M86" s="18">
        <v>1650</v>
      </c>
      <c r="N86" s="18">
        <v>1620</v>
      </c>
      <c r="O86" s="18">
        <v>1575</v>
      </c>
      <c r="P86" s="18">
        <v>1555</v>
      </c>
      <c r="Q86" s="18">
        <v>1515</v>
      </c>
    </row>
    <row r="87" spans="1:17" x14ac:dyDescent="0.2">
      <c r="A87" s="16" t="s">
        <v>182</v>
      </c>
      <c r="B87" s="16" t="s">
        <v>76</v>
      </c>
      <c r="C87" s="20" t="s">
        <v>190</v>
      </c>
      <c r="D87" s="20" t="s">
        <v>190</v>
      </c>
      <c r="E87" s="20" t="s">
        <v>190</v>
      </c>
      <c r="F87" s="20" t="s">
        <v>190</v>
      </c>
      <c r="G87" s="20" t="s">
        <v>190</v>
      </c>
      <c r="H87" s="20">
        <v>1440</v>
      </c>
      <c r="I87" s="20">
        <v>1445</v>
      </c>
      <c r="J87" s="20">
        <v>1420</v>
      </c>
      <c r="K87" s="20">
        <v>1410</v>
      </c>
      <c r="L87" s="20">
        <v>1400</v>
      </c>
      <c r="M87" s="18">
        <v>1395</v>
      </c>
      <c r="N87" s="18">
        <v>1430</v>
      </c>
      <c r="O87" s="18">
        <v>1455</v>
      </c>
      <c r="P87" s="18">
        <v>1450</v>
      </c>
      <c r="Q87" s="18">
        <v>1440</v>
      </c>
    </row>
    <row r="88" spans="1:17" x14ac:dyDescent="0.2">
      <c r="A88" s="16" t="s">
        <v>182</v>
      </c>
      <c r="B88" s="16" t="s">
        <v>77</v>
      </c>
      <c r="C88" s="20" t="s">
        <v>190</v>
      </c>
      <c r="D88" s="20" t="s">
        <v>190</v>
      </c>
      <c r="E88" s="20" t="s">
        <v>190</v>
      </c>
      <c r="F88" s="20" t="s">
        <v>190</v>
      </c>
      <c r="G88" s="20" t="s">
        <v>190</v>
      </c>
      <c r="H88" s="20">
        <v>4360</v>
      </c>
      <c r="I88" s="20">
        <v>4475</v>
      </c>
      <c r="J88" s="20">
        <v>4410</v>
      </c>
      <c r="K88" s="20">
        <v>4445</v>
      </c>
      <c r="L88" s="20">
        <v>4505</v>
      </c>
      <c r="M88" s="18">
        <v>4465</v>
      </c>
      <c r="N88" s="18">
        <v>4465</v>
      </c>
      <c r="O88" s="18">
        <v>4520</v>
      </c>
      <c r="P88" s="18">
        <v>4495</v>
      </c>
      <c r="Q88" s="18">
        <v>4550</v>
      </c>
    </row>
    <row r="89" spans="1:17" x14ac:dyDescent="0.2">
      <c r="A89" s="16" t="s">
        <v>182</v>
      </c>
      <c r="B89" s="16" t="s">
        <v>78</v>
      </c>
      <c r="C89" s="20" t="s">
        <v>190</v>
      </c>
      <c r="D89" s="20" t="s">
        <v>190</v>
      </c>
      <c r="E89" s="20" t="s">
        <v>190</v>
      </c>
      <c r="F89" s="20" t="s">
        <v>190</v>
      </c>
      <c r="G89" s="20" t="s">
        <v>190</v>
      </c>
      <c r="H89" s="20">
        <v>4815</v>
      </c>
      <c r="I89" s="20">
        <v>4875</v>
      </c>
      <c r="J89" s="20">
        <v>5055</v>
      </c>
      <c r="K89" s="20">
        <v>4960</v>
      </c>
      <c r="L89" s="20">
        <v>4995</v>
      </c>
      <c r="M89" s="18">
        <v>5040</v>
      </c>
      <c r="N89" s="18">
        <v>5020</v>
      </c>
      <c r="O89" s="18">
        <v>4885</v>
      </c>
      <c r="P89" s="18">
        <v>4810</v>
      </c>
      <c r="Q89" s="18">
        <v>4765</v>
      </c>
    </row>
    <row r="90" spans="1:17" x14ac:dyDescent="0.2">
      <c r="A90" s="16" t="s">
        <v>182</v>
      </c>
      <c r="B90" s="16" t="s">
        <v>79</v>
      </c>
      <c r="C90" s="20" t="s">
        <v>190</v>
      </c>
      <c r="D90" s="20" t="s">
        <v>190</v>
      </c>
      <c r="E90" s="20" t="s">
        <v>190</v>
      </c>
      <c r="F90" s="20" t="s">
        <v>190</v>
      </c>
      <c r="G90" s="20" t="s">
        <v>190</v>
      </c>
      <c r="H90" s="20">
        <v>4640</v>
      </c>
      <c r="I90" s="20">
        <v>4830</v>
      </c>
      <c r="J90" s="20">
        <v>4930</v>
      </c>
      <c r="K90" s="20">
        <v>4945</v>
      </c>
      <c r="L90" s="20">
        <v>5070</v>
      </c>
      <c r="M90" s="18">
        <v>5030</v>
      </c>
      <c r="N90" s="18">
        <v>4975</v>
      </c>
      <c r="O90" s="18">
        <v>4895</v>
      </c>
      <c r="P90" s="18">
        <v>4870</v>
      </c>
      <c r="Q90" s="18">
        <v>4965</v>
      </c>
    </row>
    <row r="91" spans="1:17" x14ac:dyDescent="0.2">
      <c r="A91" s="16" t="s">
        <v>182</v>
      </c>
      <c r="B91" s="16" t="s">
        <v>80</v>
      </c>
      <c r="C91" s="20" t="s">
        <v>190</v>
      </c>
      <c r="D91" s="20" t="s">
        <v>190</v>
      </c>
      <c r="E91" s="20" t="s">
        <v>190</v>
      </c>
      <c r="F91" s="20" t="s">
        <v>190</v>
      </c>
      <c r="G91" s="20" t="s">
        <v>190</v>
      </c>
      <c r="H91" s="20">
        <v>495</v>
      </c>
      <c r="I91" s="20">
        <v>500</v>
      </c>
      <c r="J91" s="20">
        <v>495</v>
      </c>
      <c r="K91" s="20">
        <v>495</v>
      </c>
      <c r="L91" s="20">
        <v>490</v>
      </c>
      <c r="M91" s="18">
        <v>520</v>
      </c>
      <c r="N91" s="18">
        <v>530</v>
      </c>
      <c r="O91" s="18">
        <v>525</v>
      </c>
      <c r="P91" s="18">
        <v>525</v>
      </c>
      <c r="Q91" s="18">
        <v>525</v>
      </c>
    </row>
    <row r="92" spans="1:17" x14ac:dyDescent="0.2">
      <c r="A92" s="16" t="s">
        <v>182</v>
      </c>
      <c r="B92" s="16" t="s">
        <v>81</v>
      </c>
      <c r="C92" s="20" t="s">
        <v>190</v>
      </c>
      <c r="D92" s="20" t="s">
        <v>190</v>
      </c>
      <c r="E92" s="20" t="s">
        <v>190</v>
      </c>
      <c r="F92" s="20" t="s">
        <v>190</v>
      </c>
      <c r="G92" s="20" t="s">
        <v>190</v>
      </c>
      <c r="H92" s="20">
        <v>9955</v>
      </c>
      <c r="I92" s="20">
        <v>10320</v>
      </c>
      <c r="J92" s="20">
        <v>10605</v>
      </c>
      <c r="K92" s="20">
        <v>10560</v>
      </c>
      <c r="L92" s="20">
        <v>10740</v>
      </c>
      <c r="M92" s="18">
        <v>10825</v>
      </c>
      <c r="N92" s="18">
        <v>10780</v>
      </c>
      <c r="O92" s="18">
        <v>10830</v>
      </c>
      <c r="P92" s="18">
        <v>10775</v>
      </c>
      <c r="Q92" s="18">
        <v>10850</v>
      </c>
    </row>
    <row r="93" spans="1:17" x14ac:dyDescent="0.2">
      <c r="A93" s="16" t="s">
        <v>182</v>
      </c>
      <c r="B93" s="16" t="s">
        <v>82</v>
      </c>
      <c r="C93" s="20" t="s">
        <v>190</v>
      </c>
      <c r="D93" s="20" t="s">
        <v>190</v>
      </c>
      <c r="E93" s="20" t="s">
        <v>190</v>
      </c>
      <c r="F93" s="20" t="s">
        <v>190</v>
      </c>
      <c r="G93" s="20" t="s">
        <v>190</v>
      </c>
      <c r="H93" s="20">
        <v>630</v>
      </c>
      <c r="I93" s="20">
        <v>625</v>
      </c>
      <c r="J93" s="20">
        <v>630</v>
      </c>
      <c r="K93" s="20">
        <v>635</v>
      </c>
      <c r="L93" s="20">
        <v>640</v>
      </c>
      <c r="M93" s="18">
        <v>625</v>
      </c>
      <c r="N93" s="18">
        <v>620</v>
      </c>
      <c r="O93" s="18">
        <v>650</v>
      </c>
      <c r="P93" s="18">
        <v>670</v>
      </c>
      <c r="Q93" s="18">
        <v>655</v>
      </c>
    </row>
    <row r="94" spans="1:17" x14ac:dyDescent="0.2">
      <c r="A94" s="16" t="s">
        <v>182</v>
      </c>
      <c r="B94" s="16" t="s">
        <v>83</v>
      </c>
      <c r="C94" s="20" t="s">
        <v>190</v>
      </c>
      <c r="D94" s="20" t="s">
        <v>190</v>
      </c>
      <c r="E94" s="20" t="s">
        <v>190</v>
      </c>
      <c r="F94" s="20" t="s">
        <v>190</v>
      </c>
      <c r="G94" s="20" t="s">
        <v>190</v>
      </c>
      <c r="H94" s="20">
        <v>720</v>
      </c>
      <c r="I94" s="20">
        <v>715</v>
      </c>
      <c r="J94" s="20">
        <v>700</v>
      </c>
      <c r="K94" s="20">
        <v>705</v>
      </c>
      <c r="L94" s="20">
        <v>700</v>
      </c>
      <c r="M94" s="18">
        <v>690</v>
      </c>
      <c r="N94" s="18">
        <v>675</v>
      </c>
      <c r="O94" s="18">
        <v>685</v>
      </c>
      <c r="P94" s="18">
        <v>685</v>
      </c>
      <c r="Q94" s="18">
        <v>680</v>
      </c>
    </row>
    <row r="95" spans="1:17" x14ac:dyDescent="0.2">
      <c r="A95" s="16" t="s">
        <v>182</v>
      </c>
      <c r="B95" s="16" t="s">
        <v>84</v>
      </c>
      <c r="C95" s="20" t="s">
        <v>190</v>
      </c>
      <c r="D95" s="20" t="s">
        <v>190</v>
      </c>
      <c r="E95" s="20" t="s">
        <v>190</v>
      </c>
      <c r="F95" s="20" t="s">
        <v>190</v>
      </c>
      <c r="G95" s="20" t="s">
        <v>190</v>
      </c>
      <c r="H95" s="20">
        <v>865</v>
      </c>
      <c r="I95" s="20">
        <v>860</v>
      </c>
      <c r="J95" s="20">
        <v>885</v>
      </c>
      <c r="K95" s="20">
        <v>865</v>
      </c>
      <c r="L95" s="20">
        <v>880</v>
      </c>
      <c r="M95" s="18">
        <v>880</v>
      </c>
      <c r="N95" s="18">
        <v>905</v>
      </c>
      <c r="O95" s="18">
        <v>940</v>
      </c>
      <c r="P95" s="18">
        <v>925</v>
      </c>
      <c r="Q95" s="18">
        <v>915</v>
      </c>
    </row>
    <row r="96" spans="1:17" x14ac:dyDescent="0.2">
      <c r="A96" s="16" t="s">
        <v>182</v>
      </c>
      <c r="B96" s="16" t="s">
        <v>15</v>
      </c>
      <c r="C96" s="20" t="s">
        <v>190</v>
      </c>
      <c r="D96" s="20" t="s">
        <v>190</v>
      </c>
      <c r="E96" s="20" t="s">
        <v>190</v>
      </c>
      <c r="F96" s="20" t="s">
        <v>190</v>
      </c>
      <c r="G96" s="20" t="s">
        <v>190</v>
      </c>
      <c r="H96" s="20">
        <v>1480</v>
      </c>
      <c r="I96" s="20">
        <v>1460</v>
      </c>
      <c r="J96" s="20">
        <v>1465</v>
      </c>
      <c r="K96" s="20">
        <v>1490</v>
      </c>
      <c r="L96" s="20">
        <v>1505</v>
      </c>
      <c r="M96" s="18">
        <v>1465</v>
      </c>
      <c r="N96" s="18">
        <v>1440</v>
      </c>
      <c r="O96" s="18">
        <v>1475</v>
      </c>
      <c r="P96" s="18">
        <v>1470</v>
      </c>
      <c r="Q96" s="18">
        <v>1470</v>
      </c>
    </row>
    <row r="97" spans="1:17" x14ac:dyDescent="0.2">
      <c r="A97" s="16" t="s">
        <v>182</v>
      </c>
      <c r="B97" s="16" t="s">
        <v>85</v>
      </c>
      <c r="C97" s="20" t="s">
        <v>190</v>
      </c>
      <c r="D97" s="20" t="s">
        <v>190</v>
      </c>
      <c r="E97" s="20" t="s">
        <v>190</v>
      </c>
      <c r="F97" s="20" t="s">
        <v>190</v>
      </c>
      <c r="G97" s="20" t="s">
        <v>190</v>
      </c>
      <c r="H97" s="20">
        <v>4690</v>
      </c>
      <c r="I97" s="20">
        <v>4695</v>
      </c>
      <c r="J97" s="20">
        <v>4760</v>
      </c>
      <c r="K97" s="20">
        <v>4785</v>
      </c>
      <c r="L97" s="20">
        <v>4825</v>
      </c>
      <c r="M97" s="18">
        <v>4755</v>
      </c>
      <c r="N97" s="18">
        <v>4760</v>
      </c>
      <c r="O97" s="18">
        <v>4795</v>
      </c>
      <c r="P97" s="18">
        <v>4795</v>
      </c>
      <c r="Q97" s="18">
        <v>4775</v>
      </c>
    </row>
    <row r="98" spans="1:17" x14ac:dyDescent="0.2">
      <c r="A98" s="16" t="s">
        <v>182</v>
      </c>
      <c r="B98" s="16" t="s">
        <v>86</v>
      </c>
      <c r="C98" s="20" t="s">
        <v>190</v>
      </c>
      <c r="D98" s="20" t="s">
        <v>190</v>
      </c>
      <c r="E98" s="20" t="s">
        <v>190</v>
      </c>
      <c r="F98" s="20" t="s">
        <v>190</v>
      </c>
      <c r="G98" s="20" t="s">
        <v>190</v>
      </c>
      <c r="H98" s="20">
        <v>1735</v>
      </c>
      <c r="I98" s="20">
        <v>1745</v>
      </c>
      <c r="J98" s="20">
        <v>1760</v>
      </c>
      <c r="K98" s="20">
        <v>1745</v>
      </c>
      <c r="L98" s="20">
        <v>1725</v>
      </c>
      <c r="M98" s="18">
        <v>1695</v>
      </c>
      <c r="N98" s="18">
        <v>1675</v>
      </c>
      <c r="O98" s="18">
        <v>1630</v>
      </c>
      <c r="P98" s="18">
        <v>1570</v>
      </c>
      <c r="Q98" s="18">
        <v>1555</v>
      </c>
    </row>
    <row r="99" spans="1:17" x14ac:dyDescent="0.2">
      <c r="A99" s="16" t="s">
        <v>182</v>
      </c>
      <c r="B99" s="16" t="s">
        <v>87</v>
      </c>
      <c r="C99" s="20" t="s">
        <v>190</v>
      </c>
      <c r="D99" s="20" t="s">
        <v>190</v>
      </c>
      <c r="E99" s="20" t="s">
        <v>190</v>
      </c>
      <c r="F99" s="20" t="s">
        <v>190</v>
      </c>
      <c r="G99" s="20" t="s">
        <v>190</v>
      </c>
      <c r="H99" s="20">
        <v>825</v>
      </c>
      <c r="I99" s="20">
        <v>835</v>
      </c>
      <c r="J99" s="20">
        <v>845</v>
      </c>
      <c r="K99" s="20">
        <v>835</v>
      </c>
      <c r="L99" s="20">
        <v>835</v>
      </c>
      <c r="M99" s="18">
        <v>850</v>
      </c>
      <c r="N99" s="18">
        <v>840</v>
      </c>
      <c r="O99" s="18">
        <v>865</v>
      </c>
      <c r="P99" s="18">
        <v>850</v>
      </c>
      <c r="Q99" s="18">
        <v>895</v>
      </c>
    </row>
    <row r="100" spans="1:17" x14ac:dyDescent="0.2">
      <c r="A100" s="16" t="s">
        <v>182</v>
      </c>
      <c r="B100" s="16" t="s">
        <v>88</v>
      </c>
      <c r="C100" s="20" t="s">
        <v>190</v>
      </c>
      <c r="D100" s="20" t="s">
        <v>190</v>
      </c>
      <c r="E100" s="20" t="s">
        <v>190</v>
      </c>
      <c r="F100" s="20" t="s">
        <v>190</v>
      </c>
      <c r="G100" s="20" t="s">
        <v>190</v>
      </c>
      <c r="H100" s="20">
        <v>585</v>
      </c>
      <c r="I100" s="20">
        <v>580</v>
      </c>
      <c r="J100" s="20">
        <v>600</v>
      </c>
      <c r="K100" s="20">
        <v>580</v>
      </c>
      <c r="L100" s="20">
        <v>595</v>
      </c>
      <c r="M100" s="18">
        <v>615</v>
      </c>
      <c r="N100" s="18">
        <v>590</v>
      </c>
      <c r="O100" s="18">
        <v>605</v>
      </c>
      <c r="P100" s="18">
        <v>610</v>
      </c>
      <c r="Q100" s="18">
        <v>640</v>
      </c>
    </row>
    <row r="101" spans="1:17" x14ac:dyDescent="0.2">
      <c r="A101" s="16" t="s">
        <v>182</v>
      </c>
      <c r="B101" s="16" t="s">
        <v>18</v>
      </c>
      <c r="C101" s="20" t="s">
        <v>190</v>
      </c>
      <c r="D101" s="20" t="s">
        <v>190</v>
      </c>
      <c r="E101" s="20" t="s">
        <v>190</v>
      </c>
      <c r="F101" s="20" t="s">
        <v>190</v>
      </c>
      <c r="G101" s="20" t="s">
        <v>190</v>
      </c>
      <c r="H101" s="20">
        <v>1400</v>
      </c>
      <c r="I101" s="20">
        <v>1440</v>
      </c>
      <c r="J101" s="20">
        <v>1475</v>
      </c>
      <c r="K101" s="20">
        <v>1495</v>
      </c>
      <c r="L101" s="20">
        <v>1485</v>
      </c>
      <c r="M101" s="18">
        <v>1490</v>
      </c>
      <c r="N101" s="18">
        <v>1540</v>
      </c>
      <c r="O101" s="18">
        <v>1570</v>
      </c>
      <c r="P101" s="18">
        <v>1580</v>
      </c>
      <c r="Q101" s="18">
        <v>1565</v>
      </c>
    </row>
    <row r="102" spans="1:17" x14ac:dyDescent="0.2">
      <c r="A102" s="16" t="s">
        <v>182</v>
      </c>
      <c r="B102" s="16" t="s">
        <v>89</v>
      </c>
      <c r="C102" s="20" t="s">
        <v>190</v>
      </c>
      <c r="D102" s="20" t="s">
        <v>190</v>
      </c>
      <c r="E102" s="20" t="s">
        <v>190</v>
      </c>
      <c r="F102" s="20" t="s">
        <v>190</v>
      </c>
      <c r="G102" s="20" t="s">
        <v>190</v>
      </c>
      <c r="H102" s="20">
        <v>1825</v>
      </c>
      <c r="I102" s="20">
        <v>1865</v>
      </c>
      <c r="J102" s="20">
        <v>1825</v>
      </c>
      <c r="K102" s="20">
        <v>1830</v>
      </c>
      <c r="L102" s="20">
        <v>1850</v>
      </c>
      <c r="M102" s="18">
        <v>1860</v>
      </c>
      <c r="N102" s="18">
        <v>1825</v>
      </c>
      <c r="O102" s="18">
        <v>1845</v>
      </c>
      <c r="P102" s="18">
        <v>1850</v>
      </c>
      <c r="Q102" s="18">
        <v>1825</v>
      </c>
    </row>
    <row r="103" spans="1:17" x14ac:dyDescent="0.2">
      <c r="A103" s="16" t="s">
        <v>182</v>
      </c>
      <c r="B103" s="16" t="s">
        <v>90</v>
      </c>
      <c r="C103" s="20" t="s">
        <v>190</v>
      </c>
      <c r="D103" s="20" t="s">
        <v>190</v>
      </c>
      <c r="E103" s="20" t="s">
        <v>190</v>
      </c>
      <c r="F103" s="20" t="s">
        <v>190</v>
      </c>
      <c r="G103" s="20" t="s">
        <v>190</v>
      </c>
      <c r="H103" s="20">
        <v>725</v>
      </c>
      <c r="I103" s="20">
        <v>730</v>
      </c>
      <c r="J103" s="20">
        <v>725</v>
      </c>
      <c r="K103" s="20">
        <v>700</v>
      </c>
      <c r="L103" s="20">
        <v>695</v>
      </c>
      <c r="M103" s="18">
        <v>670</v>
      </c>
      <c r="N103" s="18">
        <v>665</v>
      </c>
      <c r="O103" s="18">
        <v>660</v>
      </c>
      <c r="P103" s="18">
        <v>655</v>
      </c>
      <c r="Q103" s="18">
        <v>645</v>
      </c>
    </row>
    <row r="104" spans="1:17" x14ac:dyDescent="0.2">
      <c r="A104" s="16" t="s">
        <v>182</v>
      </c>
      <c r="B104" s="16" t="s">
        <v>91</v>
      </c>
      <c r="C104" s="20" t="s">
        <v>190</v>
      </c>
      <c r="D104" s="20" t="s">
        <v>190</v>
      </c>
      <c r="E104" s="20" t="s">
        <v>190</v>
      </c>
      <c r="F104" s="20" t="s">
        <v>190</v>
      </c>
      <c r="G104" s="20" t="s">
        <v>190</v>
      </c>
      <c r="H104" s="20">
        <v>775</v>
      </c>
      <c r="I104" s="20">
        <v>780</v>
      </c>
      <c r="J104" s="20">
        <v>765</v>
      </c>
      <c r="K104" s="20">
        <v>780</v>
      </c>
      <c r="L104" s="20">
        <v>785</v>
      </c>
      <c r="M104" s="18">
        <v>775</v>
      </c>
      <c r="N104" s="18">
        <v>760</v>
      </c>
      <c r="O104" s="18">
        <v>720</v>
      </c>
      <c r="P104" s="18">
        <v>705</v>
      </c>
      <c r="Q104" s="18">
        <v>695</v>
      </c>
    </row>
    <row r="105" spans="1:17" x14ac:dyDescent="0.2">
      <c r="A105" s="16" t="s">
        <v>182</v>
      </c>
      <c r="B105" s="16" t="s">
        <v>92</v>
      </c>
      <c r="C105" s="20" t="s">
        <v>190</v>
      </c>
      <c r="D105" s="20" t="s">
        <v>190</v>
      </c>
      <c r="E105" s="20" t="s">
        <v>190</v>
      </c>
      <c r="F105" s="20" t="s">
        <v>190</v>
      </c>
      <c r="G105" s="20" t="s">
        <v>190</v>
      </c>
      <c r="H105" s="20">
        <v>1440</v>
      </c>
      <c r="I105" s="20">
        <v>1445</v>
      </c>
      <c r="J105" s="20">
        <v>1435</v>
      </c>
      <c r="K105" s="20">
        <v>1430</v>
      </c>
      <c r="L105" s="20">
        <v>1465</v>
      </c>
      <c r="M105" s="18">
        <v>1460</v>
      </c>
      <c r="N105" s="18">
        <v>1430</v>
      </c>
      <c r="O105" s="18">
        <v>1430</v>
      </c>
      <c r="P105" s="18">
        <v>1390</v>
      </c>
      <c r="Q105" s="18">
        <v>1405</v>
      </c>
    </row>
    <row r="106" spans="1:17" x14ac:dyDescent="0.2">
      <c r="A106" s="16" t="s">
        <v>182</v>
      </c>
      <c r="B106" s="16" t="s">
        <v>93</v>
      </c>
      <c r="C106" s="20" t="s">
        <v>190</v>
      </c>
      <c r="D106" s="20" t="s">
        <v>190</v>
      </c>
      <c r="E106" s="20" t="s">
        <v>190</v>
      </c>
      <c r="F106" s="20" t="s">
        <v>190</v>
      </c>
      <c r="G106" s="20" t="s">
        <v>190</v>
      </c>
      <c r="H106" s="20">
        <v>535</v>
      </c>
      <c r="I106" s="20">
        <v>520</v>
      </c>
      <c r="J106" s="20">
        <v>520</v>
      </c>
      <c r="K106" s="20">
        <v>530</v>
      </c>
      <c r="L106" s="20">
        <v>545</v>
      </c>
      <c r="M106" s="18">
        <v>525</v>
      </c>
      <c r="N106" s="18">
        <v>510</v>
      </c>
      <c r="O106" s="18">
        <v>525</v>
      </c>
      <c r="P106" s="18">
        <v>530</v>
      </c>
      <c r="Q106" s="18">
        <v>535</v>
      </c>
    </row>
    <row r="107" spans="1:17" x14ac:dyDescent="0.2">
      <c r="A107" s="16" t="s">
        <v>182</v>
      </c>
      <c r="B107" s="16" t="s">
        <v>94</v>
      </c>
      <c r="C107" s="20" t="s">
        <v>190</v>
      </c>
      <c r="D107" s="20" t="s">
        <v>190</v>
      </c>
      <c r="E107" s="20" t="s">
        <v>190</v>
      </c>
      <c r="F107" s="20" t="s">
        <v>190</v>
      </c>
      <c r="G107" s="20" t="s">
        <v>190</v>
      </c>
      <c r="H107" s="20">
        <v>1170</v>
      </c>
      <c r="I107" s="20">
        <v>1155</v>
      </c>
      <c r="J107" s="20">
        <v>1155</v>
      </c>
      <c r="K107" s="20">
        <v>1180</v>
      </c>
      <c r="L107" s="20">
        <v>1175</v>
      </c>
      <c r="M107" s="18">
        <v>1175</v>
      </c>
      <c r="N107" s="18">
        <v>1180</v>
      </c>
      <c r="O107" s="18">
        <v>1180</v>
      </c>
      <c r="P107" s="18">
        <v>1185</v>
      </c>
      <c r="Q107" s="18">
        <v>1205</v>
      </c>
    </row>
    <row r="108" spans="1:17" x14ac:dyDescent="0.2">
      <c r="A108" s="16" t="s">
        <v>182</v>
      </c>
      <c r="B108" s="16" t="s">
        <v>95</v>
      </c>
      <c r="C108" s="20" t="s">
        <v>190</v>
      </c>
      <c r="D108" s="20" t="s">
        <v>190</v>
      </c>
      <c r="E108" s="20" t="s">
        <v>190</v>
      </c>
      <c r="F108" s="20" t="s">
        <v>190</v>
      </c>
      <c r="G108" s="20" t="s">
        <v>190</v>
      </c>
      <c r="H108" s="20">
        <v>695</v>
      </c>
      <c r="I108" s="20">
        <v>725</v>
      </c>
      <c r="J108" s="20">
        <v>725</v>
      </c>
      <c r="K108" s="20">
        <v>715</v>
      </c>
      <c r="L108" s="20">
        <v>715</v>
      </c>
      <c r="M108" s="18">
        <v>705</v>
      </c>
      <c r="N108" s="18">
        <v>680</v>
      </c>
      <c r="O108" s="18">
        <v>680</v>
      </c>
      <c r="P108" s="18">
        <v>655</v>
      </c>
      <c r="Q108" s="18">
        <v>650</v>
      </c>
    </row>
    <row r="109" spans="1:17" ht="43.5" customHeight="1" x14ac:dyDescent="0.2">
      <c r="A109" s="17" t="s">
        <v>183</v>
      </c>
      <c r="B109" s="9" t="s">
        <v>112</v>
      </c>
      <c r="C109" s="20" t="s">
        <v>190</v>
      </c>
      <c r="D109" s="20" t="s">
        <v>190</v>
      </c>
      <c r="E109" s="20" t="s">
        <v>190</v>
      </c>
      <c r="F109" s="20" t="s">
        <v>190</v>
      </c>
      <c r="G109" s="20" t="s">
        <v>190</v>
      </c>
      <c r="H109" s="20">
        <v>3435</v>
      </c>
      <c r="I109" s="20">
        <v>3410</v>
      </c>
      <c r="J109" s="20">
        <v>3450</v>
      </c>
      <c r="K109" s="20">
        <v>3385</v>
      </c>
      <c r="L109" s="20">
        <v>3375</v>
      </c>
      <c r="M109" s="18">
        <v>3385</v>
      </c>
      <c r="N109" s="18">
        <v>3410</v>
      </c>
      <c r="O109" s="18">
        <v>3520</v>
      </c>
      <c r="P109" s="18">
        <v>3530</v>
      </c>
      <c r="Q109" s="18">
        <v>3500</v>
      </c>
    </row>
    <row r="110" spans="1:17" x14ac:dyDescent="0.2">
      <c r="A110" s="16" t="s">
        <v>183</v>
      </c>
      <c r="B110" s="9" t="s">
        <v>113</v>
      </c>
      <c r="C110" s="20" t="s">
        <v>190</v>
      </c>
      <c r="D110" s="20" t="s">
        <v>190</v>
      </c>
      <c r="E110" s="20" t="s">
        <v>190</v>
      </c>
      <c r="F110" s="20" t="s">
        <v>190</v>
      </c>
      <c r="G110" s="20" t="s">
        <v>190</v>
      </c>
      <c r="H110" s="20">
        <v>2270</v>
      </c>
      <c r="I110" s="20">
        <v>2290</v>
      </c>
      <c r="J110" s="20">
        <v>2250</v>
      </c>
      <c r="K110" s="20">
        <v>2260</v>
      </c>
      <c r="L110" s="20">
        <v>2285</v>
      </c>
      <c r="M110" s="18">
        <v>2250</v>
      </c>
      <c r="N110" s="18">
        <v>2215</v>
      </c>
      <c r="O110" s="18">
        <v>2180</v>
      </c>
      <c r="P110" s="18">
        <v>2110</v>
      </c>
      <c r="Q110" s="18">
        <v>2110</v>
      </c>
    </row>
    <row r="111" spans="1:17" x14ac:dyDescent="0.2">
      <c r="A111" s="16" t="s">
        <v>183</v>
      </c>
      <c r="B111" s="9" t="s">
        <v>114</v>
      </c>
      <c r="C111" s="20" t="s">
        <v>190</v>
      </c>
      <c r="D111" s="20" t="s">
        <v>190</v>
      </c>
      <c r="E111" s="20" t="s">
        <v>190</v>
      </c>
      <c r="F111" s="20" t="s">
        <v>190</v>
      </c>
      <c r="G111" s="20" t="s">
        <v>190</v>
      </c>
      <c r="H111" s="20">
        <v>6090</v>
      </c>
      <c r="I111" s="20">
        <v>6190</v>
      </c>
      <c r="J111" s="20">
        <v>6100</v>
      </c>
      <c r="K111" s="20">
        <v>6115</v>
      </c>
      <c r="L111" s="20">
        <v>6205</v>
      </c>
      <c r="M111" s="18">
        <v>6125</v>
      </c>
      <c r="N111" s="18">
        <v>6145</v>
      </c>
      <c r="O111" s="18">
        <v>6150</v>
      </c>
      <c r="P111" s="18">
        <v>6070</v>
      </c>
      <c r="Q111" s="18">
        <v>6125</v>
      </c>
    </row>
    <row r="112" spans="1:17" x14ac:dyDescent="0.2">
      <c r="A112" s="16" t="s">
        <v>183</v>
      </c>
      <c r="B112" s="9" t="s">
        <v>115</v>
      </c>
      <c r="C112" s="20" t="s">
        <v>190</v>
      </c>
      <c r="D112" s="20" t="s">
        <v>190</v>
      </c>
      <c r="E112" s="20" t="s">
        <v>190</v>
      </c>
      <c r="F112" s="20" t="s">
        <v>190</v>
      </c>
      <c r="G112" s="20" t="s">
        <v>190</v>
      </c>
      <c r="H112" s="20">
        <v>2275</v>
      </c>
      <c r="I112" s="20">
        <v>2285</v>
      </c>
      <c r="J112" s="20">
        <v>2315</v>
      </c>
      <c r="K112" s="20">
        <v>2320</v>
      </c>
      <c r="L112" s="20">
        <v>2375</v>
      </c>
      <c r="M112" s="18">
        <v>2350</v>
      </c>
      <c r="N112" s="18">
        <v>2315</v>
      </c>
      <c r="O112" s="18">
        <v>2380</v>
      </c>
      <c r="P112" s="18">
        <v>2430</v>
      </c>
      <c r="Q112" s="18">
        <v>2495</v>
      </c>
    </row>
    <row r="113" spans="1:17" x14ac:dyDescent="0.2">
      <c r="A113" s="16" t="s">
        <v>183</v>
      </c>
      <c r="B113" s="9" t="s">
        <v>13</v>
      </c>
      <c r="C113" s="20" t="s">
        <v>190</v>
      </c>
      <c r="D113" s="20" t="s">
        <v>190</v>
      </c>
      <c r="E113" s="20" t="s">
        <v>190</v>
      </c>
      <c r="F113" s="20" t="s">
        <v>190</v>
      </c>
      <c r="G113" s="20" t="s">
        <v>190</v>
      </c>
      <c r="H113" s="20">
        <v>3105</v>
      </c>
      <c r="I113" s="20">
        <v>3165</v>
      </c>
      <c r="J113" s="20">
        <v>3180</v>
      </c>
      <c r="K113" s="20">
        <v>3170</v>
      </c>
      <c r="L113" s="20">
        <v>3230</v>
      </c>
      <c r="M113" s="18">
        <v>3235</v>
      </c>
      <c r="N113" s="18">
        <v>3160</v>
      </c>
      <c r="O113" s="18">
        <v>3105</v>
      </c>
      <c r="P113" s="18">
        <v>3105</v>
      </c>
      <c r="Q113" s="18">
        <v>3075</v>
      </c>
    </row>
    <row r="114" spans="1:17" ht="15" customHeight="1" x14ac:dyDescent="0.2">
      <c r="A114" s="16" t="s">
        <v>183</v>
      </c>
      <c r="B114" s="9" t="s">
        <v>116</v>
      </c>
      <c r="C114" s="20" t="s">
        <v>190</v>
      </c>
      <c r="D114" s="20" t="s">
        <v>190</v>
      </c>
      <c r="E114" s="20" t="s">
        <v>190</v>
      </c>
      <c r="F114" s="20" t="s">
        <v>190</v>
      </c>
      <c r="G114" s="20" t="s">
        <v>190</v>
      </c>
      <c r="H114" s="20">
        <v>1480</v>
      </c>
      <c r="I114" s="20">
        <v>1460</v>
      </c>
      <c r="J114" s="20">
        <v>1465</v>
      </c>
      <c r="K114" s="20">
        <v>1490</v>
      </c>
      <c r="L114" s="20">
        <v>1505</v>
      </c>
      <c r="M114" s="18">
        <v>1465</v>
      </c>
      <c r="N114" s="18">
        <v>1440</v>
      </c>
      <c r="O114" s="18">
        <v>1475</v>
      </c>
      <c r="P114" s="18">
        <v>1470</v>
      </c>
      <c r="Q114" s="18">
        <v>1470</v>
      </c>
    </row>
    <row r="115" spans="1:17" x14ac:dyDescent="0.2">
      <c r="A115" s="16" t="s">
        <v>183</v>
      </c>
      <c r="B115" s="9" t="s">
        <v>117</v>
      </c>
      <c r="C115" s="20" t="s">
        <v>190</v>
      </c>
      <c r="D115" s="20" t="s">
        <v>190</v>
      </c>
      <c r="E115" s="20" t="s">
        <v>190</v>
      </c>
      <c r="F115" s="20" t="s">
        <v>190</v>
      </c>
      <c r="G115" s="20" t="s">
        <v>190</v>
      </c>
      <c r="H115" s="20">
        <v>1170</v>
      </c>
      <c r="I115" s="20">
        <v>1155</v>
      </c>
      <c r="J115" s="20">
        <v>1155</v>
      </c>
      <c r="K115" s="20">
        <v>1180</v>
      </c>
      <c r="L115" s="20">
        <v>1175</v>
      </c>
      <c r="M115" s="18">
        <v>1175</v>
      </c>
      <c r="N115" s="18">
        <v>1180</v>
      </c>
      <c r="O115" s="18">
        <v>1180</v>
      </c>
      <c r="P115" s="18">
        <v>1185</v>
      </c>
      <c r="Q115" s="18">
        <v>1205</v>
      </c>
    </row>
    <row r="116" spans="1:17" x14ac:dyDescent="0.2">
      <c r="A116" s="16" t="s">
        <v>183</v>
      </c>
      <c r="B116" s="9" t="s">
        <v>118</v>
      </c>
      <c r="C116" s="20" t="s">
        <v>190</v>
      </c>
      <c r="D116" s="20" t="s">
        <v>190</v>
      </c>
      <c r="E116" s="20" t="s">
        <v>190</v>
      </c>
      <c r="F116" s="20" t="s">
        <v>190</v>
      </c>
      <c r="G116" s="20" t="s">
        <v>190</v>
      </c>
      <c r="H116" s="20">
        <v>1400</v>
      </c>
      <c r="I116" s="20">
        <v>1440</v>
      </c>
      <c r="J116" s="20">
        <v>1475</v>
      </c>
      <c r="K116" s="20">
        <v>1495</v>
      </c>
      <c r="L116" s="20">
        <v>1485</v>
      </c>
      <c r="M116" s="18">
        <v>1490</v>
      </c>
      <c r="N116" s="18">
        <v>1540</v>
      </c>
      <c r="O116" s="18">
        <v>1570</v>
      </c>
      <c r="P116" s="18">
        <v>1580</v>
      </c>
      <c r="Q116" s="18">
        <v>1565</v>
      </c>
    </row>
    <row r="117" spans="1:17" x14ac:dyDescent="0.2">
      <c r="A117" s="16" t="s">
        <v>183</v>
      </c>
      <c r="B117" s="9" t="s">
        <v>184</v>
      </c>
      <c r="C117" s="20" t="s">
        <v>190</v>
      </c>
      <c r="D117" s="20" t="s">
        <v>190</v>
      </c>
      <c r="E117" s="20" t="s">
        <v>190</v>
      </c>
      <c r="F117" s="20" t="s">
        <v>190</v>
      </c>
      <c r="G117" s="20" t="s">
        <v>190</v>
      </c>
      <c r="H117" s="20">
        <v>21125</v>
      </c>
      <c r="I117" s="20">
        <v>21315</v>
      </c>
      <c r="J117" s="20">
        <v>21300</v>
      </c>
      <c r="K117" s="20">
        <v>21325</v>
      </c>
      <c r="L117" s="20">
        <v>21535</v>
      </c>
      <c r="M117" s="18">
        <v>21380</v>
      </c>
      <c r="N117" s="18">
        <v>21310</v>
      </c>
      <c r="O117" s="18">
        <v>21460</v>
      </c>
      <c r="P117" s="18">
        <v>21380</v>
      </c>
      <c r="Q117" s="18">
        <v>21450</v>
      </c>
    </row>
    <row r="118" spans="1:17" ht="28.5" customHeight="1" x14ac:dyDescent="0.2">
      <c r="A118" s="17" t="s">
        <v>185</v>
      </c>
      <c r="B118" s="17" t="s">
        <v>111</v>
      </c>
      <c r="C118" s="20" t="s">
        <v>190</v>
      </c>
      <c r="D118" s="20" t="s">
        <v>190</v>
      </c>
      <c r="E118" s="20" t="s">
        <v>190</v>
      </c>
      <c r="F118" s="20" t="s">
        <v>190</v>
      </c>
      <c r="G118" s="20" t="s">
        <v>190</v>
      </c>
      <c r="H118" s="20">
        <v>765</v>
      </c>
      <c r="I118" s="20">
        <v>805</v>
      </c>
      <c r="J118" s="20">
        <v>830</v>
      </c>
      <c r="K118" s="20">
        <v>855</v>
      </c>
      <c r="L118" s="20">
        <v>870</v>
      </c>
      <c r="M118" s="18">
        <v>870</v>
      </c>
      <c r="N118" s="18">
        <v>920</v>
      </c>
      <c r="O118" s="18">
        <v>1035</v>
      </c>
      <c r="P118" s="18">
        <v>1045</v>
      </c>
      <c r="Q118" s="18">
        <v>1070</v>
      </c>
    </row>
    <row r="119" spans="1:17" x14ac:dyDescent="0.2">
      <c r="A119" s="17" t="s">
        <v>185</v>
      </c>
      <c r="B119" s="9" t="s">
        <v>186</v>
      </c>
      <c r="C119" s="20" t="s">
        <v>190</v>
      </c>
      <c r="D119" s="20" t="s">
        <v>190</v>
      </c>
      <c r="E119" s="20" t="s">
        <v>190</v>
      </c>
      <c r="F119" s="20" t="s">
        <v>190</v>
      </c>
      <c r="G119" s="20" t="s">
        <v>190</v>
      </c>
      <c r="H119" s="20">
        <v>11085</v>
      </c>
      <c r="I119" s="20">
        <v>11415</v>
      </c>
      <c r="J119" s="20">
        <v>11585</v>
      </c>
      <c r="K119" s="20">
        <v>11740</v>
      </c>
      <c r="L119" s="20">
        <v>11980</v>
      </c>
      <c r="M119" s="18">
        <v>12085</v>
      </c>
      <c r="N119" s="18">
        <v>12135</v>
      </c>
      <c r="O119" s="18">
        <v>12170</v>
      </c>
      <c r="P119" s="18">
        <v>12105</v>
      </c>
      <c r="Q119" s="18">
        <v>12235</v>
      </c>
    </row>
    <row r="120" spans="1:17" x14ac:dyDescent="0.2">
      <c r="A120" s="17" t="s">
        <v>185</v>
      </c>
      <c r="B120" s="9" t="s">
        <v>151</v>
      </c>
      <c r="C120" s="20" t="s">
        <v>190</v>
      </c>
      <c r="D120" s="20" t="s">
        <v>190</v>
      </c>
      <c r="E120" s="20" t="s">
        <v>190</v>
      </c>
      <c r="F120" s="20" t="s">
        <v>190</v>
      </c>
      <c r="G120" s="20" t="s">
        <v>190</v>
      </c>
      <c r="H120" s="20">
        <v>19760</v>
      </c>
      <c r="I120" s="20">
        <v>20560</v>
      </c>
      <c r="J120" s="20">
        <v>21135</v>
      </c>
      <c r="K120" s="20">
        <v>21420</v>
      </c>
      <c r="L120" s="20">
        <v>21935</v>
      </c>
      <c r="M120" s="18">
        <v>22520</v>
      </c>
      <c r="N120" s="18">
        <v>22535</v>
      </c>
      <c r="O120" s="18">
        <v>22650</v>
      </c>
      <c r="P120" s="18">
        <v>22505</v>
      </c>
      <c r="Q120" s="18">
        <v>22690</v>
      </c>
    </row>
    <row r="121" spans="1:17" ht="28.5" customHeight="1" x14ac:dyDescent="0.2">
      <c r="A121" s="91" t="s">
        <v>270</v>
      </c>
      <c r="B121" s="92" t="s">
        <v>271</v>
      </c>
      <c r="C121" s="20" t="s">
        <v>190</v>
      </c>
      <c r="D121" s="20" t="s">
        <v>190</v>
      </c>
      <c r="E121" s="20" t="s">
        <v>190</v>
      </c>
      <c r="F121" s="20" t="s">
        <v>190</v>
      </c>
      <c r="G121" s="20" t="s">
        <v>190</v>
      </c>
      <c r="H121" s="93">
        <v>680</v>
      </c>
      <c r="I121" s="93">
        <v>670</v>
      </c>
      <c r="J121" s="93">
        <v>685</v>
      </c>
      <c r="K121" s="93">
        <v>685</v>
      </c>
      <c r="L121" s="93">
        <v>690</v>
      </c>
      <c r="M121" s="61">
        <v>675</v>
      </c>
      <c r="N121" s="18">
        <v>670</v>
      </c>
      <c r="O121" s="61">
        <v>705</v>
      </c>
      <c r="P121" s="61">
        <v>720</v>
      </c>
      <c r="Q121" s="61">
        <v>710</v>
      </c>
    </row>
    <row r="122" spans="1:17" x14ac:dyDescent="0.2">
      <c r="A122" s="91" t="s">
        <v>270</v>
      </c>
      <c r="B122" s="92" t="s">
        <v>272</v>
      </c>
      <c r="C122" s="20" t="s">
        <v>190</v>
      </c>
      <c r="D122" s="20" t="s">
        <v>190</v>
      </c>
      <c r="E122" s="20" t="s">
        <v>190</v>
      </c>
      <c r="F122" s="20" t="s">
        <v>190</v>
      </c>
      <c r="G122" s="20" t="s">
        <v>190</v>
      </c>
      <c r="H122" s="93">
        <v>540</v>
      </c>
      <c r="I122" s="93">
        <v>530</v>
      </c>
      <c r="J122" s="93">
        <v>545</v>
      </c>
      <c r="K122" s="93">
        <v>525</v>
      </c>
      <c r="L122" s="93">
        <v>520</v>
      </c>
      <c r="M122" s="61">
        <v>510</v>
      </c>
      <c r="N122" s="18">
        <v>515</v>
      </c>
      <c r="O122" s="61">
        <v>540</v>
      </c>
      <c r="P122" s="61">
        <v>545</v>
      </c>
      <c r="Q122" s="61">
        <v>545</v>
      </c>
    </row>
    <row r="123" spans="1:17" x14ac:dyDescent="0.2">
      <c r="A123" s="91" t="s">
        <v>270</v>
      </c>
      <c r="B123" s="92" t="s">
        <v>273</v>
      </c>
      <c r="C123" s="20" t="s">
        <v>190</v>
      </c>
      <c r="D123" s="20" t="s">
        <v>190</v>
      </c>
      <c r="E123" s="20" t="s">
        <v>190</v>
      </c>
      <c r="F123" s="20" t="s">
        <v>190</v>
      </c>
      <c r="G123" s="20" t="s">
        <v>190</v>
      </c>
      <c r="H123" s="93">
        <v>770</v>
      </c>
      <c r="I123" s="93">
        <v>770</v>
      </c>
      <c r="J123" s="93">
        <v>785</v>
      </c>
      <c r="K123" s="93">
        <v>770</v>
      </c>
      <c r="L123" s="93">
        <v>785</v>
      </c>
      <c r="M123" s="61">
        <v>800</v>
      </c>
      <c r="N123" s="18">
        <v>775</v>
      </c>
      <c r="O123" s="61">
        <v>795</v>
      </c>
      <c r="P123" s="61">
        <v>805</v>
      </c>
      <c r="Q123" s="61">
        <v>840</v>
      </c>
    </row>
    <row r="124" spans="1:17" x14ac:dyDescent="0.2">
      <c r="A124" s="91" t="s">
        <v>270</v>
      </c>
      <c r="B124" s="92" t="s">
        <v>274</v>
      </c>
      <c r="C124" s="20" t="s">
        <v>190</v>
      </c>
      <c r="D124" s="20" t="s">
        <v>190</v>
      </c>
      <c r="E124" s="20" t="s">
        <v>190</v>
      </c>
      <c r="F124" s="20" t="s">
        <v>190</v>
      </c>
      <c r="G124" s="20" t="s">
        <v>190</v>
      </c>
      <c r="H124" s="93">
        <v>815</v>
      </c>
      <c r="I124" s="93">
        <v>805</v>
      </c>
      <c r="J124" s="93">
        <v>805</v>
      </c>
      <c r="K124" s="93">
        <v>815</v>
      </c>
      <c r="L124" s="93">
        <v>800</v>
      </c>
      <c r="M124" s="61">
        <v>810</v>
      </c>
      <c r="N124" s="18">
        <v>800</v>
      </c>
      <c r="O124" s="61">
        <v>800</v>
      </c>
      <c r="P124" s="61">
        <v>785</v>
      </c>
      <c r="Q124" s="61">
        <v>800</v>
      </c>
    </row>
    <row r="125" spans="1:17" x14ac:dyDescent="0.2">
      <c r="A125" s="91" t="s">
        <v>270</v>
      </c>
      <c r="B125" s="92" t="s">
        <v>275</v>
      </c>
      <c r="C125" s="20" t="s">
        <v>190</v>
      </c>
      <c r="D125" s="20" t="s">
        <v>190</v>
      </c>
      <c r="E125" s="20" t="s">
        <v>190</v>
      </c>
      <c r="F125" s="20" t="s">
        <v>190</v>
      </c>
      <c r="G125" s="20" t="s">
        <v>190</v>
      </c>
      <c r="H125" s="93">
        <v>1185</v>
      </c>
      <c r="I125" s="93">
        <v>1165</v>
      </c>
      <c r="J125" s="93">
        <v>1170</v>
      </c>
      <c r="K125" s="93">
        <v>1195</v>
      </c>
      <c r="L125" s="93">
        <v>1205</v>
      </c>
      <c r="M125" s="61">
        <v>1175</v>
      </c>
      <c r="N125" s="18">
        <v>1160</v>
      </c>
      <c r="O125" s="61">
        <v>1190</v>
      </c>
      <c r="P125" s="61">
        <v>1195</v>
      </c>
      <c r="Q125" s="61">
        <v>1190</v>
      </c>
    </row>
    <row r="126" spans="1:17" x14ac:dyDescent="0.2">
      <c r="A126" s="91" t="s">
        <v>270</v>
      </c>
      <c r="B126" s="92" t="s">
        <v>276</v>
      </c>
      <c r="C126" s="20" t="s">
        <v>190</v>
      </c>
      <c r="D126" s="20" t="s">
        <v>190</v>
      </c>
      <c r="E126" s="20" t="s">
        <v>190</v>
      </c>
      <c r="F126" s="20" t="s">
        <v>190</v>
      </c>
      <c r="G126" s="20" t="s">
        <v>190</v>
      </c>
      <c r="H126" s="93">
        <v>295</v>
      </c>
      <c r="I126" s="93">
        <v>300</v>
      </c>
      <c r="J126" s="93">
        <v>290</v>
      </c>
      <c r="K126" s="93">
        <v>295</v>
      </c>
      <c r="L126" s="93">
        <v>300</v>
      </c>
      <c r="M126" s="61">
        <v>290</v>
      </c>
      <c r="N126" s="18">
        <v>280</v>
      </c>
      <c r="O126" s="61">
        <v>285</v>
      </c>
      <c r="P126" s="61">
        <v>275</v>
      </c>
      <c r="Q126" s="61">
        <v>280</v>
      </c>
    </row>
    <row r="127" spans="1:17" x14ac:dyDescent="0.2">
      <c r="A127" s="91" t="s">
        <v>270</v>
      </c>
      <c r="B127" s="92" t="s">
        <v>277</v>
      </c>
      <c r="C127" s="20" t="s">
        <v>190</v>
      </c>
      <c r="D127" s="20" t="s">
        <v>190</v>
      </c>
      <c r="E127" s="20" t="s">
        <v>190</v>
      </c>
      <c r="F127" s="20" t="s">
        <v>190</v>
      </c>
      <c r="G127" s="20" t="s">
        <v>190</v>
      </c>
      <c r="H127" s="93">
        <v>1180</v>
      </c>
      <c r="I127" s="93">
        <v>1220</v>
      </c>
      <c r="J127" s="93">
        <v>1255</v>
      </c>
      <c r="K127" s="93">
        <v>1265</v>
      </c>
      <c r="L127" s="93">
        <v>1255</v>
      </c>
      <c r="M127" s="61">
        <v>1255</v>
      </c>
      <c r="N127" s="18">
        <v>1300</v>
      </c>
      <c r="O127" s="61">
        <v>1340</v>
      </c>
      <c r="P127" s="61">
        <v>1340</v>
      </c>
      <c r="Q127" s="61">
        <v>1335</v>
      </c>
    </row>
    <row r="128" spans="1:17" ht="15" customHeight="1" x14ac:dyDescent="0.2">
      <c r="A128" s="91" t="s">
        <v>270</v>
      </c>
      <c r="B128" s="92" t="s">
        <v>278</v>
      </c>
      <c r="C128" s="20" t="s">
        <v>190</v>
      </c>
      <c r="D128" s="20" t="s">
        <v>190</v>
      </c>
      <c r="E128" s="20" t="s">
        <v>190</v>
      </c>
      <c r="F128" s="20" t="s">
        <v>190</v>
      </c>
      <c r="G128" s="20" t="s">
        <v>190</v>
      </c>
      <c r="H128" s="93">
        <v>220</v>
      </c>
      <c r="I128" s="93">
        <v>220</v>
      </c>
      <c r="J128" s="93">
        <v>225</v>
      </c>
      <c r="K128" s="93">
        <v>230</v>
      </c>
      <c r="L128" s="93">
        <v>230</v>
      </c>
      <c r="M128" s="61">
        <v>240</v>
      </c>
      <c r="N128" s="18">
        <v>240</v>
      </c>
      <c r="O128" s="61">
        <v>230</v>
      </c>
      <c r="P128" s="61">
        <v>240</v>
      </c>
      <c r="Q128" s="61">
        <v>230</v>
      </c>
    </row>
    <row r="129" spans="1:17" x14ac:dyDescent="0.2">
      <c r="A129" s="91" t="s">
        <v>270</v>
      </c>
      <c r="B129" s="92" t="s">
        <v>279</v>
      </c>
      <c r="C129" s="20" t="s">
        <v>190</v>
      </c>
      <c r="D129" s="20" t="s">
        <v>190</v>
      </c>
      <c r="E129" s="20" t="s">
        <v>190</v>
      </c>
      <c r="F129" s="20" t="s">
        <v>190</v>
      </c>
      <c r="G129" s="20" t="s">
        <v>190</v>
      </c>
      <c r="H129" s="93">
        <v>360</v>
      </c>
      <c r="I129" s="93">
        <v>355</v>
      </c>
      <c r="J129" s="93">
        <v>355</v>
      </c>
      <c r="K129" s="93">
        <v>370</v>
      </c>
      <c r="L129" s="93">
        <v>380</v>
      </c>
      <c r="M129" s="61">
        <v>365</v>
      </c>
      <c r="N129" s="18">
        <v>380</v>
      </c>
      <c r="O129" s="61">
        <v>385</v>
      </c>
      <c r="P129" s="61">
        <v>400</v>
      </c>
      <c r="Q129" s="61">
        <v>410</v>
      </c>
    </row>
    <row r="130" spans="1:17" ht="28.5" customHeight="1" x14ac:dyDescent="0.2">
      <c r="A130" s="91" t="s">
        <v>263</v>
      </c>
      <c r="B130" s="92" t="s">
        <v>280</v>
      </c>
      <c r="C130" s="20" t="s">
        <v>190</v>
      </c>
      <c r="D130" s="20" t="s">
        <v>190</v>
      </c>
      <c r="E130" s="20" t="s">
        <v>190</v>
      </c>
      <c r="F130" s="20" t="s">
        <v>190</v>
      </c>
      <c r="G130" s="20" t="s">
        <v>190</v>
      </c>
      <c r="H130" s="93">
        <v>19410</v>
      </c>
      <c r="I130" s="93">
        <v>19875</v>
      </c>
      <c r="J130" s="93">
        <v>20530</v>
      </c>
      <c r="K130" s="93">
        <v>20445</v>
      </c>
      <c r="L130" s="93">
        <v>20730</v>
      </c>
      <c r="M130" s="61">
        <v>21135</v>
      </c>
      <c r="N130" s="18">
        <v>21485</v>
      </c>
      <c r="O130" s="61">
        <v>21595</v>
      </c>
      <c r="P130" s="61">
        <v>21380</v>
      </c>
      <c r="Q130" s="61">
        <v>21285</v>
      </c>
    </row>
    <row r="131" spans="1:17" x14ac:dyDescent="0.2">
      <c r="A131" s="91" t="s">
        <v>263</v>
      </c>
      <c r="B131" s="92" t="s">
        <v>264</v>
      </c>
      <c r="C131" s="20" t="s">
        <v>190</v>
      </c>
      <c r="D131" s="20" t="s">
        <v>190</v>
      </c>
      <c r="E131" s="20" t="s">
        <v>190</v>
      </c>
      <c r="F131" s="20" t="s">
        <v>190</v>
      </c>
      <c r="G131" s="20" t="s">
        <v>190</v>
      </c>
      <c r="H131" s="93">
        <v>26320</v>
      </c>
      <c r="I131" s="93">
        <v>26915</v>
      </c>
      <c r="J131" s="93">
        <v>27280</v>
      </c>
      <c r="K131" s="93">
        <v>27180</v>
      </c>
      <c r="L131" s="93">
        <v>27670</v>
      </c>
      <c r="M131" s="61">
        <v>28050</v>
      </c>
      <c r="N131" s="18">
        <v>27965</v>
      </c>
      <c r="O131" s="61">
        <v>27975</v>
      </c>
      <c r="P131" s="61">
        <v>27675</v>
      </c>
      <c r="Q131" s="61">
        <v>27665</v>
      </c>
    </row>
    <row r="132" spans="1:17" x14ac:dyDescent="0.2">
      <c r="A132" s="91" t="s">
        <v>263</v>
      </c>
      <c r="B132" s="92" t="s">
        <v>265</v>
      </c>
      <c r="C132" s="20" t="s">
        <v>190</v>
      </c>
      <c r="D132" s="20" t="s">
        <v>190</v>
      </c>
      <c r="E132" s="20" t="s">
        <v>190</v>
      </c>
      <c r="F132" s="20" t="s">
        <v>190</v>
      </c>
      <c r="G132" s="20" t="s">
        <v>190</v>
      </c>
      <c r="H132" s="93">
        <v>39895</v>
      </c>
      <c r="I132" s="93">
        <v>40410</v>
      </c>
      <c r="J132" s="93">
        <v>40830</v>
      </c>
      <c r="K132" s="93">
        <v>40970</v>
      </c>
      <c r="L132" s="93">
        <v>41435</v>
      </c>
      <c r="M132" s="61">
        <v>41415</v>
      </c>
      <c r="N132" s="18">
        <v>40970</v>
      </c>
      <c r="O132" s="61">
        <v>41045</v>
      </c>
      <c r="P132" s="61">
        <v>41135</v>
      </c>
      <c r="Q132" s="61">
        <v>41410</v>
      </c>
    </row>
    <row r="133" spans="1:17" x14ac:dyDescent="0.2">
      <c r="A133" s="91" t="s">
        <v>263</v>
      </c>
      <c r="B133" s="92" t="s">
        <v>266</v>
      </c>
      <c r="C133" s="20" t="s">
        <v>190</v>
      </c>
      <c r="D133" s="20" t="s">
        <v>190</v>
      </c>
      <c r="E133" s="20" t="s">
        <v>190</v>
      </c>
      <c r="F133" s="20" t="s">
        <v>190</v>
      </c>
      <c r="G133" s="20" t="s">
        <v>190</v>
      </c>
      <c r="H133" s="93">
        <v>44685</v>
      </c>
      <c r="I133" s="93">
        <v>45750</v>
      </c>
      <c r="J133" s="93">
        <v>46615</v>
      </c>
      <c r="K133" s="93">
        <v>46765</v>
      </c>
      <c r="L133" s="93">
        <v>47255</v>
      </c>
      <c r="M133" s="61">
        <v>47275</v>
      </c>
      <c r="N133" s="18">
        <v>46720</v>
      </c>
      <c r="O133" s="61">
        <v>46035</v>
      </c>
      <c r="P133" s="61">
        <v>45620</v>
      </c>
      <c r="Q133" s="61">
        <v>46200</v>
      </c>
    </row>
    <row r="134" spans="1:17" x14ac:dyDescent="0.2">
      <c r="A134" s="91" t="s">
        <v>263</v>
      </c>
      <c r="B134" s="92" t="s">
        <v>281</v>
      </c>
      <c r="C134" s="20" t="s">
        <v>190</v>
      </c>
      <c r="D134" s="20" t="s">
        <v>190</v>
      </c>
      <c r="E134" s="20" t="s">
        <v>190</v>
      </c>
      <c r="F134" s="20" t="s">
        <v>190</v>
      </c>
      <c r="G134" s="20" t="s">
        <v>190</v>
      </c>
      <c r="H134" s="93">
        <v>36375</v>
      </c>
      <c r="I134" s="93">
        <v>37180</v>
      </c>
      <c r="J134" s="93">
        <v>37320</v>
      </c>
      <c r="K134" s="93">
        <v>36985</v>
      </c>
      <c r="L134" s="93">
        <v>37590</v>
      </c>
      <c r="M134" s="61">
        <v>37390</v>
      </c>
      <c r="N134" s="18">
        <v>36035</v>
      </c>
      <c r="O134" s="61">
        <v>34600</v>
      </c>
      <c r="P134" s="61">
        <v>33515</v>
      </c>
      <c r="Q134" s="61">
        <v>33270</v>
      </c>
    </row>
  </sheetData>
  <phoneticPr fontId="44" type="noConversion"/>
  <hyperlinks>
    <hyperlink ref="A11" location="Contents!A1" display="This cell contains a hyperlink to the Table of Contents" xr:uid="{779ACB49-C608-48DB-A27E-50D7A05CCCDF}"/>
    <hyperlink ref="A8" r:id="rId1" xr:uid="{0CDB2934-4DCE-4947-BB99-3AEF2CE41287}"/>
    <hyperlink ref="A9" r:id="rId2" xr:uid="{20FC21CF-3C37-4619-89DA-39973E652563}"/>
  </hyperlinks>
  <pageMargins left="0.7" right="0.7" top="0.75" bottom="0.75" header="0.3" footer="0.3"/>
  <pageSetup paperSize="9" scale="30" orientation="portrait"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Q134"/>
  <sheetViews>
    <sheetView showGridLines="0" zoomScaleNormal="100" workbookViewId="0"/>
  </sheetViews>
  <sheetFormatPr defaultColWidth="9.140625" defaultRowHeight="15" x14ac:dyDescent="0.2"/>
  <cols>
    <col min="1" max="1" width="61.42578125" style="13" customWidth="1"/>
    <col min="2" max="2" width="54.42578125" style="9" customWidth="1"/>
    <col min="3" max="12" width="11.42578125" style="14" bestFit="1" customWidth="1"/>
    <col min="13" max="17" width="11.42578125" style="13" customWidth="1"/>
    <col min="18" max="16384" width="9.140625" style="13"/>
  </cols>
  <sheetData>
    <row r="1" spans="1:17" ht="20.25" x14ac:dyDescent="0.3">
      <c r="A1" s="22" t="s">
        <v>293</v>
      </c>
      <c r="B1" s="13"/>
      <c r="I1" s="14" t="s">
        <v>0</v>
      </c>
    </row>
    <row r="2" spans="1:17" x14ac:dyDescent="0.2">
      <c r="A2" s="9" t="s">
        <v>152</v>
      </c>
      <c r="B2" s="13"/>
    </row>
    <row r="3" spans="1:17" x14ac:dyDescent="0.2">
      <c r="A3" s="9" t="s">
        <v>233</v>
      </c>
      <c r="B3" s="13"/>
    </row>
    <row r="4" spans="1:17" x14ac:dyDescent="0.2">
      <c r="A4" s="9" t="s">
        <v>297</v>
      </c>
      <c r="B4" s="13"/>
    </row>
    <row r="5" spans="1:17" x14ac:dyDescent="0.2">
      <c r="A5" s="9" t="s">
        <v>302</v>
      </c>
      <c r="B5" s="13"/>
    </row>
    <row r="6" spans="1:17" x14ac:dyDescent="0.2">
      <c r="A6" s="9" t="s">
        <v>191</v>
      </c>
      <c r="B6" s="13"/>
    </row>
    <row r="7" spans="1:17" ht="15" customHeight="1" x14ac:dyDescent="0.2">
      <c r="A7" s="9" t="s">
        <v>339</v>
      </c>
      <c r="B7" s="13"/>
    </row>
    <row r="8" spans="1:17" x14ac:dyDescent="0.2">
      <c r="A8" s="3" t="s">
        <v>340</v>
      </c>
      <c r="B8" s="13"/>
    </row>
    <row r="9" spans="1:17" x14ac:dyDescent="0.2">
      <c r="A9" s="3" t="s">
        <v>341</v>
      </c>
      <c r="B9" s="13"/>
    </row>
    <row r="10" spans="1:17" s="27" customFormat="1" x14ac:dyDescent="0.25">
      <c r="A10" s="26" t="s">
        <v>338</v>
      </c>
      <c r="C10" s="28"/>
      <c r="D10" s="28"/>
      <c r="E10" s="28"/>
      <c r="F10" s="28"/>
      <c r="G10" s="28"/>
      <c r="H10" s="28"/>
      <c r="I10" s="28"/>
      <c r="J10" s="28"/>
      <c r="K10" s="28"/>
      <c r="L10" s="28"/>
    </row>
    <row r="11" spans="1:17" s="27" customFormat="1" ht="29.1" customHeight="1" x14ac:dyDescent="0.25">
      <c r="A11" s="35" t="s">
        <v>232</v>
      </c>
      <c r="C11" s="28"/>
      <c r="D11" s="28"/>
      <c r="E11" s="28"/>
      <c r="F11" s="28"/>
      <c r="G11" s="28"/>
      <c r="H11" s="28"/>
      <c r="I11" s="28"/>
      <c r="J11" s="28"/>
      <c r="K11" s="28"/>
      <c r="L11" s="28"/>
    </row>
    <row r="12" spans="1:17" ht="15.6" customHeight="1" x14ac:dyDescent="0.2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80" t="s">
        <v>257</v>
      </c>
      <c r="P12" s="80" t="s">
        <v>316</v>
      </c>
      <c r="Q12" s="80" t="s">
        <v>337</v>
      </c>
    </row>
    <row r="13" spans="1:17" x14ac:dyDescent="0.2">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18" t="s">
        <v>190</v>
      </c>
      <c r="P13" s="18" t="s">
        <v>190</v>
      </c>
      <c r="Q13" s="18" t="s">
        <v>190</v>
      </c>
    </row>
    <row r="14" spans="1:17" x14ac:dyDescent="0.2">
      <c r="A14" s="16" t="s">
        <v>178</v>
      </c>
      <c r="B14" s="17" t="s">
        <v>1</v>
      </c>
      <c r="C14" s="29">
        <v>0.34863288152364796</v>
      </c>
      <c r="D14" s="29">
        <v>0.35184791130025761</v>
      </c>
      <c r="E14" s="29">
        <v>0.35787076288796899</v>
      </c>
      <c r="F14" s="29">
        <v>0.3590294169070723</v>
      </c>
      <c r="G14" s="29">
        <v>0.36474669325998726</v>
      </c>
      <c r="H14" s="29">
        <v>0.36706152122915653</v>
      </c>
      <c r="I14" s="29">
        <v>0.36119622694694864</v>
      </c>
      <c r="J14" s="29">
        <v>0.36338850514792126</v>
      </c>
      <c r="K14" s="29">
        <v>0.36207020980462912</v>
      </c>
      <c r="L14" s="29">
        <v>0.36372822067324212</v>
      </c>
      <c r="M14" s="29">
        <v>0.36228537565964575</v>
      </c>
      <c r="N14" s="29">
        <v>0.36484774209629844</v>
      </c>
      <c r="O14" s="29">
        <v>0.36765044358888516</v>
      </c>
      <c r="P14" s="29">
        <v>0.3680456117980288</v>
      </c>
      <c r="Q14" s="29">
        <v>0.36241270235710105</v>
      </c>
    </row>
    <row r="15" spans="1:17" ht="35.450000000000003" customHeight="1" x14ac:dyDescent="0.2">
      <c r="A15" s="17" t="s">
        <v>179</v>
      </c>
      <c r="B15" s="17" t="s">
        <v>35</v>
      </c>
      <c r="C15" s="29">
        <v>0.34967940034317707</v>
      </c>
      <c r="D15" s="29">
        <v>0.35617624276666515</v>
      </c>
      <c r="E15" s="29">
        <v>0.35702854094425179</v>
      </c>
      <c r="F15" s="29">
        <v>0.35192258721670489</v>
      </c>
      <c r="G15" s="29">
        <v>0.35248582191497291</v>
      </c>
      <c r="H15" s="29">
        <v>0.35408163265306125</v>
      </c>
      <c r="I15" s="29">
        <v>0.35281083299138283</v>
      </c>
      <c r="J15" s="29">
        <v>0.36292874861004193</v>
      </c>
      <c r="K15" s="29">
        <v>0.36553741377804944</v>
      </c>
      <c r="L15" s="29">
        <v>0.36751039915036726</v>
      </c>
      <c r="M15" s="29">
        <v>0.36014368949051562</v>
      </c>
      <c r="N15" s="29">
        <v>0.36815415821501013</v>
      </c>
      <c r="O15" s="29">
        <v>0.37114713922141579</v>
      </c>
      <c r="P15" s="29">
        <v>0.3692496808661529</v>
      </c>
      <c r="Q15" s="29">
        <v>0.36866468282083981</v>
      </c>
    </row>
    <row r="16" spans="1:17" x14ac:dyDescent="0.2">
      <c r="A16" s="16" t="s">
        <v>179</v>
      </c>
      <c r="B16" s="17" t="s">
        <v>36</v>
      </c>
      <c r="C16" s="29">
        <v>0.28099265524148676</v>
      </c>
      <c r="D16" s="29">
        <v>0.28419538329254579</v>
      </c>
      <c r="E16" s="29">
        <v>0.28973493660102878</v>
      </c>
      <c r="F16" s="29">
        <v>0.29638027636746028</v>
      </c>
      <c r="G16" s="29">
        <v>0.30467676490082285</v>
      </c>
      <c r="H16" s="29">
        <v>0.3080352862211142</v>
      </c>
      <c r="I16" s="29">
        <v>0.30279622564489034</v>
      </c>
      <c r="J16" s="29">
        <v>0.30483682529792039</v>
      </c>
      <c r="K16" s="29">
        <v>0.30460857129676616</v>
      </c>
      <c r="L16" s="29">
        <v>0.30690329878626676</v>
      </c>
      <c r="M16" s="29">
        <v>0.30627502931189377</v>
      </c>
      <c r="N16" s="29">
        <v>0.31516735100161752</v>
      </c>
      <c r="O16" s="29">
        <v>0.31719366049026787</v>
      </c>
      <c r="P16" s="29">
        <v>0.31580007436787305</v>
      </c>
      <c r="Q16" s="29">
        <v>0.31334189078424396</v>
      </c>
    </row>
    <row r="17" spans="1:17" x14ac:dyDescent="0.2">
      <c r="A17" s="16" t="s">
        <v>179</v>
      </c>
      <c r="B17" s="17" t="s">
        <v>37</v>
      </c>
      <c r="C17" s="29">
        <v>0.32464355015607865</v>
      </c>
      <c r="D17" s="29">
        <v>0.32804947088795017</v>
      </c>
      <c r="E17" s="29">
        <v>0.33715909830552604</v>
      </c>
      <c r="F17" s="29">
        <v>0.33471109415405487</v>
      </c>
      <c r="G17" s="29">
        <v>0.3415391023638446</v>
      </c>
      <c r="H17" s="29">
        <v>0.34293156135277592</v>
      </c>
      <c r="I17" s="29">
        <v>0.33774621250226344</v>
      </c>
      <c r="J17" s="29">
        <v>0.34004701569846202</v>
      </c>
      <c r="K17" s="29">
        <v>0.33962595315638588</v>
      </c>
      <c r="L17" s="29">
        <v>0.34063883009428514</v>
      </c>
      <c r="M17" s="29">
        <v>0.33888719046163251</v>
      </c>
      <c r="N17" s="48">
        <v>0.32885551488623072</v>
      </c>
      <c r="O17" s="29">
        <v>0.33082062703443549</v>
      </c>
      <c r="P17" s="29">
        <v>0.33749304048994949</v>
      </c>
      <c r="Q17" s="29">
        <v>0.32680790537505616</v>
      </c>
    </row>
    <row r="18" spans="1:17" x14ac:dyDescent="0.2">
      <c r="A18" s="16" t="s">
        <v>179</v>
      </c>
      <c r="B18" s="17" t="s">
        <v>236</v>
      </c>
      <c r="C18" s="29">
        <v>0.36588451805843109</v>
      </c>
      <c r="D18" s="29">
        <v>0.35792540792540795</v>
      </c>
      <c r="E18" s="29">
        <v>0.36073633661102217</v>
      </c>
      <c r="F18" s="29">
        <v>0.36182722749886931</v>
      </c>
      <c r="G18" s="29">
        <v>0.3704355477342719</v>
      </c>
      <c r="H18" s="29">
        <v>0.36741973840665876</v>
      </c>
      <c r="I18" s="29">
        <v>0.36676678824286635</v>
      </c>
      <c r="J18" s="29">
        <v>0.36085561497326202</v>
      </c>
      <c r="K18" s="29">
        <v>0.35242657779629244</v>
      </c>
      <c r="L18" s="29">
        <v>0.35293501048218029</v>
      </c>
      <c r="M18" s="29">
        <v>0.3502398203898357</v>
      </c>
      <c r="N18" s="48">
        <v>0.3561223409884644</v>
      </c>
      <c r="O18" s="29">
        <v>0.36987794245858763</v>
      </c>
      <c r="P18" s="29">
        <v>0.37095709570957097</v>
      </c>
      <c r="Q18" s="29">
        <v>0.34732423924449107</v>
      </c>
    </row>
    <row r="19" spans="1:17" x14ac:dyDescent="0.2">
      <c r="A19" s="16" t="s">
        <v>179</v>
      </c>
      <c r="B19" s="17" t="s">
        <v>38</v>
      </c>
      <c r="C19" s="29">
        <v>0.39450021824530773</v>
      </c>
      <c r="D19" s="29">
        <v>0.39629179604878267</v>
      </c>
      <c r="E19" s="29">
        <v>0.4083617135687399</v>
      </c>
      <c r="F19" s="29">
        <v>0.40322224674464796</v>
      </c>
      <c r="G19" s="29">
        <v>0.40803668923345709</v>
      </c>
      <c r="H19" s="29">
        <v>0.41037011768719084</v>
      </c>
      <c r="I19" s="29">
        <v>0.39735627360469994</v>
      </c>
      <c r="J19" s="29">
        <v>0.40012549675800041</v>
      </c>
      <c r="K19" s="29">
        <v>0.40024620434961017</v>
      </c>
      <c r="L19" s="29">
        <v>0.40314784979551371</v>
      </c>
      <c r="M19" s="29">
        <v>0.40204654233371845</v>
      </c>
      <c r="N19" s="48">
        <v>0.408982748364069</v>
      </c>
      <c r="O19" s="29">
        <v>0.40806355680176737</v>
      </c>
      <c r="P19" s="29">
        <v>0.39789185375772917</v>
      </c>
      <c r="Q19" s="29">
        <v>0.39580109572999872</v>
      </c>
    </row>
    <row r="20" spans="1:17" x14ac:dyDescent="0.2">
      <c r="A20" s="16" t="s">
        <v>179</v>
      </c>
      <c r="B20" s="17" t="s">
        <v>121</v>
      </c>
      <c r="C20" s="29">
        <v>0.52810935695032735</v>
      </c>
      <c r="D20" s="29">
        <v>0.53472588297311541</v>
      </c>
      <c r="E20" s="29">
        <v>0.53955480563307157</v>
      </c>
      <c r="F20" s="29">
        <v>0.53946947906679454</v>
      </c>
      <c r="G20" s="29">
        <v>0.53221897719505373</v>
      </c>
      <c r="H20" s="29">
        <v>0.52822093304326811</v>
      </c>
      <c r="I20" s="29">
        <v>0.52312417198602912</v>
      </c>
      <c r="J20" s="29">
        <v>0.52388363462229137</v>
      </c>
      <c r="K20" s="29">
        <v>0.51872925557136085</v>
      </c>
      <c r="L20" s="29">
        <v>0.52315659389160241</v>
      </c>
      <c r="M20" s="29">
        <v>0.52386571479143307</v>
      </c>
      <c r="N20" s="48">
        <v>0.5235104091888011</v>
      </c>
      <c r="O20" s="29">
        <v>0.52712759572680346</v>
      </c>
      <c r="P20" s="29">
        <v>0.52502972651605229</v>
      </c>
      <c r="Q20" s="29">
        <v>0.52477140978903958</v>
      </c>
    </row>
    <row r="21" spans="1:17" x14ac:dyDescent="0.2">
      <c r="A21" s="16" t="s">
        <v>179</v>
      </c>
      <c r="B21" s="17" t="s">
        <v>39</v>
      </c>
      <c r="C21" s="29">
        <v>0.42058886739737805</v>
      </c>
      <c r="D21" s="29">
        <v>0.41552712836347594</v>
      </c>
      <c r="E21" s="29">
        <v>0.42448436460412509</v>
      </c>
      <c r="F21" s="29">
        <v>0.42773480662983426</v>
      </c>
      <c r="G21" s="29">
        <v>0.43513921864882366</v>
      </c>
      <c r="H21" s="29">
        <v>0.44331550802139036</v>
      </c>
      <c r="I21" s="29">
        <v>0.43544764145897957</v>
      </c>
      <c r="J21" s="29">
        <v>0.43606557377049182</v>
      </c>
      <c r="K21" s="29">
        <v>0.43079348397267475</v>
      </c>
      <c r="L21" s="29">
        <v>0.43717112186908019</v>
      </c>
      <c r="M21" s="29">
        <v>0.43460678940087261</v>
      </c>
      <c r="N21" s="48">
        <v>0.44490508400610951</v>
      </c>
      <c r="O21" s="29">
        <v>0.44350961538461536</v>
      </c>
      <c r="P21" s="29">
        <v>0.44514860139860141</v>
      </c>
      <c r="Q21" s="29">
        <v>0.44854734974495453</v>
      </c>
    </row>
    <row r="22" spans="1:17" x14ac:dyDescent="0.2">
      <c r="A22" s="16" t="s">
        <v>179</v>
      </c>
      <c r="B22" s="17" t="s">
        <v>40</v>
      </c>
      <c r="C22" s="29">
        <v>0.56386749786089718</v>
      </c>
      <c r="D22" s="29">
        <v>0.56431170786798845</v>
      </c>
      <c r="E22" s="29">
        <v>0.5699789629996288</v>
      </c>
      <c r="F22" s="29">
        <v>0.56706866847157278</v>
      </c>
      <c r="G22" s="29">
        <v>0.57315744886844977</v>
      </c>
      <c r="H22" s="29">
        <v>0.57009009009009004</v>
      </c>
      <c r="I22" s="29">
        <v>0.55781661479530764</v>
      </c>
      <c r="J22" s="29">
        <v>0.56159420289855078</v>
      </c>
      <c r="K22" s="29">
        <v>0.55424389092196902</v>
      </c>
      <c r="L22" s="29">
        <v>0.5481731440539912</v>
      </c>
      <c r="M22" s="29">
        <v>0.55515759312320911</v>
      </c>
      <c r="N22" s="48">
        <v>0.56518518518518523</v>
      </c>
      <c r="O22" s="29">
        <v>0.57478845196615236</v>
      </c>
      <c r="P22" s="29">
        <v>0.57392273402674587</v>
      </c>
      <c r="Q22" s="29">
        <v>0.57075821190417386</v>
      </c>
    </row>
    <row r="23" spans="1:17" ht="36.6" customHeight="1" x14ac:dyDescent="0.2">
      <c r="A23" s="17" t="s">
        <v>180</v>
      </c>
      <c r="B23" s="17" t="s">
        <v>41</v>
      </c>
      <c r="C23" s="29">
        <v>0.61333878887070381</v>
      </c>
      <c r="D23" s="29">
        <v>0.62347753044939103</v>
      </c>
      <c r="E23" s="29">
        <v>0.61704730831973897</v>
      </c>
      <c r="F23" s="29">
        <v>0.6152613659122772</v>
      </c>
      <c r="G23" s="29">
        <v>0.60632071790870079</v>
      </c>
      <c r="H23" s="29">
        <v>0.60037558685446013</v>
      </c>
      <c r="I23" s="29">
        <v>0.59024934871604018</v>
      </c>
      <c r="J23" s="29">
        <v>0.60261682242990655</v>
      </c>
      <c r="K23" s="29">
        <v>0.59868667917448404</v>
      </c>
      <c r="L23" s="29">
        <v>0.6077316657191586</v>
      </c>
      <c r="M23" s="29">
        <v>0.61001317523056653</v>
      </c>
      <c r="N23" s="48">
        <v>0.60513886264878136</v>
      </c>
      <c r="O23" s="29">
        <v>0.60511848341232233</v>
      </c>
      <c r="P23" s="29">
        <v>0.60761402186204294</v>
      </c>
      <c r="Q23" s="29">
        <v>0.61184588844163312</v>
      </c>
    </row>
    <row r="24" spans="1:17" x14ac:dyDescent="0.2">
      <c r="A24" s="16" t="s">
        <v>180</v>
      </c>
      <c r="B24" s="17" t="s">
        <v>42</v>
      </c>
      <c r="C24" s="29">
        <v>0.50416958575335036</v>
      </c>
      <c r="D24" s="29">
        <v>0.50291057432277586</v>
      </c>
      <c r="E24" s="29">
        <v>0.50935001580920547</v>
      </c>
      <c r="F24" s="29">
        <v>0.50404947400853906</v>
      </c>
      <c r="G24" s="29">
        <v>0.50751619870410369</v>
      </c>
      <c r="H24" s="29">
        <v>0.51048264977499092</v>
      </c>
      <c r="I24" s="29">
        <v>0.50283349251830622</v>
      </c>
      <c r="J24" s="29">
        <v>0.50343978257176836</v>
      </c>
      <c r="K24" s="29">
        <v>0.49706429302743477</v>
      </c>
      <c r="L24" s="29">
        <v>0.49512230484041342</v>
      </c>
      <c r="M24" s="29">
        <v>0.49598313961980678</v>
      </c>
      <c r="N24" s="48">
        <v>0.49954121588459977</v>
      </c>
      <c r="O24" s="29">
        <v>0.50607226533112659</v>
      </c>
      <c r="P24" s="29">
        <v>0.50107673610370784</v>
      </c>
      <c r="Q24" s="29">
        <v>0.50012811752647757</v>
      </c>
    </row>
    <row r="25" spans="1:17" x14ac:dyDescent="0.2">
      <c r="A25" s="16" t="s">
        <v>180</v>
      </c>
      <c r="B25" s="17" t="s">
        <v>43</v>
      </c>
      <c r="C25" s="29">
        <v>0.34729984457157975</v>
      </c>
      <c r="D25" s="29">
        <v>0.34554086130891826</v>
      </c>
      <c r="E25" s="29">
        <v>0.35428252674994504</v>
      </c>
      <c r="F25" s="29">
        <v>0.35722827643125432</v>
      </c>
      <c r="G25" s="29">
        <v>0.36498364339292205</v>
      </c>
      <c r="H25" s="29">
        <v>0.36616806914175037</v>
      </c>
      <c r="I25" s="29">
        <v>0.35848094813304449</v>
      </c>
      <c r="J25" s="29">
        <v>0.36211122783560945</v>
      </c>
      <c r="K25" s="29">
        <v>0.35860058309037901</v>
      </c>
      <c r="L25" s="29">
        <v>0.36121874999999998</v>
      </c>
      <c r="M25" s="29">
        <v>0.36053210923228252</v>
      </c>
      <c r="N25" s="48">
        <v>0.36713776419658772</v>
      </c>
      <c r="O25" s="29">
        <v>0.37021406335248241</v>
      </c>
      <c r="P25" s="29">
        <v>0.37129738147607044</v>
      </c>
      <c r="Q25" s="29">
        <v>0.36449344838606584</v>
      </c>
    </row>
    <row r="26" spans="1:17" x14ac:dyDescent="0.2">
      <c r="A26" s="16" t="s">
        <v>180</v>
      </c>
      <c r="B26" s="17" t="s">
        <v>44</v>
      </c>
      <c r="C26" s="29">
        <v>0.23969210894606524</v>
      </c>
      <c r="D26" s="29">
        <v>0.24634506003791867</v>
      </c>
      <c r="E26" s="29">
        <v>0.25022879170248757</v>
      </c>
      <c r="F26" s="29">
        <v>0.25303179285480171</v>
      </c>
      <c r="G26" s="29">
        <v>0.25929750680632485</v>
      </c>
      <c r="H26" s="29">
        <v>0.26241453641376938</v>
      </c>
      <c r="I26" s="29">
        <v>0.25984850470474141</v>
      </c>
      <c r="J26" s="29">
        <v>0.26156699845860437</v>
      </c>
      <c r="K26" s="29">
        <v>0.2642474205288079</v>
      </c>
      <c r="L26" s="29">
        <v>0.2672428270614528</v>
      </c>
      <c r="M26" s="29">
        <v>0.26529285823520415</v>
      </c>
      <c r="N26" s="48">
        <v>0.26523246671221046</v>
      </c>
      <c r="O26" s="29">
        <v>0.26575477574750833</v>
      </c>
      <c r="P26" s="29">
        <v>0.26771704765745957</v>
      </c>
      <c r="Q26" s="29">
        <v>0.26206483815926862</v>
      </c>
    </row>
    <row r="27" spans="1:17" ht="28.5" customHeight="1" x14ac:dyDescent="0.2">
      <c r="A27" s="17" t="s">
        <v>181</v>
      </c>
      <c r="B27" s="17" t="s">
        <v>45</v>
      </c>
      <c r="C27" s="29">
        <v>0.52810935695032735</v>
      </c>
      <c r="D27" s="29">
        <v>0.53472588297311541</v>
      </c>
      <c r="E27" s="29">
        <v>0.53955480563307157</v>
      </c>
      <c r="F27" s="29">
        <v>0.53946947906679454</v>
      </c>
      <c r="G27" s="29">
        <v>0.53221897719505373</v>
      </c>
      <c r="H27" s="29">
        <v>0.52822093304326811</v>
      </c>
      <c r="I27" s="29">
        <v>0.52312417198602912</v>
      </c>
      <c r="J27" s="29">
        <v>0.52388363462229137</v>
      </c>
      <c r="K27" s="29">
        <v>0.51872925557136085</v>
      </c>
      <c r="L27" s="29">
        <v>0.52315659389160241</v>
      </c>
      <c r="M27" s="29">
        <v>0.52386571479143307</v>
      </c>
      <c r="N27" s="48">
        <v>0.5235104091888011</v>
      </c>
      <c r="O27" s="29">
        <v>0.52712759572680346</v>
      </c>
      <c r="P27" s="29">
        <v>0.52502972651605229</v>
      </c>
      <c r="Q27" s="29">
        <v>0.52477140978903958</v>
      </c>
    </row>
    <row r="28" spans="1:17" x14ac:dyDescent="0.2">
      <c r="A28" s="16" t="s">
        <v>181</v>
      </c>
      <c r="B28" s="17" t="s">
        <v>120</v>
      </c>
      <c r="C28" s="29">
        <v>0.56386749786089718</v>
      </c>
      <c r="D28" s="29">
        <v>0.56431170786798845</v>
      </c>
      <c r="E28" s="29">
        <v>0.5699789629996288</v>
      </c>
      <c r="F28" s="29">
        <v>0.56706866847157278</v>
      </c>
      <c r="G28" s="29">
        <v>0.57315744886844977</v>
      </c>
      <c r="H28" s="29">
        <v>0.57009009009009004</v>
      </c>
      <c r="I28" s="29">
        <v>0.55781661479530764</v>
      </c>
      <c r="J28" s="29">
        <v>0.56159420289855078</v>
      </c>
      <c r="K28" s="29">
        <v>0.55424389092196902</v>
      </c>
      <c r="L28" s="29">
        <v>0.5481731440539912</v>
      </c>
      <c r="M28" s="29">
        <v>0.55515759312320911</v>
      </c>
      <c r="N28" s="48">
        <v>0.56518518518518523</v>
      </c>
      <c r="O28" s="29">
        <v>0.57478845196615236</v>
      </c>
      <c r="P28" s="29">
        <v>0.57392273402674587</v>
      </c>
      <c r="Q28" s="29">
        <v>0.57075821190417386</v>
      </c>
    </row>
    <row r="29" spans="1:17" x14ac:dyDescent="0.2">
      <c r="A29" s="16" t="s">
        <v>181</v>
      </c>
      <c r="B29" s="17" t="s">
        <v>46</v>
      </c>
      <c r="C29" s="29">
        <v>0.32017806748083216</v>
      </c>
      <c r="D29" s="29">
        <v>0.32310404282148281</v>
      </c>
      <c r="E29" s="29">
        <v>0.32913505214405392</v>
      </c>
      <c r="F29" s="29">
        <v>0.33068977426140467</v>
      </c>
      <c r="G29" s="29">
        <v>0.33750824807750418</v>
      </c>
      <c r="H29" s="29">
        <v>0.34055171994282063</v>
      </c>
      <c r="I29" s="29">
        <v>0.33519995678556636</v>
      </c>
      <c r="J29" s="29">
        <v>0.33748501558379285</v>
      </c>
      <c r="K29" s="29">
        <v>0.33674473762229468</v>
      </c>
      <c r="L29" s="29">
        <v>0.33838705868461449</v>
      </c>
      <c r="M29" s="29">
        <v>0.33673852581178926</v>
      </c>
      <c r="N29" s="48">
        <v>0.33936203823478567</v>
      </c>
      <c r="O29" s="29">
        <v>0.34169299710465295</v>
      </c>
      <c r="P29" s="29">
        <v>0.34220438666578556</v>
      </c>
      <c r="Q29" s="29">
        <v>0.33625216833400662</v>
      </c>
    </row>
    <row r="30" spans="1:17" ht="30" customHeight="1" x14ac:dyDescent="0.2">
      <c r="A30" s="17" t="s">
        <v>47</v>
      </c>
      <c r="B30" s="17" t="s">
        <v>22</v>
      </c>
      <c r="C30" s="29">
        <v>0.23637520322329822</v>
      </c>
      <c r="D30" s="29">
        <v>0.24246792561626063</v>
      </c>
      <c r="E30" s="29">
        <v>0.24089240327591077</v>
      </c>
      <c r="F30" s="29">
        <v>0.24457798038403095</v>
      </c>
      <c r="G30" s="29">
        <v>0.24369466058492084</v>
      </c>
      <c r="H30" s="29">
        <v>0.24180381830151415</v>
      </c>
      <c r="I30" s="29">
        <v>0.24274107618540225</v>
      </c>
      <c r="J30" s="29">
        <v>0.24873382104670794</v>
      </c>
      <c r="K30" s="29">
        <v>0.25198919629170013</v>
      </c>
      <c r="L30" s="29">
        <v>0.25385642242657963</v>
      </c>
      <c r="M30" s="29">
        <v>0.24456403170678495</v>
      </c>
      <c r="N30" s="48">
        <v>0.2547979403963177</v>
      </c>
      <c r="O30" s="29">
        <v>0.25379299388354915</v>
      </c>
      <c r="P30" s="29">
        <v>0.25735529261272788</v>
      </c>
      <c r="Q30" s="29">
        <v>0.2568345323741007</v>
      </c>
    </row>
    <row r="31" spans="1:17" x14ac:dyDescent="0.2">
      <c r="A31" s="16" t="s">
        <v>47</v>
      </c>
      <c r="B31" s="17" t="s">
        <v>23</v>
      </c>
      <c r="C31" s="29">
        <v>0.5500687585948244</v>
      </c>
      <c r="D31" s="29">
        <v>0.55159172550476898</v>
      </c>
      <c r="E31" s="29">
        <v>0.5545018007202881</v>
      </c>
      <c r="F31" s="29">
        <v>0.5230074856891237</v>
      </c>
      <c r="G31" s="29">
        <v>0.52784084765920636</v>
      </c>
      <c r="H31" s="29">
        <v>0.53727175080558542</v>
      </c>
      <c r="I31" s="29">
        <v>0.52950609364977552</v>
      </c>
      <c r="J31" s="29">
        <v>0.54003927558367881</v>
      </c>
      <c r="K31" s="29">
        <v>0.53448463125882484</v>
      </c>
      <c r="L31" s="29">
        <v>0.53565942506034669</v>
      </c>
      <c r="M31" s="29">
        <v>0.53525782282944023</v>
      </c>
      <c r="N31" s="48">
        <v>0.53189091728645477</v>
      </c>
      <c r="O31" s="29">
        <v>0.54235716769034648</v>
      </c>
      <c r="P31" s="29">
        <v>0.53118130278838371</v>
      </c>
      <c r="Q31" s="29">
        <v>0.53019281838124932</v>
      </c>
    </row>
    <row r="32" spans="1:17" x14ac:dyDescent="0.2">
      <c r="A32" s="16" t="s">
        <v>47</v>
      </c>
      <c r="B32" s="17" t="s">
        <v>29</v>
      </c>
      <c r="C32" s="29">
        <v>0.55027223230490019</v>
      </c>
      <c r="D32" s="29">
        <v>0.54595588235294112</v>
      </c>
      <c r="E32" s="29">
        <v>0.55400952032222628</v>
      </c>
      <c r="F32" s="29">
        <v>0.53631875881523272</v>
      </c>
      <c r="G32" s="29">
        <v>0.55057351407716371</v>
      </c>
      <c r="H32" s="29">
        <v>0.5555173599174974</v>
      </c>
      <c r="I32" s="29">
        <v>0.53616298811544993</v>
      </c>
      <c r="J32" s="29">
        <v>0.51879194630872483</v>
      </c>
      <c r="K32" s="29">
        <v>0.52775941837409124</v>
      </c>
      <c r="L32" s="29">
        <v>0.52095018145826455</v>
      </c>
      <c r="M32" s="29">
        <v>0.52509907529722588</v>
      </c>
      <c r="N32" s="48">
        <v>0.52069425901201605</v>
      </c>
      <c r="O32" s="29">
        <v>0.52974983096686956</v>
      </c>
      <c r="P32" s="29">
        <v>0.52314352314352319</v>
      </c>
      <c r="Q32" s="29">
        <v>0.52086811352253759</v>
      </c>
    </row>
    <row r="33" spans="1:17" x14ac:dyDescent="0.2">
      <c r="A33" s="16" t="s">
        <v>47</v>
      </c>
      <c r="B33" s="17" t="s">
        <v>24</v>
      </c>
      <c r="C33" s="29">
        <v>0.57608279034112686</v>
      </c>
      <c r="D33" s="29">
        <v>0.5823874755381605</v>
      </c>
      <c r="E33" s="29">
        <v>0.56870086110071139</v>
      </c>
      <c r="F33" s="29">
        <v>0.56716967243283034</v>
      </c>
      <c r="G33" s="29">
        <v>0.57267759562841525</v>
      </c>
      <c r="H33" s="29">
        <v>0.55903271692745382</v>
      </c>
      <c r="I33" s="29">
        <v>0.55439856373429086</v>
      </c>
      <c r="J33" s="29">
        <v>0.55961331901181521</v>
      </c>
      <c r="K33" s="29">
        <v>0.55468471677947984</v>
      </c>
      <c r="L33" s="29">
        <v>0.55614973262032086</v>
      </c>
      <c r="M33" s="29">
        <v>0.56072443181818177</v>
      </c>
      <c r="N33" s="48">
        <v>0.55961331901181521</v>
      </c>
      <c r="O33" s="29">
        <v>0.5561516452074392</v>
      </c>
      <c r="P33" s="29">
        <v>0.55567490153956323</v>
      </c>
      <c r="Q33" s="29">
        <v>0.56217616580310881</v>
      </c>
    </row>
    <row r="34" spans="1:17" x14ac:dyDescent="0.2">
      <c r="A34" s="16" t="s">
        <v>47</v>
      </c>
      <c r="B34" s="17" t="s">
        <v>25</v>
      </c>
      <c r="C34" s="29">
        <v>0.24901169322957847</v>
      </c>
      <c r="D34" s="29">
        <v>0.2550654512463818</v>
      </c>
      <c r="E34" s="29">
        <v>0.26312623528400791</v>
      </c>
      <c r="F34" s="29">
        <v>0.26108537392455328</v>
      </c>
      <c r="G34" s="29">
        <v>0.269974461875228</v>
      </c>
      <c r="H34" s="29">
        <v>0.27503310992495084</v>
      </c>
      <c r="I34" s="29">
        <v>0.27364878241932289</v>
      </c>
      <c r="J34" s="29">
        <v>0.27358563280406967</v>
      </c>
      <c r="K34" s="29">
        <v>0.2755024360535932</v>
      </c>
      <c r="L34" s="29">
        <v>0.27423516402506448</v>
      </c>
      <c r="M34" s="29">
        <v>0.27503905256657102</v>
      </c>
      <c r="N34" s="48">
        <v>0.2609216459977452</v>
      </c>
      <c r="O34" s="29">
        <v>0.26350404312668463</v>
      </c>
      <c r="P34" s="29">
        <v>0.27421555252387447</v>
      </c>
      <c r="Q34" s="29">
        <v>0.26191900355371028</v>
      </c>
    </row>
    <row r="35" spans="1:17" x14ac:dyDescent="0.2">
      <c r="A35" s="16" t="s">
        <v>47</v>
      </c>
      <c r="B35" s="17" t="s">
        <v>2</v>
      </c>
      <c r="C35" s="29">
        <v>0.42364532019704432</v>
      </c>
      <c r="D35" s="29">
        <v>0.40375123395853901</v>
      </c>
      <c r="E35" s="29">
        <v>0.39085820895522388</v>
      </c>
      <c r="F35" s="29">
        <v>0.40357478833490124</v>
      </c>
      <c r="G35" s="29">
        <v>0.42019837691614065</v>
      </c>
      <c r="H35" s="29">
        <v>0.41793721973094172</v>
      </c>
      <c r="I35" s="29">
        <v>0.41370106761565834</v>
      </c>
      <c r="J35" s="29">
        <v>0.40054249547920434</v>
      </c>
      <c r="K35" s="29">
        <v>0.39926739926739929</v>
      </c>
      <c r="L35" s="29">
        <v>0.38799283154121866</v>
      </c>
      <c r="M35" s="29">
        <v>0.38577777777777778</v>
      </c>
      <c r="N35" s="48">
        <v>0.39371534195933455</v>
      </c>
      <c r="O35" s="29">
        <v>0.41176470588235292</v>
      </c>
      <c r="P35" s="29">
        <v>0.38804638715432649</v>
      </c>
      <c r="Q35" s="29">
        <v>0.39473684210526316</v>
      </c>
    </row>
    <row r="36" spans="1:17" x14ac:dyDescent="0.2">
      <c r="A36" s="16" t="s">
        <v>47</v>
      </c>
      <c r="B36" s="17" t="s">
        <v>3</v>
      </c>
      <c r="C36" s="29">
        <v>0.55457598656591101</v>
      </c>
      <c r="D36" s="29">
        <v>0.55189385833511662</v>
      </c>
      <c r="E36" s="29">
        <v>0.5545013704406494</v>
      </c>
      <c r="F36" s="29">
        <v>0.55714586402862554</v>
      </c>
      <c r="G36" s="29">
        <v>0.56365524402907585</v>
      </c>
      <c r="H36" s="29">
        <v>0.56242299794661188</v>
      </c>
      <c r="I36" s="29">
        <v>0.54676113360323886</v>
      </c>
      <c r="J36" s="29">
        <v>0.5478225478225478</v>
      </c>
      <c r="K36" s="29">
        <v>0.53824701195219127</v>
      </c>
      <c r="L36" s="29">
        <v>0.53223915592028137</v>
      </c>
      <c r="M36" s="29">
        <v>0.55032467532467533</v>
      </c>
      <c r="N36" s="29">
        <v>0.56131877362452753</v>
      </c>
      <c r="O36" s="29">
        <v>0.56509812196665965</v>
      </c>
      <c r="P36" s="29">
        <v>0.5602866779089376</v>
      </c>
      <c r="Q36" s="29">
        <v>0.55458150699227715</v>
      </c>
    </row>
    <row r="37" spans="1:17" x14ac:dyDescent="0.2">
      <c r="A37" s="16" t="s">
        <v>47</v>
      </c>
      <c r="B37" s="17" t="s">
        <v>30</v>
      </c>
      <c r="C37" s="29">
        <v>0.27864734299516908</v>
      </c>
      <c r="D37" s="29">
        <v>0.28992026170517277</v>
      </c>
      <c r="E37" s="29">
        <v>0.30113406237343054</v>
      </c>
      <c r="F37" s="29">
        <v>0.30034405990690144</v>
      </c>
      <c r="G37" s="29">
        <v>0.30682044143965004</v>
      </c>
      <c r="H37" s="29">
        <v>0.31525357352653222</v>
      </c>
      <c r="I37" s="29">
        <v>0.30185399768250287</v>
      </c>
      <c r="J37" s="29">
        <v>0.30209953343701401</v>
      </c>
      <c r="K37" s="29">
        <v>0.30739299610894943</v>
      </c>
      <c r="L37" s="29">
        <v>0.31295459013170829</v>
      </c>
      <c r="M37" s="29">
        <v>0.31859964795619011</v>
      </c>
      <c r="N37" s="29">
        <v>0.32500000000000001</v>
      </c>
      <c r="O37" s="29">
        <v>0.32528666264333134</v>
      </c>
      <c r="P37" s="29">
        <v>0.31158429380738423</v>
      </c>
      <c r="Q37" s="29">
        <v>0.31184908626449204</v>
      </c>
    </row>
    <row r="38" spans="1:17" x14ac:dyDescent="0.2">
      <c r="A38" s="16" t="s">
        <v>47</v>
      </c>
      <c r="B38" s="17" t="s">
        <v>4</v>
      </c>
      <c r="C38" s="29">
        <v>0.44275911881545682</v>
      </c>
      <c r="D38" s="29">
        <v>0.4320441988950276</v>
      </c>
      <c r="E38" s="29">
        <v>0.43138686131386861</v>
      </c>
      <c r="F38" s="29">
        <v>0.44821231109472909</v>
      </c>
      <c r="G38" s="29">
        <v>0.46190302588406856</v>
      </c>
      <c r="H38" s="29">
        <v>0.47022955523672882</v>
      </c>
      <c r="I38" s="29">
        <v>0.45635910224438903</v>
      </c>
      <c r="J38" s="29">
        <v>0.4573643410852713</v>
      </c>
      <c r="K38" s="29">
        <v>0.4669051878354204</v>
      </c>
      <c r="L38" s="29">
        <v>0.46940966010733454</v>
      </c>
      <c r="M38" s="29">
        <v>0.47397160538769567</v>
      </c>
      <c r="N38" s="29">
        <v>0.47868001483129402</v>
      </c>
      <c r="O38" s="29">
        <v>0.49141791044776117</v>
      </c>
      <c r="P38" s="29">
        <v>0.49227289860535245</v>
      </c>
      <c r="Q38" s="29">
        <v>0.49526335733232285</v>
      </c>
    </row>
    <row r="39" spans="1:17" x14ac:dyDescent="0.2">
      <c r="A39" s="16" t="s">
        <v>47</v>
      </c>
      <c r="B39" s="17" t="s">
        <v>32</v>
      </c>
      <c r="C39" s="29">
        <v>0.47343251859723701</v>
      </c>
      <c r="D39" s="29">
        <v>0.4877384196185286</v>
      </c>
      <c r="E39" s="29">
        <v>0.48645778013807756</v>
      </c>
      <c r="F39" s="29">
        <v>0.48272357723577236</v>
      </c>
      <c r="G39" s="29">
        <v>0.48169556840077071</v>
      </c>
      <c r="H39" s="29">
        <v>0.48630783758262514</v>
      </c>
      <c r="I39" s="29">
        <v>0.47676023930050621</v>
      </c>
      <c r="J39" s="29">
        <v>0.47310344827586209</v>
      </c>
      <c r="K39" s="29">
        <v>0.47237569060773482</v>
      </c>
      <c r="L39" s="29">
        <v>0.45886654478976235</v>
      </c>
      <c r="M39" s="29">
        <v>0.46106067845198279</v>
      </c>
      <c r="N39" s="29">
        <v>0.48541769649036087</v>
      </c>
      <c r="O39" s="29">
        <v>0.51242236024844723</v>
      </c>
      <c r="P39" s="29">
        <v>0.50823892893923794</v>
      </c>
      <c r="Q39" s="29">
        <v>0.5074168797953964</v>
      </c>
    </row>
    <row r="40" spans="1:17" x14ac:dyDescent="0.2">
      <c r="A40" s="16" t="s">
        <v>47</v>
      </c>
      <c r="B40" s="17" t="s">
        <v>5</v>
      </c>
      <c r="C40" s="29">
        <v>0.5280898876404494</v>
      </c>
      <c r="D40" s="29">
        <v>0.50400754361150402</v>
      </c>
      <c r="E40" s="29">
        <v>0.52850467289719627</v>
      </c>
      <c r="F40" s="29">
        <v>0.54730983302411873</v>
      </c>
      <c r="G40" s="29">
        <v>0.53016858917480036</v>
      </c>
      <c r="H40" s="29">
        <v>0.53415601586602024</v>
      </c>
      <c r="I40" s="29">
        <v>0.54238754325259519</v>
      </c>
      <c r="J40" s="29">
        <v>0.54157690650581647</v>
      </c>
      <c r="K40" s="29">
        <v>0.50649878147847283</v>
      </c>
      <c r="L40" s="29">
        <v>0.49277061352090662</v>
      </c>
      <c r="M40" s="29">
        <v>0.49807098765432101</v>
      </c>
      <c r="N40" s="29">
        <v>0.47894736842105262</v>
      </c>
      <c r="O40" s="29">
        <v>0.49075122687806721</v>
      </c>
      <c r="P40" s="29">
        <v>0.49034175334323921</v>
      </c>
      <c r="Q40" s="29">
        <v>0.48782315473960286</v>
      </c>
    </row>
    <row r="41" spans="1:17" x14ac:dyDescent="0.2">
      <c r="A41" s="16" t="s">
        <v>47</v>
      </c>
      <c r="B41" s="17" t="s">
        <v>6</v>
      </c>
      <c r="C41" s="29">
        <v>0.5266903914590747</v>
      </c>
      <c r="D41" s="29">
        <v>0.53537563822027712</v>
      </c>
      <c r="E41" s="29">
        <v>0.54082344731332865</v>
      </c>
      <c r="F41" s="29">
        <v>0.53596127247579528</v>
      </c>
      <c r="G41" s="29">
        <v>0.55723098012337213</v>
      </c>
      <c r="H41" s="29">
        <v>0.54963839579224194</v>
      </c>
      <c r="I41" s="29">
        <v>0.53341985723556129</v>
      </c>
      <c r="J41" s="29">
        <v>0.53084112149532714</v>
      </c>
      <c r="K41" s="29">
        <v>0.52305825242718451</v>
      </c>
      <c r="L41" s="29">
        <v>0.53155940594059403</v>
      </c>
      <c r="M41" s="29">
        <v>0.52999381570810145</v>
      </c>
      <c r="N41" s="29">
        <v>0.53802992518703241</v>
      </c>
      <c r="O41" s="29">
        <v>0.53996224040276908</v>
      </c>
      <c r="P41" s="29">
        <v>0.55121638924455829</v>
      </c>
      <c r="Q41" s="29">
        <v>0.55089058524173029</v>
      </c>
    </row>
    <row r="42" spans="1:17" x14ac:dyDescent="0.2">
      <c r="A42" s="16" t="s">
        <v>47</v>
      </c>
      <c r="B42" s="17" t="s">
        <v>8</v>
      </c>
      <c r="C42" s="29">
        <v>0.31688493919550981</v>
      </c>
      <c r="D42" s="29">
        <v>0.31740284817764902</v>
      </c>
      <c r="E42" s="29">
        <v>0.32068718682891911</v>
      </c>
      <c r="F42" s="29">
        <v>0.31877627276973375</v>
      </c>
      <c r="G42" s="29">
        <v>0.3315704759714877</v>
      </c>
      <c r="H42" s="29">
        <v>0.32657657657657657</v>
      </c>
      <c r="I42" s="29">
        <v>0.32995951417004049</v>
      </c>
      <c r="J42" s="29">
        <v>0.32564330079858028</v>
      </c>
      <c r="K42" s="29">
        <v>0.32042253521126762</v>
      </c>
      <c r="L42" s="29">
        <v>0.32534706672637709</v>
      </c>
      <c r="M42" s="29">
        <v>0.31888142206806852</v>
      </c>
      <c r="N42" s="29">
        <v>0.3281143635125936</v>
      </c>
      <c r="O42" s="29">
        <v>0.3338728323699422</v>
      </c>
      <c r="P42" s="29">
        <v>0.33789846517119243</v>
      </c>
      <c r="Q42" s="29">
        <v>0.30021231422505307</v>
      </c>
    </row>
    <row r="43" spans="1:17" x14ac:dyDescent="0.2">
      <c r="A43" s="16" t="s">
        <v>47</v>
      </c>
      <c r="B43" s="17" t="s">
        <v>9</v>
      </c>
      <c r="C43" s="29">
        <v>0.37715803452855245</v>
      </c>
      <c r="D43" s="29">
        <v>0.37687117857895847</v>
      </c>
      <c r="E43" s="29">
        <v>0.39500000000000002</v>
      </c>
      <c r="F43" s="29">
        <v>0.3888655462184874</v>
      </c>
      <c r="G43" s="29">
        <v>0.38762013020564223</v>
      </c>
      <c r="H43" s="29">
        <v>0.38332004782781987</v>
      </c>
      <c r="I43" s="29">
        <v>0.37326694005077132</v>
      </c>
      <c r="J43" s="29">
        <v>0.3816288800233531</v>
      </c>
      <c r="K43" s="29">
        <v>0.38198113207547169</v>
      </c>
      <c r="L43" s="29">
        <v>0.39136718373639079</v>
      </c>
      <c r="M43" s="29">
        <v>0.38522224360207813</v>
      </c>
      <c r="N43" s="29">
        <v>0.38953025477707004</v>
      </c>
      <c r="O43" s="29">
        <v>0.38362456315526711</v>
      </c>
      <c r="P43" s="29">
        <v>0.37424975798644722</v>
      </c>
      <c r="Q43" s="29">
        <v>0.37485124950416504</v>
      </c>
    </row>
    <row r="44" spans="1:17" x14ac:dyDescent="0.2">
      <c r="A44" s="16" t="s">
        <v>47</v>
      </c>
      <c r="B44" s="17" t="s">
        <v>33</v>
      </c>
      <c r="C44" s="29">
        <v>0.22746212732969412</v>
      </c>
      <c r="D44" s="29">
        <v>0.23401495237770115</v>
      </c>
      <c r="E44" s="29">
        <v>0.23613072422836393</v>
      </c>
      <c r="F44" s="29">
        <v>0.24270140740490737</v>
      </c>
      <c r="G44" s="29">
        <v>0.2502920853222953</v>
      </c>
      <c r="H44" s="29">
        <v>0.25349472091569913</v>
      </c>
      <c r="I44" s="29">
        <v>0.24982986032342741</v>
      </c>
      <c r="J44" s="29">
        <v>0.25075209626832234</v>
      </c>
      <c r="K44" s="29">
        <v>0.25316937119675459</v>
      </c>
      <c r="L44" s="29">
        <v>0.25961902359026112</v>
      </c>
      <c r="M44" s="29">
        <v>0.25731832777379432</v>
      </c>
      <c r="N44" s="29">
        <v>0.2639485661542379</v>
      </c>
      <c r="O44" s="29">
        <v>0.26314293833475422</v>
      </c>
      <c r="P44" s="29">
        <v>0.2592719459408962</v>
      </c>
      <c r="Q44" s="29">
        <v>0.25641262225502859</v>
      </c>
    </row>
    <row r="45" spans="1:17" x14ac:dyDescent="0.2">
      <c r="A45" s="16" t="s">
        <v>47</v>
      </c>
      <c r="B45" s="17" t="s">
        <v>10</v>
      </c>
      <c r="C45" s="29">
        <v>0.4941191191191191</v>
      </c>
      <c r="D45" s="29">
        <v>0.50077002053388087</v>
      </c>
      <c r="E45" s="29">
        <v>0.51192145862552596</v>
      </c>
      <c r="F45" s="29">
        <v>0.51585997725262223</v>
      </c>
      <c r="G45" s="29">
        <v>0.50456148886996721</v>
      </c>
      <c r="H45" s="29">
        <v>0.50207863166646871</v>
      </c>
      <c r="I45" s="29">
        <v>0.50107836089144497</v>
      </c>
      <c r="J45" s="29">
        <v>0.49373226111636709</v>
      </c>
      <c r="K45" s="29">
        <v>0.48777095166338241</v>
      </c>
      <c r="L45" s="29">
        <v>0.48846675712347354</v>
      </c>
      <c r="M45" s="29">
        <v>0.48700927091679064</v>
      </c>
      <c r="N45" s="29">
        <v>0.49007009345794394</v>
      </c>
      <c r="O45" s="29">
        <v>0.49430497443049742</v>
      </c>
      <c r="P45" s="29">
        <v>0.49054863992623327</v>
      </c>
      <c r="Q45" s="29">
        <v>0.48964088397790057</v>
      </c>
    </row>
    <row r="46" spans="1:17" x14ac:dyDescent="0.2">
      <c r="A46" s="16" t="s">
        <v>47</v>
      </c>
      <c r="B46" s="17" t="s">
        <v>11</v>
      </c>
      <c r="C46" s="29">
        <v>0.31255946717411986</v>
      </c>
      <c r="D46" s="29">
        <v>0.30172413793103448</v>
      </c>
      <c r="E46" s="29">
        <v>0.30891566265060239</v>
      </c>
      <c r="F46" s="29">
        <v>0.30827067669172931</v>
      </c>
      <c r="G46" s="29">
        <v>0.30428432327166505</v>
      </c>
      <c r="H46" s="29">
        <v>0.3032904148783977</v>
      </c>
      <c r="I46" s="29">
        <v>0.30780141843971631</v>
      </c>
      <c r="J46" s="29">
        <v>0.31541725601131543</v>
      </c>
      <c r="K46" s="29">
        <v>0.32009569377990432</v>
      </c>
      <c r="L46" s="29">
        <v>0.31007751937984496</v>
      </c>
      <c r="M46" s="29">
        <v>0.32322713257965058</v>
      </c>
      <c r="N46" s="29">
        <v>0.32702418506834913</v>
      </c>
      <c r="O46" s="29">
        <v>0.33070866141732286</v>
      </c>
      <c r="P46" s="29">
        <v>0.32150313152400833</v>
      </c>
      <c r="Q46" s="29">
        <v>0.35381861575178997</v>
      </c>
    </row>
    <row r="47" spans="1:17" x14ac:dyDescent="0.2">
      <c r="A47" s="16" t="s">
        <v>47</v>
      </c>
      <c r="B47" s="17" t="s">
        <v>12</v>
      </c>
      <c r="C47" s="29">
        <v>0.4929282346778418</v>
      </c>
      <c r="D47" s="29">
        <v>0.5</v>
      </c>
      <c r="E47" s="29">
        <v>0.48572911261027502</v>
      </c>
      <c r="F47" s="29">
        <v>0.46276595744680848</v>
      </c>
      <c r="G47" s="29">
        <v>0.46654099905749291</v>
      </c>
      <c r="H47" s="29">
        <v>0.46384720327421552</v>
      </c>
      <c r="I47" s="29">
        <v>0.46705776173285196</v>
      </c>
      <c r="J47" s="29">
        <v>0.45243314335817625</v>
      </c>
      <c r="K47" s="29">
        <v>0.42822085889570555</v>
      </c>
      <c r="L47" s="29">
        <v>0.45155855096882896</v>
      </c>
      <c r="M47" s="29">
        <v>0.4430116472545757</v>
      </c>
      <c r="N47" s="29">
        <v>0.4466386554621849</v>
      </c>
      <c r="O47" s="29">
        <v>0.44648692810457519</v>
      </c>
      <c r="P47" s="29">
        <v>0.4326383319967923</v>
      </c>
      <c r="Q47" s="29">
        <v>0.43098702320094379</v>
      </c>
    </row>
    <row r="48" spans="1:17" x14ac:dyDescent="0.2">
      <c r="A48" s="16" t="s">
        <v>47</v>
      </c>
      <c r="B48" s="17" t="s">
        <v>13</v>
      </c>
      <c r="C48" s="29">
        <v>0.47446336047372317</v>
      </c>
      <c r="D48" s="29">
        <v>0.47444698703279942</v>
      </c>
      <c r="E48" s="29">
        <v>0.47821187077385424</v>
      </c>
      <c r="F48" s="29">
        <v>0.46951442132165022</v>
      </c>
      <c r="G48" s="29">
        <v>0.47669337217771302</v>
      </c>
      <c r="H48" s="29">
        <v>0.46968616262482166</v>
      </c>
      <c r="I48" s="29">
        <v>0.46188496188496186</v>
      </c>
      <c r="J48" s="29">
        <v>0.46655172413793106</v>
      </c>
      <c r="K48" s="29">
        <v>0.46415094339622642</v>
      </c>
      <c r="L48" s="29">
        <v>0.47458217270194986</v>
      </c>
      <c r="M48" s="29">
        <v>0.47706105553639189</v>
      </c>
      <c r="N48" s="29">
        <v>0.47258120852252883</v>
      </c>
      <c r="O48" s="29">
        <v>0.48077614085519221</v>
      </c>
      <c r="P48" s="29">
        <v>0.47603946441155742</v>
      </c>
      <c r="Q48" s="29">
        <v>0.47206506364922207</v>
      </c>
    </row>
    <row r="49" spans="1:17" x14ac:dyDescent="0.2">
      <c r="A49" s="16" t="s">
        <v>47</v>
      </c>
      <c r="B49" s="17" t="s">
        <v>7</v>
      </c>
      <c r="C49" s="29">
        <v>0.59595959595959591</v>
      </c>
      <c r="D49" s="29">
        <v>0.62480857580398164</v>
      </c>
      <c r="E49" s="29">
        <v>0.6491499227202473</v>
      </c>
      <c r="F49" s="29">
        <v>0.65912518853695323</v>
      </c>
      <c r="G49" s="29">
        <v>0.63517441860465118</v>
      </c>
      <c r="H49" s="29">
        <v>0.65963431786216598</v>
      </c>
      <c r="I49" s="29">
        <v>0.64747191011235961</v>
      </c>
      <c r="J49" s="29">
        <v>0.67094017094017089</v>
      </c>
      <c r="K49" s="29">
        <v>0.6550279329608939</v>
      </c>
      <c r="L49" s="29">
        <v>0.65598885793871864</v>
      </c>
      <c r="M49" s="29">
        <v>0.64755244755244756</v>
      </c>
      <c r="N49" s="29">
        <v>0.63427800269905532</v>
      </c>
      <c r="O49" s="29">
        <v>0.6469798657718121</v>
      </c>
      <c r="P49" s="29">
        <v>0.65223097112860895</v>
      </c>
      <c r="Q49" s="29">
        <v>0.65714285714285714</v>
      </c>
    </row>
    <row r="50" spans="1:17" x14ac:dyDescent="0.2">
      <c r="A50" s="16" t="s">
        <v>47</v>
      </c>
      <c r="B50" s="17" t="s">
        <v>14</v>
      </c>
      <c r="C50" s="29">
        <v>0.43007825791085402</v>
      </c>
      <c r="D50" s="29">
        <v>0.4222454672245467</v>
      </c>
      <c r="E50" s="29">
        <v>0.43956430077301478</v>
      </c>
      <c r="F50" s="29">
        <v>0.43401454797367511</v>
      </c>
      <c r="G50" s="29">
        <v>0.43977310643977313</v>
      </c>
      <c r="H50" s="29">
        <v>0.44691439946914402</v>
      </c>
      <c r="I50" s="29">
        <v>0.43377483443708609</v>
      </c>
      <c r="J50" s="29">
        <v>0.43294270833333331</v>
      </c>
      <c r="K50" s="29">
        <v>0.42320261437908496</v>
      </c>
      <c r="L50" s="29">
        <v>0.43253838614831752</v>
      </c>
      <c r="M50" s="29">
        <v>0.43118351063829785</v>
      </c>
      <c r="N50" s="29">
        <v>0.44238544474393532</v>
      </c>
      <c r="O50" s="29">
        <v>0.43752116491703352</v>
      </c>
      <c r="P50" s="29">
        <v>0.43735144312393887</v>
      </c>
      <c r="Q50" s="29">
        <v>0.42462482946793995</v>
      </c>
    </row>
    <row r="51" spans="1:17" x14ac:dyDescent="0.2">
      <c r="A51" s="16" t="s">
        <v>47</v>
      </c>
      <c r="B51" s="17" t="s">
        <v>31</v>
      </c>
      <c r="C51" s="29">
        <v>0.28688524590163933</v>
      </c>
      <c r="D51" s="29">
        <v>0.28688616698505448</v>
      </c>
      <c r="E51" s="29">
        <v>0.29888425560689735</v>
      </c>
      <c r="F51" s="29">
        <v>0.30735163861824621</v>
      </c>
      <c r="G51" s="29">
        <v>0.31265535501999353</v>
      </c>
      <c r="H51" s="29">
        <v>0.31224707135250268</v>
      </c>
      <c r="I51" s="29">
        <v>0.31364321067355283</v>
      </c>
      <c r="J51" s="29">
        <v>0.31005093025673008</v>
      </c>
      <c r="K51" s="29">
        <v>0.31042581435719391</v>
      </c>
      <c r="L51" s="29">
        <v>0.30905591572123176</v>
      </c>
      <c r="M51" s="29">
        <v>0.30895283772981613</v>
      </c>
      <c r="N51" s="29">
        <v>0.31905055487053019</v>
      </c>
      <c r="O51" s="29">
        <v>0.32433271260086904</v>
      </c>
      <c r="P51" s="29">
        <v>0.32424118129614438</v>
      </c>
      <c r="Q51" s="29">
        <v>0.31574111882400979</v>
      </c>
    </row>
    <row r="52" spans="1:17" x14ac:dyDescent="0.2">
      <c r="A52" s="16" t="s">
        <v>47</v>
      </c>
      <c r="B52" s="17" t="s">
        <v>15</v>
      </c>
      <c r="C52" s="29">
        <v>0.76589986468200266</v>
      </c>
      <c r="D52" s="29">
        <v>0.77605633802816898</v>
      </c>
      <c r="E52" s="29">
        <v>0.75819672131147542</v>
      </c>
      <c r="F52" s="29">
        <v>0.75171467764060351</v>
      </c>
      <c r="G52" s="29">
        <v>0.71683673469387754</v>
      </c>
      <c r="H52" s="29">
        <v>0.74936708860759493</v>
      </c>
      <c r="I52" s="29">
        <v>0.74811083123425692</v>
      </c>
      <c r="J52" s="29">
        <v>0.74106041923551169</v>
      </c>
      <c r="K52" s="29">
        <v>0.69892473118279574</v>
      </c>
      <c r="L52" s="29">
        <v>0.72048192771084341</v>
      </c>
      <c r="M52" s="29">
        <v>0.71629542790152401</v>
      </c>
      <c r="N52" s="29">
        <v>0.7084826762246117</v>
      </c>
      <c r="O52" s="29">
        <v>0.70299401197604794</v>
      </c>
      <c r="P52" s="29">
        <v>0.7</v>
      </c>
      <c r="Q52" s="29">
        <v>0.69039145907473309</v>
      </c>
    </row>
    <row r="53" spans="1:17" x14ac:dyDescent="0.2">
      <c r="A53" s="16" t="s">
        <v>47</v>
      </c>
      <c r="B53" s="17" t="s">
        <v>16</v>
      </c>
      <c r="C53" s="29">
        <v>0.46002696975534579</v>
      </c>
      <c r="D53" s="29">
        <v>0.45433255269320844</v>
      </c>
      <c r="E53" s="29">
        <v>0.45740423098913663</v>
      </c>
      <c r="F53" s="29">
        <v>0.45315416200074654</v>
      </c>
      <c r="G53" s="29">
        <v>0.46385542168674698</v>
      </c>
      <c r="H53" s="29">
        <v>0.47240740740740739</v>
      </c>
      <c r="I53" s="29">
        <v>0.45818847209515096</v>
      </c>
      <c r="J53" s="29">
        <v>0.46202761627906974</v>
      </c>
      <c r="K53" s="29">
        <v>0.45110635260528192</v>
      </c>
      <c r="L53" s="29">
        <v>0.44238178633975483</v>
      </c>
      <c r="M53" s="29">
        <v>0.44220312225925279</v>
      </c>
      <c r="N53" s="29">
        <v>0.45913200723327308</v>
      </c>
      <c r="O53" s="29">
        <v>0.4610296746514122</v>
      </c>
      <c r="P53" s="29">
        <v>0.45279007971656332</v>
      </c>
      <c r="Q53" s="29">
        <v>0.44175518021939753</v>
      </c>
    </row>
    <row r="54" spans="1:17" x14ac:dyDescent="0.2">
      <c r="A54" s="16" t="s">
        <v>47</v>
      </c>
      <c r="B54" s="17" t="s">
        <v>26</v>
      </c>
      <c r="C54" s="29">
        <v>0.27508140797022795</v>
      </c>
      <c r="D54" s="29">
        <v>0.26997635933806147</v>
      </c>
      <c r="E54" s="29">
        <v>0.27284223838128357</v>
      </c>
      <c r="F54" s="29">
        <v>0.27824300837415072</v>
      </c>
      <c r="G54" s="29">
        <v>0.28653073833796727</v>
      </c>
      <c r="H54" s="29">
        <v>0.30140074062147804</v>
      </c>
      <c r="I54" s="29">
        <v>0.27968377088305491</v>
      </c>
      <c r="J54" s="29">
        <v>0.28973660308810173</v>
      </c>
      <c r="K54" s="29">
        <v>0.27924145917776488</v>
      </c>
      <c r="L54" s="29">
        <v>0.27101104740595722</v>
      </c>
      <c r="M54" s="29">
        <v>0.27040245947456681</v>
      </c>
      <c r="N54" s="29">
        <v>0.2802857142857143</v>
      </c>
      <c r="O54" s="29">
        <v>0.29280722189866043</v>
      </c>
      <c r="P54" s="29">
        <v>0.29831870257402171</v>
      </c>
      <c r="Q54" s="29">
        <v>0.29906124273580686</v>
      </c>
    </row>
    <row r="55" spans="1:17" x14ac:dyDescent="0.2">
      <c r="A55" s="16" t="s">
        <v>47</v>
      </c>
      <c r="B55" s="17" t="s">
        <v>17</v>
      </c>
      <c r="C55" s="29">
        <v>0.57682177348551356</v>
      </c>
      <c r="D55" s="29">
        <v>0.58191747572815533</v>
      </c>
      <c r="E55" s="29">
        <v>0.5919712402636309</v>
      </c>
      <c r="F55" s="29">
        <v>0.58103703703703702</v>
      </c>
      <c r="G55" s="29">
        <v>0.58642691415313231</v>
      </c>
      <c r="H55" s="29">
        <v>0.58089725036179451</v>
      </c>
      <c r="I55" s="29">
        <v>0.57381370826010547</v>
      </c>
      <c r="J55" s="29">
        <v>0.5816993464052288</v>
      </c>
      <c r="K55" s="29">
        <v>0.57751376412634015</v>
      </c>
      <c r="L55" s="29">
        <v>0.57163406214039125</v>
      </c>
      <c r="M55" s="29">
        <v>0.56206496519721583</v>
      </c>
      <c r="N55" s="29">
        <v>0.57070101857399635</v>
      </c>
      <c r="O55" s="29">
        <v>0.58871701546860777</v>
      </c>
      <c r="P55" s="29">
        <v>0.59333733493397356</v>
      </c>
      <c r="Q55" s="29">
        <v>0.59419413365588147</v>
      </c>
    </row>
    <row r="56" spans="1:17" x14ac:dyDescent="0.2">
      <c r="A56" s="16" t="s">
        <v>47</v>
      </c>
      <c r="B56" s="17" t="s">
        <v>18</v>
      </c>
      <c r="C56" s="29">
        <v>0.60920897284533648</v>
      </c>
      <c r="D56" s="29">
        <v>0.61848341232227488</v>
      </c>
      <c r="E56" s="29">
        <v>0.62295081967213117</v>
      </c>
      <c r="F56" s="29">
        <v>0.61764705882352944</v>
      </c>
      <c r="G56" s="29">
        <v>0.5907590759075908</v>
      </c>
      <c r="H56" s="29">
        <v>0.55731225296442688</v>
      </c>
      <c r="I56" s="29">
        <v>0.52908587257617734</v>
      </c>
      <c r="J56" s="29">
        <v>0.56417624521072796</v>
      </c>
      <c r="K56" s="29">
        <v>0.59793814432989689</v>
      </c>
      <c r="L56" s="29">
        <v>0.62554112554112551</v>
      </c>
      <c r="M56" s="29">
        <v>0.63293864370290631</v>
      </c>
      <c r="N56" s="29">
        <v>0.62581344902386116</v>
      </c>
      <c r="O56" s="29">
        <v>0.63181312569521686</v>
      </c>
      <c r="P56" s="29">
        <v>0.64495114006514653</v>
      </c>
      <c r="Q56" s="29">
        <v>0.64855875831485588</v>
      </c>
    </row>
    <row r="57" spans="1:17" x14ac:dyDescent="0.2">
      <c r="A57" s="16" t="s">
        <v>47</v>
      </c>
      <c r="B57" s="17" t="s">
        <v>19</v>
      </c>
      <c r="C57" s="29">
        <v>0.39577543079488603</v>
      </c>
      <c r="D57" s="29">
        <v>0.39713055954088955</v>
      </c>
      <c r="E57" s="29">
        <v>0.40646853146853146</v>
      </c>
      <c r="F57" s="29">
        <v>0.40637681159420291</v>
      </c>
      <c r="G57" s="29">
        <v>0.41038003403289847</v>
      </c>
      <c r="H57" s="29">
        <v>0.41910935738444194</v>
      </c>
      <c r="I57" s="29">
        <v>0.42021578648495173</v>
      </c>
      <c r="J57" s="29">
        <v>0.42172073342736249</v>
      </c>
      <c r="K57" s="29">
        <v>0.40956284153005462</v>
      </c>
      <c r="L57" s="29">
        <v>0.41634668129456937</v>
      </c>
      <c r="M57" s="29">
        <v>0.40774299835255357</v>
      </c>
      <c r="N57" s="29">
        <v>0.42102256498143387</v>
      </c>
      <c r="O57" s="29">
        <v>0.41204887752202329</v>
      </c>
      <c r="P57" s="29">
        <v>0.41643218908272367</v>
      </c>
      <c r="Q57" s="29">
        <v>0.43313025819553236</v>
      </c>
    </row>
    <row r="58" spans="1:17" x14ac:dyDescent="0.2">
      <c r="A58" s="16" t="s">
        <v>47</v>
      </c>
      <c r="B58" s="17" t="s">
        <v>20</v>
      </c>
      <c r="C58" s="29">
        <v>0.36053891548825295</v>
      </c>
      <c r="D58" s="29">
        <v>0.35803180456326344</v>
      </c>
      <c r="E58" s="29">
        <v>0.36952315921247297</v>
      </c>
      <c r="F58" s="29">
        <v>0.37507273362038868</v>
      </c>
      <c r="G58" s="29">
        <v>0.39113880235375564</v>
      </c>
      <c r="H58" s="29">
        <v>0.39065483544872515</v>
      </c>
      <c r="I58" s="29">
        <v>0.38550466874166295</v>
      </c>
      <c r="J58" s="29">
        <v>0.39196206818694967</v>
      </c>
      <c r="K58" s="29">
        <v>0.39367686768676868</v>
      </c>
      <c r="L58" s="29">
        <v>0.40198623180227966</v>
      </c>
      <c r="M58" s="29">
        <v>0.40495398250198839</v>
      </c>
      <c r="N58" s="29">
        <v>0.42158122153450894</v>
      </c>
      <c r="O58" s="29">
        <v>0.42468496054646093</v>
      </c>
      <c r="P58" s="29">
        <v>0.43008974964572511</v>
      </c>
      <c r="Q58" s="29">
        <v>0.42768718009760742</v>
      </c>
    </row>
    <row r="59" spans="1:17" x14ac:dyDescent="0.2">
      <c r="A59" s="16" t="s">
        <v>47</v>
      </c>
      <c r="B59" s="17" t="s">
        <v>21</v>
      </c>
      <c r="C59" s="29">
        <v>0.41022627093740816</v>
      </c>
      <c r="D59" s="29">
        <v>0.39339953271028039</v>
      </c>
      <c r="E59" s="29">
        <v>0.3996554694229113</v>
      </c>
      <c r="F59" s="29">
        <v>0.40182909402686484</v>
      </c>
      <c r="G59" s="29">
        <v>0.40176114474408364</v>
      </c>
      <c r="H59" s="29">
        <v>0.40124458874458874</v>
      </c>
      <c r="I59" s="29">
        <v>0.39632196162046907</v>
      </c>
      <c r="J59" s="29">
        <v>0.39159528907922914</v>
      </c>
      <c r="K59" s="29">
        <v>0.37619768028240042</v>
      </c>
      <c r="L59" s="29">
        <v>0.3741788782213239</v>
      </c>
      <c r="M59" s="29">
        <v>0.37601575966510714</v>
      </c>
      <c r="N59" s="29">
        <v>0.37702020202020203</v>
      </c>
      <c r="O59" s="29">
        <v>0.39920634920634923</v>
      </c>
      <c r="P59" s="29">
        <v>0.40332083556507764</v>
      </c>
      <c r="Q59" s="29">
        <v>0.39297124600638977</v>
      </c>
    </row>
    <row r="60" spans="1:17" x14ac:dyDescent="0.2">
      <c r="A60" s="16" t="s">
        <v>47</v>
      </c>
      <c r="B60" s="17" t="s">
        <v>27</v>
      </c>
      <c r="C60" s="29">
        <v>0.35866261398176291</v>
      </c>
      <c r="D60" s="29">
        <v>0.35587188612099646</v>
      </c>
      <c r="E60" s="29">
        <v>0.3671346853874155</v>
      </c>
      <c r="F60" s="29">
        <v>0.3996789727126806</v>
      </c>
      <c r="G60" s="29">
        <v>0.40281396560708704</v>
      </c>
      <c r="H60" s="29">
        <v>0.40600725012946659</v>
      </c>
      <c r="I60" s="29">
        <v>0.40238450074515647</v>
      </c>
      <c r="J60" s="29">
        <v>0.41518084564442181</v>
      </c>
      <c r="K60" s="29">
        <v>0.402020202020202</v>
      </c>
      <c r="L60" s="29">
        <v>0.40398365679264553</v>
      </c>
      <c r="M60" s="29">
        <v>0.41417721518987344</v>
      </c>
      <c r="N60" s="29">
        <v>0.40282513395031661</v>
      </c>
      <c r="O60" s="29">
        <v>0.38593063019052271</v>
      </c>
      <c r="P60" s="29">
        <v>0.37874396135265703</v>
      </c>
      <c r="Q60" s="29">
        <v>0.38310412573673869</v>
      </c>
    </row>
    <row r="61" spans="1:17" x14ac:dyDescent="0.2">
      <c r="A61" s="16" t="s">
        <v>47</v>
      </c>
      <c r="B61" s="17" t="s">
        <v>28</v>
      </c>
      <c r="C61" s="29">
        <v>0.27705418877633059</v>
      </c>
      <c r="D61" s="29">
        <v>0.27580428954423591</v>
      </c>
      <c r="E61" s="29">
        <v>0.27611443779108452</v>
      </c>
      <c r="F61" s="29">
        <v>0.28539860615332313</v>
      </c>
      <c r="G61" s="29">
        <v>0.30470487596236101</v>
      </c>
      <c r="H61" s="29">
        <v>0.30290668026517081</v>
      </c>
      <c r="I61" s="29">
        <v>0.28815453384418904</v>
      </c>
      <c r="J61" s="29">
        <v>0.30001665833749791</v>
      </c>
      <c r="K61" s="29">
        <v>0.30444848685298498</v>
      </c>
      <c r="L61" s="29">
        <v>0.31080634500991405</v>
      </c>
      <c r="M61" s="29">
        <v>0.31267794339306648</v>
      </c>
      <c r="N61" s="29">
        <v>0.30167958656330751</v>
      </c>
      <c r="O61" s="29">
        <v>0.29703127480552466</v>
      </c>
      <c r="P61" s="29">
        <v>0.3105590062111801</v>
      </c>
      <c r="Q61" s="29">
        <v>0.29260299625468167</v>
      </c>
    </row>
    <row r="62" spans="1:17" ht="29.1" customHeight="1" x14ac:dyDescent="0.2">
      <c r="A62" s="17" t="s">
        <v>182</v>
      </c>
      <c r="B62" s="17" t="s">
        <v>54</v>
      </c>
      <c r="C62" s="20" t="s">
        <v>190</v>
      </c>
      <c r="D62" s="20" t="s">
        <v>190</v>
      </c>
      <c r="E62" s="20" t="s">
        <v>190</v>
      </c>
      <c r="F62" s="20" t="s">
        <v>190</v>
      </c>
      <c r="G62" s="20" t="s">
        <v>190</v>
      </c>
      <c r="H62" s="29">
        <v>0.32536320606461477</v>
      </c>
      <c r="I62" s="29">
        <v>0.32485023579895483</v>
      </c>
      <c r="J62" s="29">
        <v>0.33391033408343429</v>
      </c>
      <c r="K62" s="29">
        <v>0.33670706353633184</v>
      </c>
      <c r="L62" s="29">
        <v>0.33793514324160528</v>
      </c>
      <c r="M62" s="29">
        <v>0.3298530803528501</v>
      </c>
      <c r="N62" s="29">
        <v>0.33949286079216973</v>
      </c>
      <c r="O62" s="29">
        <v>0.34271483040574791</v>
      </c>
      <c r="P62" s="29">
        <v>0.34203204186863057</v>
      </c>
      <c r="Q62" s="29">
        <v>0.34014502307185235</v>
      </c>
    </row>
    <row r="63" spans="1:17" x14ac:dyDescent="0.2">
      <c r="A63" s="16" t="s">
        <v>182</v>
      </c>
      <c r="B63" s="16" t="s">
        <v>55</v>
      </c>
      <c r="C63" s="20" t="s">
        <v>190</v>
      </c>
      <c r="D63" s="20" t="s">
        <v>190</v>
      </c>
      <c r="E63" s="20" t="s">
        <v>190</v>
      </c>
      <c r="F63" s="20" t="s">
        <v>190</v>
      </c>
      <c r="G63" s="20" t="s">
        <v>190</v>
      </c>
      <c r="H63" s="29">
        <v>0.46243455497382197</v>
      </c>
      <c r="I63" s="29">
        <v>0.4562112638102937</v>
      </c>
      <c r="J63" s="29">
        <v>0.44453259288642072</v>
      </c>
      <c r="K63" s="29">
        <v>0.43562656807077776</v>
      </c>
      <c r="L63" s="29">
        <v>0.46003134796238243</v>
      </c>
      <c r="M63" s="29">
        <v>0.46754645838944248</v>
      </c>
      <c r="N63" s="29">
        <v>0.48528356066044509</v>
      </c>
      <c r="O63" s="29">
        <v>0.47308941940952109</v>
      </c>
      <c r="P63" s="29">
        <v>0.49157431304083804</v>
      </c>
      <c r="Q63" s="29">
        <v>0.49750264870591798</v>
      </c>
    </row>
    <row r="64" spans="1:17" x14ac:dyDescent="0.2">
      <c r="A64" s="16" t="s">
        <v>182</v>
      </c>
      <c r="B64" s="16" t="s">
        <v>56</v>
      </c>
      <c r="C64" s="20" t="s">
        <v>190</v>
      </c>
      <c r="D64" s="20" t="s">
        <v>190</v>
      </c>
      <c r="E64" s="20" t="s">
        <v>190</v>
      </c>
      <c r="F64" s="20" t="s">
        <v>190</v>
      </c>
      <c r="G64" s="20" t="s">
        <v>190</v>
      </c>
      <c r="H64" s="29">
        <v>0.44470288115246098</v>
      </c>
      <c r="I64" s="29">
        <v>0.43071627361945219</v>
      </c>
      <c r="J64" s="29">
        <v>0.41368960468521232</v>
      </c>
      <c r="K64" s="29">
        <v>0.41919154867581249</v>
      </c>
      <c r="L64" s="29">
        <v>0.40650939274792486</v>
      </c>
      <c r="M64" s="29">
        <v>0.41580805533539883</v>
      </c>
      <c r="N64" s="29">
        <v>0.41649529964747356</v>
      </c>
      <c r="O64" s="29">
        <v>0.42167679951962772</v>
      </c>
      <c r="P64" s="29">
        <v>0.41844406935706613</v>
      </c>
      <c r="Q64" s="29">
        <v>0.4109778597785978</v>
      </c>
    </row>
    <row r="65" spans="1:17" x14ac:dyDescent="0.2">
      <c r="A65" s="16" t="s">
        <v>182</v>
      </c>
      <c r="B65" s="16" t="s">
        <v>57</v>
      </c>
      <c r="C65" s="20" t="s">
        <v>190</v>
      </c>
      <c r="D65" s="20" t="s">
        <v>190</v>
      </c>
      <c r="E65" s="20" t="s">
        <v>190</v>
      </c>
      <c r="F65" s="20" t="s">
        <v>190</v>
      </c>
      <c r="G65" s="20" t="s">
        <v>190</v>
      </c>
      <c r="H65" s="29">
        <v>0.62534381139489192</v>
      </c>
      <c r="I65" s="29">
        <v>0.64546191247974072</v>
      </c>
      <c r="J65" s="29">
        <v>0.60595282665668293</v>
      </c>
      <c r="K65" s="29">
        <v>0.60549049721635628</v>
      </c>
      <c r="L65" s="29">
        <v>0.62039819684447783</v>
      </c>
      <c r="M65" s="29">
        <v>0.61280370227535674</v>
      </c>
      <c r="N65" s="29">
        <v>0.62135191112784782</v>
      </c>
      <c r="O65" s="29">
        <v>0.62671425887657339</v>
      </c>
      <c r="P65" s="29">
        <v>0.63406881077038146</v>
      </c>
      <c r="Q65" s="29">
        <v>0.63917720324589544</v>
      </c>
    </row>
    <row r="66" spans="1:17" x14ac:dyDescent="0.2">
      <c r="A66" s="16" t="s">
        <v>182</v>
      </c>
      <c r="B66" s="16" t="s">
        <v>58</v>
      </c>
      <c r="C66" s="20" t="s">
        <v>190</v>
      </c>
      <c r="D66" s="20" t="s">
        <v>190</v>
      </c>
      <c r="E66" s="20" t="s">
        <v>190</v>
      </c>
      <c r="F66" s="20" t="s">
        <v>190</v>
      </c>
      <c r="G66" s="20" t="s">
        <v>190</v>
      </c>
      <c r="H66" s="29">
        <v>0.44103500604439416</v>
      </c>
      <c r="I66" s="29">
        <v>0.43899142188718482</v>
      </c>
      <c r="J66" s="29">
        <v>0.43852235904082953</v>
      </c>
      <c r="K66" s="29">
        <v>0.4380007630675315</v>
      </c>
      <c r="L66" s="29">
        <v>0.44221957825987901</v>
      </c>
      <c r="M66" s="29">
        <v>0.4352235936867665</v>
      </c>
      <c r="N66" s="29">
        <v>0.44487848360118504</v>
      </c>
      <c r="O66" s="29">
        <v>0.44197700179343813</v>
      </c>
      <c r="P66" s="29">
        <v>0.4384389075477102</v>
      </c>
      <c r="Q66" s="29">
        <v>0.45796318099111633</v>
      </c>
    </row>
    <row r="67" spans="1:17" x14ac:dyDescent="0.2">
      <c r="A67" s="16" t="s">
        <v>182</v>
      </c>
      <c r="B67" s="16" t="s">
        <v>96</v>
      </c>
      <c r="C67" s="20" t="s">
        <v>190</v>
      </c>
      <c r="D67" s="20" t="s">
        <v>190</v>
      </c>
      <c r="E67" s="20" t="s">
        <v>190</v>
      </c>
      <c r="F67" s="20" t="s">
        <v>190</v>
      </c>
      <c r="G67" s="20" t="s">
        <v>190</v>
      </c>
      <c r="H67" s="29">
        <v>0.59320882852292023</v>
      </c>
      <c r="I67" s="29">
        <v>0.57518147251987561</v>
      </c>
      <c r="J67" s="29">
        <v>0.58180572211752613</v>
      </c>
      <c r="K67" s="29">
        <v>0.56487771739130432</v>
      </c>
      <c r="L67" s="29">
        <v>0.56470588235294117</v>
      </c>
      <c r="M67" s="29">
        <v>0.57204190279924438</v>
      </c>
      <c r="N67" s="29">
        <v>0.5715764056571232</v>
      </c>
      <c r="O67" s="29">
        <v>0.59808950999469312</v>
      </c>
      <c r="P67" s="29">
        <v>0.61749022396018483</v>
      </c>
      <c r="Q67" s="29">
        <v>0.643616063389159</v>
      </c>
    </row>
    <row r="68" spans="1:17" x14ac:dyDescent="0.2">
      <c r="A68" s="16" t="s">
        <v>182</v>
      </c>
      <c r="B68" s="16" t="s">
        <v>59</v>
      </c>
      <c r="C68" s="20" t="s">
        <v>190</v>
      </c>
      <c r="D68" s="20" t="s">
        <v>190</v>
      </c>
      <c r="E68" s="20" t="s">
        <v>190</v>
      </c>
      <c r="F68" s="20" t="s">
        <v>190</v>
      </c>
      <c r="G68" s="20" t="s">
        <v>190</v>
      </c>
      <c r="H68" s="29">
        <v>0.69053398058252424</v>
      </c>
      <c r="I68" s="29">
        <v>0.6845555100368701</v>
      </c>
      <c r="J68" s="29">
        <v>0.71498570845242959</v>
      </c>
      <c r="K68" s="29">
        <v>0.68577154308617239</v>
      </c>
      <c r="L68" s="29">
        <v>0.66108786610878656</v>
      </c>
      <c r="M68" s="29">
        <v>0.64477503628447019</v>
      </c>
      <c r="N68" s="29">
        <v>0.65650328058664609</v>
      </c>
      <c r="O68" s="29">
        <v>0.6803438843298163</v>
      </c>
      <c r="P68" s="29">
        <v>0.67264573991031396</v>
      </c>
      <c r="Q68" s="29">
        <v>0.64502967359050445</v>
      </c>
    </row>
    <row r="69" spans="1:17" x14ac:dyDescent="0.2">
      <c r="A69" s="16" t="s">
        <v>182</v>
      </c>
      <c r="B69" s="16" t="s">
        <v>60</v>
      </c>
      <c r="C69" s="20" t="s">
        <v>190</v>
      </c>
      <c r="D69" s="20" t="s">
        <v>190</v>
      </c>
      <c r="E69" s="20" t="s">
        <v>190</v>
      </c>
      <c r="F69" s="20" t="s">
        <v>190</v>
      </c>
      <c r="G69" s="20" t="s">
        <v>190</v>
      </c>
      <c r="H69" s="29">
        <v>0.65536244171259006</v>
      </c>
      <c r="I69" s="29">
        <v>0.61840439003799075</v>
      </c>
      <c r="J69" s="29">
        <v>0.61137440758293837</v>
      </c>
      <c r="K69" s="29">
        <v>0.62624945675793131</v>
      </c>
      <c r="L69" s="29">
        <v>0.59522757401679183</v>
      </c>
      <c r="M69" s="29">
        <v>0.60800703915530141</v>
      </c>
      <c r="N69" s="29">
        <v>0.62265834076717219</v>
      </c>
      <c r="O69" s="29">
        <v>0.66466234967622573</v>
      </c>
      <c r="P69" s="29">
        <v>0.62550698512843628</v>
      </c>
      <c r="Q69" s="29">
        <v>0.63049579045837234</v>
      </c>
    </row>
    <row r="70" spans="1:17" x14ac:dyDescent="0.2">
      <c r="A70" s="16" t="s">
        <v>182</v>
      </c>
      <c r="B70" s="16" t="s">
        <v>97</v>
      </c>
      <c r="C70" s="20" t="s">
        <v>190</v>
      </c>
      <c r="D70" s="20" t="s">
        <v>190</v>
      </c>
      <c r="E70" s="20" t="s">
        <v>190</v>
      </c>
      <c r="F70" s="20" t="s">
        <v>190</v>
      </c>
      <c r="G70" s="20" t="s">
        <v>190</v>
      </c>
      <c r="H70" s="29">
        <v>0.55651894669235713</v>
      </c>
      <c r="I70" s="29">
        <v>0.45286885245901637</v>
      </c>
      <c r="J70" s="29">
        <v>0.45893970893970892</v>
      </c>
      <c r="K70" s="29">
        <v>0.48788456302749794</v>
      </c>
      <c r="L70" s="29">
        <v>0.36037772210445174</v>
      </c>
      <c r="M70" s="29">
        <v>0.48451971421010848</v>
      </c>
      <c r="N70" s="29">
        <v>0.5319273579379028</v>
      </c>
      <c r="O70" s="29">
        <v>0.59899328859060408</v>
      </c>
      <c r="P70" s="29">
        <v>0.61760409057706356</v>
      </c>
      <c r="Q70" s="29">
        <v>0.61901306240928877</v>
      </c>
    </row>
    <row r="71" spans="1:17" x14ac:dyDescent="0.2">
      <c r="A71" s="16" t="s">
        <v>182</v>
      </c>
      <c r="B71" s="16" t="s">
        <v>61</v>
      </c>
      <c r="C71" s="20" t="s">
        <v>190</v>
      </c>
      <c r="D71" s="20" t="s">
        <v>190</v>
      </c>
      <c r="E71" s="20" t="s">
        <v>190</v>
      </c>
      <c r="F71" s="20" t="s">
        <v>190</v>
      </c>
      <c r="G71" s="20" t="s">
        <v>190</v>
      </c>
      <c r="H71" s="29">
        <v>0.6999164578111946</v>
      </c>
      <c r="I71" s="29">
        <v>0.6926986278163646</v>
      </c>
      <c r="J71" s="29">
        <v>0.68379246239648472</v>
      </c>
      <c r="K71" s="29">
        <v>0.68321631561350715</v>
      </c>
      <c r="L71" s="29">
        <v>0.67798269952668522</v>
      </c>
      <c r="M71" s="29">
        <v>0.67167592290101275</v>
      </c>
      <c r="N71" s="29">
        <v>0.7065857885615251</v>
      </c>
      <c r="O71" s="29">
        <v>0.70086058519793459</v>
      </c>
      <c r="P71" s="29">
        <v>0.67123056118999325</v>
      </c>
      <c r="Q71" s="29">
        <v>0.6675351745700886</v>
      </c>
    </row>
    <row r="72" spans="1:17" x14ac:dyDescent="0.2">
      <c r="A72" s="16" t="s">
        <v>182</v>
      </c>
      <c r="B72" s="16" t="s">
        <v>62</v>
      </c>
      <c r="C72" s="20" t="s">
        <v>190</v>
      </c>
      <c r="D72" s="20" t="s">
        <v>190</v>
      </c>
      <c r="E72" s="20" t="s">
        <v>190</v>
      </c>
      <c r="F72" s="20" t="s">
        <v>190</v>
      </c>
      <c r="G72" s="20" t="s">
        <v>190</v>
      </c>
      <c r="H72" s="29">
        <v>0.41947867005139</v>
      </c>
      <c r="I72" s="29">
        <v>0.40730593607305937</v>
      </c>
      <c r="J72" s="29">
        <v>0.417706874505267</v>
      </c>
      <c r="K72" s="29">
        <v>0.41058295964125563</v>
      </c>
      <c r="L72" s="29">
        <v>0.41720549294907322</v>
      </c>
      <c r="M72" s="29">
        <v>0.42988062221150369</v>
      </c>
      <c r="N72" s="29">
        <v>0.43299156706910152</v>
      </c>
      <c r="O72" s="29">
        <v>0.40618208162279645</v>
      </c>
      <c r="P72" s="29">
        <v>0.40210816314307962</v>
      </c>
      <c r="Q72" s="29">
        <v>0.39851409780159552</v>
      </c>
    </row>
    <row r="73" spans="1:17" x14ac:dyDescent="0.2">
      <c r="A73" s="16" t="s">
        <v>182</v>
      </c>
      <c r="B73" s="16" t="s">
        <v>63</v>
      </c>
      <c r="C73" s="20" t="s">
        <v>190</v>
      </c>
      <c r="D73" s="20" t="s">
        <v>190</v>
      </c>
      <c r="E73" s="20" t="s">
        <v>190</v>
      </c>
      <c r="F73" s="20" t="s">
        <v>190</v>
      </c>
      <c r="G73" s="20" t="s">
        <v>190</v>
      </c>
      <c r="H73" s="29">
        <v>0.51296707603867264</v>
      </c>
      <c r="I73" s="29">
        <v>0.50222251062587198</v>
      </c>
      <c r="J73" s="29">
        <v>0.49622385747482572</v>
      </c>
      <c r="K73" s="29">
        <v>0.4834672146459929</v>
      </c>
      <c r="L73" s="29">
        <v>0.49478618578398548</v>
      </c>
      <c r="M73" s="29">
        <v>0.50470169132513876</v>
      </c>
      <c r="N73" s="29">
        <v>0.50971886486307494</v>
      </c>
      <c r="O73" s="29">
        <v>0.51100019701845412</v>
      </c>
      <c r="P73" s="29">
        <v>0.50739654610622353</v>
      </c>
      <c r="Q73" s="29">
        <v>0.49800668724279834</v>
      </c>
    </row>
    <row r="74" spans="1:17" x14ac:dyDescent="0.2">
      <c r="A74" s="16" t="s">
        <v>182</v>
      </c>
      <c r="B74" s="16" t="s">
        <v>64</v>
      </c>
      <c r="C74" s="20" t="s">
        <v>190</v>
      </c>
      <c r="D74" s="20" t="s">
        <v>190</v>
      </c>
      <c r="E74" s="20" t="s">
        <v>190</v>
      </c>
      <c r="F74" s="20" t="s">
        <v>190</v>
      </c>
      <c r="G74" s="20" t="s">
        <v>190</v>
      </c>
      <c r="H74" s="29">
        <v>0.40277875931082247</v>
      </c>
      <c r="I74" s="29">
        <v>0.38643859354910837</v>
      </c>
      <c r="J74" s="29">
        <v>0.38393854748603351</v>
      </c>
      <c r="K74" s="29">
        <v>0.39025976721978495</v>
      </c>
      <c r="L74" s="29">
        <v>0.39491971534808584</v>
      </c>
      <c r="M74" s="29">
        <v>0.3974205409621438</v>
      </c>
      <c r="N74" s="29">
        <v>0.40052568018753998</v>
      </c>
      <c r="O74" s="29">
        <v>0.4031245126809283</v>
      </c>
      <c r="P74" s="29">
        <v>0.39091284025295575</v>
      </c>
      <c r="Q74" s="29">
        <v>0.38938724813690312</v>
      </c>
    </row>
    <row r="75" spans="1:17" x14ac:dyDescent="0.2">
      <c r="A75" s="16" t="s">
        <v>182</v>
      </c>
      <c r="B75" s="16" t="s">
        <v>65</v>
      </c>
      <c r="C75" s="20" t="s">
        <v>190</v>
      </c>
      <c r="D75" s="20" t="s">
        <v>190</v>
      </c>
      <c r="E75" s="20" t="s">
        <v>190</v>
      </c>
      <c r="F75" s="20" t="s">
        <v>190</v>
      </c>
      <c r="G75" s="20" t="s">
        <v>190</v>
      </c>
      <c r="H75" s="29">
        <v>0.35785633631546948</v>
      </c>
      <c r="I75" s="29">
        <v>0.354135625361721</v>
      </c>
      <c r="J75" s="29">
        <v>0.35935674275733304</v>
      </c>
      <c r="K75" s="29">
        <v>0.36444071680861873</v>
      </c>
      <c r="L75" s="29">
        <v>0.37212810116806644</v>
      </c>
      <c r="M75" s="29">
        <v>0.36675025921728438</v>
      </c>
      <c r="N75" s="29">
        <v>0.36459223481330111</v>
      </c>
      <c r="O75" s="29">
        <v>0.35930448300070206</v>
      </c>
      <c r="P75" s="29">
        <v>0.35061824459871854</v>
      </c>
      <c r="Q75" s="29">
        <v>0.35739801653718367</v>
      </c>
    </row>
    <row r="76" spans="1:17" x14ac:dyDescent="0.2">
      <c r="A76" s="16" t="s">
        <v>182</v>
      </c>
      <c r="B76" s="16" t="s">
        <v>66</v>
      </c>
      <c r="C76" s="20" t="s">
        <v>190</v>
      </c>
      <c r="D76" s="20" t="s">
        <v>190</v>
      </c>
      <c r="E76" s="20" t="s">
        <v>190</v>
      </c>
      <c r="F76" s="20" t="s">
        <v>190</v>
      </c>
      <c r="G76" s="20" t="s">
        <v>190</v>
      </c>
      <c r="H76" s="29">
        <v>0.57054236086494148</v>
      </c>
      <c r="I76" s="29">
        <v>0.56633771929824561</v>
      </c>
      <c r="J76" s="29">
        <v>0.57503198683970025</v>
      </c>
      <c r="K76" s="29">
        <v>0.5677872183228666</v>
      </c>
      <c r="L76" s="29">
        <v>0.57290132547864503</v>
      </c>
      <c r="M76" s="29">
        <v>0.58288868445262187</v>
      </c>
      <c r="N76" s="48">
        <v>0.57810164424514199</v>
      </c>
      <c r="O76" s="29">
        <v>0.54838709677419351</v>
      </c>
      <c r="P76" s="29">
        <v>0.55305350387317598</v>
      </c>
      <c r="Q76" s="29">
        <v>0.62412802626179731</v>
      </c>
    </row>
    <row r="77" spans="1:17" x14ac:dyDescent="0.2">
      <c r="A77" s="16" t="s">
        <v>182</v>
      </c>
      <c r="B77" s="16" t="s">
        <v>67</v>
      </c>
      <c r="C77" s="20" t="s">
        <v>190</v>
      </c>
      <c r="D77" s="20" t="s">
        <v>190</v>
      </c>
      <c r="E77" s="20" t="s">
        <v>190</v>
      </c>
      <c r="F77" s="20" t="s">
        <v>190</v>
      </c>
      <c r="G77" s="20" t="s">
        <v>190</v>
      </c>
      <c r="H77" s="29">
        <v>0.31080320386308302</v>
      </c>
      <c r="I77" s="29">
        <v>0.3105055527486022</v>
      </c>
      <c r="J77" s="29">
        <v>0.3088941523444127</v>
      </c>
      <c r="K77" s="29">
        <v>0.30711508702825063</v>
      </c>
      <c r="L77" s="29">
        <v>0.30631238533536492</v>
      </c>
      <c r="M77" s="29">
        <v>0.3065515972775768</v>
      </c>
      <c r="N77" s="48">
        <v>0.29297546305136529</v>
      </c>
      <c r="O77" s="29">
        <v>0.29679848086084554</v>
      </c>
      <c r="P77" s="29">
        <v>0.30571529996450125</v>
      </c>
      <c r="Q77" s="29">
        <v>0.293693480001186</v>
      </c>
    </row>
    <row r="78" spans="1:17" x14ac:dyDescent="0.2">
      <c r="A78" s="16" t="s">
        <v>182</v>
      </c>
      <c r="B78" s="16" t="s">
        <v>68</v>
      </c>
      <c r="C78" s="20" t="s">
        <v>190</v>
      </c>
      <c r="D78" s="20" t="s">
        <v>190</v>
      </c>
      <c r="E78" s="20" t="s">
        <v>190</v>
      </c>
      <c r="F78" s="20" t="s">
        <v>190</v>
      </c>
      <c r="G78" s="20" t="s">
        <v>190</v>
      </c>
      <c r="H78" s="29">
        <v>0.47382497798362633</v>
      </c>
      <c r="I78" s="29">
        <v>0.46529767589939508</v>
      </c>
      <c r="J78" s="29">
        <v>0.47009709351971918</v>
      </c>
      <c r="K78" s="29">
        <v>0.46618014090291598</v>
      </c>
      <c r="L78" s="29">
        <v>0.47718692007423053</v>
      </c>
      <c r="M78" s="29">
        <v>0.48155469821126806</v>
      </c>
      <c r="N78" s="48">
        <v>0.47700445075146747</v>
      </c>
      <c r="O78" s="29">
        <v>0.48522519528003988</v>
      </c>
      <c r="P78" s="29">
        <v>0.47974316352139762</v>
      </c>
      <c r="Q78" s="29">
        <v>0.47743397713835239</v>
      </c>
    </row>
    <row r="79" spans="1:17" x14ac:dyDescent="0.2">
      <c r="A79" s="16" t="s">
        <v>182</v>
      </c>
      <c r="B79" s="16" t="s">
        <v>69</v>
      </c>
      <c r="C79" s="20" t="s">
        <v>190</v>
      </c>
      <c r="D79" s="20" t="s">
        <v>190</v>
      </c>
      <c r="E79" s="20" t="s">
        <v>190</v>
      </c>
      <c r="F79" s="20" t="s">
        <v>190</v>
      </c>
      <c r="G79" s="20" t="s">
        <v>190</v>
      </c>
      <c r="H79" s="29">
        <v>0.36411429083857372</v>
      </c>
      <c r="I79" s="29">
        <v>0.36293612752201537</v>
      </c>
      <c r="J79" s="29">
        <v>0.35697286476868328</v>
      </c>
      <c r="K79" s="29">
        <v>0.34941911454216695</v>
      </c>
      <c r="L79" s="29">
        <v>0.34887543817631561</v>
      </c>
      <c r="M79" s="29">
        <v>0.34566564781796572</v>
      </c>
      <c r="N79" s="48">
        <v>0.35236707295530822</v>
      </c>
      <c r="O79" s="29">
        <v>0.36601181012945722</v>
      </c>
      <c r="P79" s="29">
        <v>0.36726251862037357</v>
      </c>
      <c r="Q79" s="29">
        <v>0.34215377231923738</v>
      </c>
    </row>
    <row r="80" spans="1:17" x14ac:dyDescent="0.2">
      <c r="A80" s="16" t="s">
        <v>182</v>
      </c>
      <c r="B80" s="16" t="s">
        <v>70</v>
      </c>
      <c r="C80" s="20" t="s">
        <v>190</v>
      </c>
      <c r="D80" s="20" t="s">
        <v>190</v>
      </c>
      <c r="E80" s="20" t="s">
        <v>190</v>
      </c>
      <c r="F80" s="20" t="s">
        <v>190</v>
      </c>
      <c r="G80" s="20" t="s">
        <v>190</v>
      </c>
      <c r="H80" s="29">
        <v>0.54795021961932655</v>
      </c>
      <c r="I80" s="29">
        <v>0.54183998042574011</v>
      </c>
      <c r="J80" s="29">
        <v>0.54018983539589094</v>
      </c>
      <c r="K80" s="29">
        <v>0.53175218885071485</v>
      </c>
      <c r="L80" s="29">
        <v>0.53968609865470851</v>
      </c>
      <c r="M80" s="29">
        <v>0.5262149058518435</v>
      </c>
      <c r="N80" s="48">
        <v>0.53034425647699046</v>
      </c>
      <c r="O80" s="29">
        <v>0.55042993260515916</v>
      </c>
      <c r="P80" s="29">
        <v>0.53841826977162788</v>
      </c>
      <c r="Q80" s="29">
        <v>0.52729738894540523</v>
      </c>
    </row>
    <row r="81" spans="1:17" x14ac:dyDescent="0.2">
      <c r="A81" s="16" t="s">
        <v>182</v>
      </c>
      <c r="B81" s="16" t="s">
        <v>71</v>
      </c>
      <c r="C81" s="20" t="s">
        <v>190</v>
      </c>
      <c r="D81" s="20" t="s">
        <v>190</v>
      </c>
      <c r="E81" s="20" t="s">
        <v>190</v>
      </c>
      <c r="F81" s="20" t="s">
        <v>190</v>
      </c>
      <c r="G81" s="20" t="s">
        <v>190</v>
      </c>
      <c r="H81" s="29">
        <v>0.54098153301290164</v>
      </c>
      <c r="I81" s="29">
        <v>0.52817166520266035</v>
      </c>
      <c r="J81" s="29">
        <v>0.54460274675908094</v>
      </c>
      <c r="K81" s="29">
        <v>0.55246952368983282</v>
      </c>
      <c r="L81" s="29">
        <v>0.57129738947920761</v>
      </c>
      <c r="M81" s="29">
        <v>0.59351688593516883</v>
      </c>
      <c r="N81" s="48">
        <v>0.57749866381614112</v>
      </c>
      <c r="O81" s="29">
        <v>0.58422117329737022</v>
      </c>
      <c r="P81" s="29">
        <v>0.56914893617021278</v>
      </c>
      <c r="Q81" s="29">
        <v>0.56780923994038746</v>
      </c>
    </row>
    <row r="82" spans="1:17" x14ac:dyDescent="0.2">
      <c r="A82" s="16" t="s">
        <v>182</v>
      </c>
      <c r="B82" s="16" t="s">
        <v>72</v>
      </c>
      <c r="C82" s="20" t="s">
        <v>190</v>
      </c>
      <c r="D82" s="20" t="s">
        <v>190</v>
      </c>
      <c r="E82" s="20" t="s">
        <v>190</v>
      </c>
      <c r="F82" s="20" t="s">
        <v>190</v>
      </c>
      <c r="G82" s="20" t="s">
        <v>190</v>
      </c>
      <c r="H82" s="29">
        <v>0.58301886792452828</v>
      </c>
      <c r="I82" s="29">
        <v>0.57040136736016978</v>
      </c>
      <c r="J82" s="29">
        <v>0.57748320751352311</v>
      </c>
      <c r="K82" s="29">
        <v>0.58380902957965752</v>
      </c>
      <c r="L82" s="29">
        <v>0.5701195219123506</v>
      </c>
      <c r="M82" s="29">
        <v>0.56361851980140865</v>
      </c>
      <c r="N82" s="48">
        <v>0.56828904150492687</v>
      </c>
      <c r="O82" s="29">
        <v>0.57988094522277678</v>
      </c>
      <c r="P82" s="29">
        <v>0.5886700963869671</v>
      </c>
      <c r="Q82" s="29">
        <v>0.59071320182094078</v>
      </c>
    </row>
    <row r="83" spans="1:17" x14ac:dyDescent="0.2">
      <c r="A83" s="16" t="s">
        <v>182</v>
      </c>
      <c r="B83" s="16" t="s">
        <v>73</v>
      </c>
      <c r="C83" s="20" t="s">
        <v>190</v>
      </c>
      <c r="D83" s="20" t="s">
        <v>190</v>
      </c>
      <c r="E83" s="20" t="s">
        <v>190</v>
      </c>
      <c r="F83" s="20" t="s">
        <v>190</v>
      </c>
      <c r="G83" s="20" t="s">
        <v>190</v>
      </c>
      <c r="H83" s="29">
        <v>0.50475915777329106</v>
      </c>
      <c r="I83" s="29">
        <v>0.51237766263673001</v>
      </c>
      <c r="J83" s="29">
        <v>0.51847704367301228</v>
      </c>
      <c r="K83" s="29">
        <v>0.4088740458015267</v>
      </c>
      <c r="L83" s="29">
        <v>0.48085106382978721</v>
      </c>
      <c r="M83" s="29">
        <v>0.48748921484037966</v>
      </c>
      <c r="N83" s="48">
        <v>0.53810408921933084</v>
      </c>
      <c r="O83" s="29">
        <v>0.46977147816025455</v>
      </c>
      <c r="P83" s="29">
        <v>0.48580533024333722</v>
      </c>
      <c r="Q83" s="29">
        <v>0.48469093009820913</v>
      </c>
    </row>
    <row r="84" spans="1:17" x14ac:dyDescent="0.2">
      <c r="A84" s="16" t="s">
        <v>182</v>
      </c>
      <c r="B84" s="16" t="s">
        <v>53</v>
      </c>
      <c r="C84" s="20" t="s">
        <v>190</v>
      </c>
      <c r="D84" s="20" t="s">
        <v>190</v>
      </c>
      <c r="E84" s="20" t="s">
        <v>190</v>
      </c>
      <c r="F84" s="20" t="s">
        <v>190</v>
      </c>
      <c r="G84" s="20" t="s">
        <v>190</v>
      </c>
      <c r="H84" s="29">
        <v>0.29891128507019293</v>
      </c>
      <c r="I84" s="29">
        <v>0.29199368187111918</v>
      </c>
      <c r="J84" s="29">
        <v>0.29431064615183589</v>
      </c>
      <c r="K84" s="29">
        <v>0.29433927327909964</v>
      </c>
      <c r="L84" s="29">
        <v>0.29702802264173545</v>
      </c>
      <c r="M84" s="29">
        <v>0.29465328365678695</v>
      </c>
      <c r="N84" s="48">
        <v>0.30277777777777776</v>
      </c>
      <c r="O84" s="29">
        <v>0.30475510443510379</v>
      </c>
      <c r="P84" s="29">
        <v>0.30335996977273277</v>
      </c>
      <c r="Q84" s="29">
        <v>0.29910554774779069</v>
      </c>
    </row>
    <row r="85" spans="1:17" x14ac:dyDescent="0.2">
      <c r="A85" s="16" t="s">
        <v>182</v>
      </c>
      <c r="B85" s="16" t="s">
        <v>74</v>
      </c>
      <c r="C85" s="20" t="s">
        <v>190</v>
      </c>
      <c r="D85" s="20" t="s">
        <v>190</v>
      </c>
      <c r="E85" s="20" t="s">
        <v>190</v>
      </c>
      <c r="F85" s="20" t="s">
        <v>190</v>
      </c>
      <c r="G85" s="20" t="s">
        <v>190</v>
      </c>
      <c r="H85" s="29">
        <v>0.75072150072150068</v>
      </c>
      <c r="I85" s="29">
        <v>0.72865064695009241</v>
      </c>
      <c r="J85" s="29">
        <v>0.7028529084846239</v>
      </c>
      <c r="K85" s="29">
        <v>0.69424715909090906</v>
      </c>
      <c r="L85" s="29">
        <v>0.66006256517205419</v>
      </c>
      <c r="M85" s="29">
        <v>0.67945500179275731</v>
      </c>
      <c r="N85" s="48">
        <v>0.70478536242083045</v>
      </c>
      <c r="O85" s="29">
        <v>0.71998587570621464</v>
      </c>
      <c r="P85" s="29">
        <v>0.65300451545675586</v>
      </c>
      <c r="Q85" s="29">
        <v>0.65628174737555034</v>
      </c>
    </row>
    <row r="86" spans="1:17" x14ac:dyDescent="0.2">
      <c r="A86" s="16" t="s">
        <v>182</v>
      </c>
      <c r="B86" s="16" t="s">
        <v>75</v>
      </c>
      <c r="C86" s="20" t="s">
        <v>190</v>
      </c>
      <c r="D86" s="20" t="s">
        <v>190</v>
      </c>
      <c r="E86" s="20" t="s">
        <v>190</v>
      </c>
      <c r="F86" s="20" t="s">
        <v>190</v>
      </c>
      <c r="G86" s="20" t="s">
        <v>190</v>
      </c>
      <c r="H86" s="29">
        <v>0.30920616898476677</v>
      </c>
      <c r="I86" s="29">
        <v>0.31328015016424215</v>
      </c>
      <c r="J86" s="29">
        <v>0.32081208775787062</v>
      </c>
      <c r="K86" s="29">
        <v>0.3255836022015563</v>
      </c>
      <c r="L86" s="29">
        <v>0.31597405717030985</v>
      </c>
      <c r="M86" s="29">
        <v>0.32989061307555329</v>
      </c>
      <c r="N86" s="29">
        <v>0.3336284107477609</v>
      </c>
      <c r="O86" s="29">
        <v>0.3378181818181818</v>
      </c>
      <c r="P86" s="29">
        <v>0.32670395690905324</v>
      </c>
      <c r="Q86" s="29">
        <v>0.36025762231151026</v>
      </c>
    </row>
    <row r="87" spans="1:17" x14ac:dyDescent="0.2">
      <c r="A87" s="16" t="s">
        <v>182</v>
      </c>
      <c r="B87" s="16" t="s">
        <v>76</v>
      </c>
      <c r="C87" s="20" t="s">
        <v>190</v>
      </c>
      <c r="D87" s="20" t="s">
        <v>190</v>
      </c>
      <c r="E87" s="20" t="s">
        <v>190</v>
      </c>
      <c r="F87" s="20" t="s">
        <v>190</v>
      </c>
      <c r="G87" s="20" t="s">
        <v>190</v>
      </c>
      <c r="H87" s="29">
        <v>0.55807496529384548</v>
      </c>
      <c r="I87" s="29">
        <v>0.56504336224149432</v>
      </c>
      <c r="J87" s="29">
        <v>0.57533976757927907</v>
      </c>
      <c r="K87" s="29">
        <v>0.56426182513139034</v>
      </c>
      <c r="L87" s="29">
        <v>0.56237948322406484</v>
      </c>
      <c r="M87" s="29">
        <v>0.54122881757076591</v>
      </c>
      <c r="N87" s="29">
        <v>0.55767897811664524</v>
      </c>
      <c r="O87" s="29">
        <v>0.58637739656912213</v>
      </c>
      <c r="P87" s="29">
        <v>0.57852882703777331</v>
      </c>
      <c r="Q87" s="29">
        <v>0.57205495469161061</v>
      </c>
    </row>
    <row r="88" spans="1:17" x14ac:dyDescent="0.2">
      <c r="A88" s="16" t="s">
        <v>182</v>
      </c>
      <c r="B88" s="16" t="s">
        <v>77</v>
      </c>
      <c r="C88" s="20" t="s">
        <v>190</v>
      </c>
      <c r="D88" s="20" t="s">
        <v>190</v>
      </c>
      <c r="E88" s="20" t="s">
        <v>190</v>
      </c>
      <c r="F88" s="20" t="s">
        <v>190</v>
      </c>
      <c r="G88" s="20" t="s">
        <v>190</v>
      </c>
      <c r="H88" s="29">
        <v>0.40603689211850197</v>
      </c>
      <c r="I88" s="29">
        <v>0.40770213624442403</v>
      </c>
      <c r="J88" s="29">
        <v>0.40097674107441517</v>
      </c>
      <c r="K88" s="29">
        <v>0.3990423508319304</v>
      </c>
      <c r="L88" s="29">
        <v>0.39821882951653942</v>
      </c>
      <c r="M88" s="29">
        <v>0.39406515428448552</v>
      </c>
      <c r="N88" s="29">
        <v>0.39810519438092129</v>
      </c>
      <c r="O88" s="29">
        <v>0.40297276771183682</v>
      </c>
      <c r="P88" s="29">
        <v>0.39785430747773842</v>
      </c>
      <c r="Q88" s="29">
        <v>0.39670089067448927</v>
      </c>
    </row>
    <row r="89" spans="1:17" x14ac:dyDescent="0.2">
      <c r="A89" s="16" t="s">
        <v>182</v>
      </c>
      <c r="B89" s="16" t="s">
        <v>78</v>
      </c>
      <c r="C89" s="20" t="s">
        <v>190</v>
      </c>
      <c r="D89" s="20" t="s">
        <v>190</v>
      </c>
      <c r="E89" s="20" t="s">
        <v>190</v>
      </c>
      <c r="F89" s="20" t="s">
        <v>190</v>
      </c>
      <c r="G89" s="20" t="s">
        <v>190</v>
      </c>
      <c r="H89" s="29">
        <v>0.43213419563459982</v>
      </c>
      <c r="I89" s="29">
        <v>0.41856644897632117</v>
      </c>
      <c r="J89" s="29">
        <v>0.41961364084368225</v>
      </c>
      <c r="K89" s="29">
        <v>0.41790715845571297</v>
      </c>
      <c r="L89" s="29">
        <v>0.42091344719941143</v>
      </c>
      <c r="M89" s="29">
        <v>0.4214117455933718</v>
      </c>
      <c r="N89" s="29">
        <v>0.43015183041140481</v>
      </c>
      <c r="O89" s="29">
        <v>0.43437959073886323</v>
      </c>
      <c r="P89" s="29">
        <v>0.43929272264206087</v>
      </c>
      <c r="Q89" s="29">
        <v>0.42976542976542975</v>
      </c>
    </row>
    <row r="90" spans="1:17" x14ac:dyDescent="0.2">
      <c r="A90" s="16" t="s">
        <v>182</v>
      </c>
      <c r="B90" s="16" t="s">
        <v>79</v>
      </c>
      <c r="C90" s="20" t="s">
        <v>190</v>
      </c>
      <c r="D90" s="20" t="s">
        <v>190</v>
      </c>
      <c r="E90" s="20" t="s">
        <v>190</v>
      </c>
      <c r="F90" s="20" t="s">
        <v>190</v>
      </c>
      <c r="G90" s="20" t="s">
        <v>190</v>
      </c>
      <c r="H90" s="29">
        <v>0.30955745748447844</v>
      </c>
      <c r="I90" s="29">
        <v>0.29550054725100078</v>
      </c>
      <c r="J90" s="29">
        <v>0.30794091931051709</v>
      </c>
      <c r="K90" s="29">
        <v>0.31074513203108073</v>
      </c>
      <c r="L90" s="29">
        <v>0.31791531952415575</v>
      </c>
      <c r="M90" s="29">
        <v>0.31965713034365173</v>
      </c>
      <c r="N90" s="29">
        <v>0.30784367148003511</v>
      </c>
      <c r="O90" s="29">
        <v>0.3050536945739436</v>
      </c>
      <c r="P90" s="29">
        <v>0.31703658349915814</v>
      </c>
      <c r="Q90" s="29">
        <v>0.29954836060766027</v>
      </c>
    </row>
    <row r="91" spans="1:17" x14ac:dyDescent="0.2">
      <c r="A91" s="16" t="s">
        <v>182</v>
      </c>
      <c r="B91" s="16" t="s">
        <v>80</v>
      </c>
      <c r="C91" s="20" t="s">
        <v>190</v>
      </c>
      <c r="D91" s="20" t="s">
        <v>190</v>
      </c>
      <c r="E91" s="20" t="s">
        <v>190</v>
      </c>
      <c r="F91" s="20" t="s">
        <v>190</v>
      </c>
      <c r="G91" s="20" t="s">
        <v>190</v>
      </c>
      <c r="H91" s="29">
        <v>0.59908952959028827</v>
      </c>
      <c r="I91" s="29">
        <v>0.6341923318667505</v>
      </c>
      <c r="J91" s="29">
        <v>0.6518541219736439</v>
      </c>
      <c r="K91" s="29">
        <v>0.6395971041863393</v>
      </c>
      <c r="L91" s="29">
        <v>0.62814861460957183</v>
      </c>
      <c r="M91" s="29">
        <v>0.64715090795241081</v>
      </c>
      <c r="N91" s="29">
        <v>0.66917057902973398</v>
      </c>
      <c r="O91" s="29">
        <v>0.69198448610213315</v>
      </c>
      <c r="P91" s="29">
        <v>0.70205815093106827</v>
      </c>
      <c r="Q91" s="29">
        <v>0.6829663212435233</v>
      </c>
    </row>
    <row r="92" spans="1:17" x14ac:dyDescent="0.2">
      <c r="A92" s="16" t="s">
        <v>182</v>
      </c>
      <c r="B92" s="16" t="s">
        <v>81</v>
      </c>
      <c r="C92" s="20" t="s">
        <v>190</v>
      </c>
      <c r="D92" s="20" t="s">
        <v>190</v>
      </c>
      <c r="E92" s="20" t="s">
        <v>190</v>
      </c>
      <c r="F92" s="20" t="s">
        <v>190</v>
      </c>
      <c r="G92" s="20" t="s">
        <v>190</v>
      </c>
      <c r="H92" s="29">
        <v>0.34189968966851331</v>
      </c>
      <c r="I92" s="29">
        <v>0.34240899674459901</v>
      </c>
      <c r="J92" s="29">
        <v>0.34147346645225418</v>
      </c>
      <c r="K92" s="29">
        <v>0.34065960442936694</v>
      </c>
      <c r="L92" s="29">
        <v>0.34230383494913796</v>
      </c>
      <c r="M92" s="29">
        <v>0.34478533427141717</v>
      </c>
      <c r="N92" s="29">
        <v>0.35765234667622059</v>
      </c>
      <c r="O92" s="29">
        <v>0.36316124604099992</v>
      </c>
      <c r="P92" s="29">
        <v>0.36425229210163645</v>
      </c>
      <c r="Q92" s="29">
        <v>0.36786952743349394</v>
      </c>
    </row>
    <row r="93" spans="1:17" x14ac:dyDescent="0.2">
      <c r="A93" s="16" t="s">
        <v>182</v>
      </c>
      <c r="B93" s="16" t="s">
        <v>82</v>
      </c>
      <c r="C93" s="20" t="s">
        <v>190</v>
      </c>
      <c r="D93" s="20" t="s">
        <v>190</v>
      </c>
      <c r="E93" s="20" t="s">
        <v>190</v>
      </c>
      <c r="F93" s="20" t="s">
        <v>190</v>
      </c>
      <c r="G93" s="20" t="s">
        <v>190</v>
      </c>
      <c r="H93" s="29">
        <v>0.76635834189791019</v>
      </c>
      <c r="I93" s="29">
        <v>0.75161399932042139</v>
      </c>
      <c r="J93" s="29">
        <v>0.74729364005412724</v>
      </c>
      <c r="K93" s="29">
        <v>0.74645161290322581</v>
      </c>
      <c r="L93" s="29">
        <v>0.7199618563254927</v>
      </c>
      <c r="M93" s="29">
        <v>0.73549432739059972</v>
      </c>
      <c r="N93" s="29">
        <v>0.72450288646568317</v>
      </c>
      <c r="O93" s="29">
        <v>0.71051805337519625</v>
      </c>
      <c r="P93" s="29">
        <v>0.68153462258265751</v>
      </c>
      <c r="Q93" s="29">
        <v>0.68308550185873607</v>
      </c>
    </row>
    <row r="94" spans="1:17" x14ac:dyDescent="0.2">
      <c r="A94" s="16" t="s">
        <v>182</v>
      </c>
      <c r="B94" s="16" t="s">
        <v>83</v>
      </c>
      <c r="C94" s="20" t="s">
        <v>190</v>
      </c>
      <c r="D94" s="20" t="s">
        <v>190</v>
      </c>
      <c r="E94" s="20" t="s">
        <v>190</v>
      </c>
      <c r="F94" s="20" t="s">
        <v>190</v>
      </c>
      <c r="G94" s="20" t="s">
        <v>190</v>
      </c>
      <c r="H94" s="29">
        <v>0.7219626168224299</v>
      </c>
      <c r="I94" s="29">
        <v>0.75827725437415883</v>
      </c>
      <c r="J94" s="29">
        <v>0.76141583355849773</v>
      </c>
      <c r="K94" s="29">
        <v>0.75706214689265539</v>
      </c>
      <c r="L94" s="29">
        <v>0.75414216996258687</v>
      </c>
      <c r="M94" s="29">
        <v>0.75814332247557004</v>
      </c>
      <c r="N94" s="29">
        <v>0.75224856909239579</v>
      </c>
      <c r="O94" s="29">
        <v>0.74738580077050087</v>
      </c>
      <c r="P94" s="29">
        <v>0.77483443708609268</v>
      </c>
      <c r="Q94" s="29">
        <v>0.80461711711711714</v>
      </c>
    </row>
    <row r="95" spans="1:17" x14ac:dyDescent="0.2">
      <c r="A95" s="16" t="s">
        <v>182</v>
      </c>
      <c r="B95" s="16" t="s">
        <v>84</v>
      </c>
      <c r="C95" s="20" t="s">
        <v>190</v>
      </c>
      <c r="D95" s="20" t="s">
        <v>190</v>
      </c>
      <c r="E95" s="20" t="s">
        <v>190</v>
      </c>
      <c r="F95" s="20" t="s">
        <v>190</v>
      </c>
      <c r="G95" s="20" t="s">
        <v>190</v>
      </c>
      <c r="H95" s="29">
        <v>0.55305466237942125</v>
      </c>
      <c r="I95" s="29">
        <v>0.56620597414177443</v>
      </c>
      <c r="J95" s="29">
        <v>0.56589030803906837</v>
      </c>
      <c r="K95" s="29">
        <v>0.54788649127992906</v>
      </c>
      <c r="L95" s="29">
        <v>0.57960457856399583</v>
      </c>
      <c r="M95" s="29">
        <v>0.58130202140309151</v>
      </c>
      <c r="N95" s="29">
        <v>0.57406031793195667</v>
      </c>
      <c r="O95" s="29">
        <v>0.58285280728376332</v>
      </c>
      <c r="P95" s="29">
        <v>0.58458986731001206</v>
      </c>
      <c r="Q95" s="29">
        <v>0.55538989115849113</v>
      </c>
    </row>
    <row r="96" spans="1:17" x14ac:dyDescent="0.2">
      <c r="A96" s="16" t="s">
        <v>182</v>
      </c>
      <c r="B96" s="16" t="s">
        <v>15</v>
      </c>
      <c r="C96" s="20" t="s">
        <v>190</v>
      </c>
      <c r="D96" s="20" t="s">
        <v>190</v>
      </c>
      <c r="E96" s="20" t="s">
        <v>190</v>
      </c>
      <c r="F96" s="20" t="s">
        <v>190</v>
      </c>
      <c r="G96" s="20" t="s">
        <v>190</v>
      </c>
      <c r="H96" s="29">
        <v>0.74924050632911388</v>
      </c>
      <c r="I96" s="29">
        <v>0.74763883641858708</v>
      </c>
      <c r="J96" s="29">
        <v>0.74102405922270198</v>
      </c>
      <c r="K96" s="29">
        <v>0.69894912825411992</v>
      </c>
      <c r="L96" s="29">
        <v>0.71986029146091779</v>
      </c>
      <c r="M96" s="29">
        <v>0.71604503870513725</v>
      </c>
      <c r="N96" s="29">
        <v>0.70838309051827086</v>
      </c>
      <c r="O96" s="29">
        <v>0.70348628249670542</v>
      </c>
      <c r="P96" s="29">
        <v>0.69974707936890279</v>
      </c>
      <c r="Q96" s="29">
        <v>0.68999881361964643</v>
      </c>
    </row>
    <row r="97" spans="1:17" x14ac:dyDescent="0.2">
      <c r="A97" s="16" t="s">
        <v>182</v>
      </c>
      <c r="B97" s="16" t="s">
        <v>85</v>
      </c>
      <c r="C97" s="20" t="s">
        <v>190</v>
      </c>
      <c r="D97" s="20" t="s">
        <v>190</v>
      </c>
      <c r="E97" s="20" t="s">
        <v>190</v>
      </c>
      <c r="F97" s="20" t="s">
        <v>190</v>
      </c>
      <c r="G97" s="20" t="s">
        <v>190</v>
      </c>
      <c r="H97" s="29">
        <v>0.44652435928566697</v>
      </c>
      <c r="I97" s="29">
        <v>0.42812784991531683</v>
      </c>
      <c r="J97" s="29">
        <v>0.43398195456027827</v>
      </c>
      <c r="K97" s="29">
        <v>0.42407986887200116</v>
      </c>
      <c r="L97" s="29">
        <v>0.41755977774540609</v>
      </c>
      <c r="M97" s="29">
        <v>0.41725421684241176</v>
      </c>
      <c r="N97" s="29">
        <v>0.43722897024875407</v>
      </c>
      <c r="O97" s="29">
        <v>0.43918600162971222</v>
      </c>
      <c r="P97" s="29">
        <v>0.43261418358471754</v>
      </c>
      <c r="Q97" s="29">
        <v>0.42149090526758493</v>
      </c>
    </row>
    <row r="98" spans="1:17" x14ac:dyDescent="0.2">
      <c r="A98" s="16" t="s">
        <v>182</v>
      </c>
      <c r="B98" s="16" t="s">
        <v>86</v>
      </c>
      <c r="C98" s="20" t="s">
        <v>190</v>
      </c>
      <c r="D98" s="20" t="s">
        <v>190</v>
      </c>
      <c r="E98" s="20" t="s">
        <v>190</v>
      </c>
      <c r="F98" s="20" t="s">
        <v>190</v>
      </c>
      <c r="G98" s="20" t="s">
        <v>190</v>
      </c>
      <c r="H98" s="29">
        <v>0.50142194282293073</v>
      </c>
      <c r="I98" s="29">
        <v>0.49555555555555558</v>
      </c>
      <c r="J98" s="29">
        <v>0.50355660936573798</v>
      </c>
      <c r="K98" s="29">
        <v>0.49307519396707999</v>
      </c>
      <c r="L98" s="29">
        <v>0.49835403262008082</v>
      </c>
      <c r="M98" s="29">
        <v>0.48203231164125021</v>
      </c>
      <c r="N98" s="29">
        <v>0.49540859634231038</v>
      </c>
      <c r="O98" s="29">
        <v>0.48395023805866993</v>
      </c>
      <c r="P98" s="29">
        <v>0.47468106754324174</v>
      </c>
      <c r="Q98" s="29">
        <v>0.47395588925387144</v>
      </c>
    </row>
    <row r="99" spans="1:17" x14ac:dyDescent="0.2">
      <c r="A99" s="16" t="s">
        <v>182</v>
      </c>
      <c r="B99" s="16" t="s">
        <v>87</v>
      </c>
      <c r="C99" s="20" t="s">
        <v>190</v>
      </c>
      <c r="D99" s="20" t="s">
        <v>190</v>
      </c>
      <c r="E99" s="20" t="s">
        <v>190</v>
      </c>
      <c r="F99" s="20" t="s">
        <v>190</v>
      </c>
      <c r="G99" s="20" t="s">
        <v>190</v>
      </c>
      <c r="H99" s="29">
        <v>0.6618117229129663</v>
      </c>
      <c r="I99" s="29">
        <v>0.69668158090976884</v>
      </c>
      <c r="J99" s="29">
        <v>0.66614501825769434</v>
      </c>
      <c r="K99" s="29">
        <v>0.66660736523750219</v>
      </c>
      <c r="L99" s="29">
        <v>0.66332378223495703</v>
      </c>
      <c r="M99" s="29">
        <v>0.66449864498644984</v>
      </c>
      <c r="N99" s="29">
        <v>0.6725515703400855</v>
      </c>
      <c r="O99" s="29">
        <v>0.67457872803044028</v>
      </c>
      <c r="P99" s="29">
        <v>0.64783934014703248</v>
      </c>
      <c r="Q99" s="29">
        <v>0.63751880956361817</v>
      </c>
    </row>
    <row r="100" spans="1:17" x14ac:dyDescent="0.2">
      <c r="A100" s="16" t="s">
        <v>182</v>
      </c>
      <c r="B100" s="16" t="s">
        <v>88</v>
      </c>
      <c r="C100" s="20" t="s">
        <v>190</v>
      </c>
      <c r="D100" s="20" t="s">
        <v>190</v>
      </c>
      <c r="E100" s="20" t="s">
        <v>190</v>
      </c>
      <c r="F100" s="20" t="s">
        <v>190</v>
      </c>
      <c r="G100" s="20" t="s">
        <v>190</v>
      </c>
      <c r="H100" s="29">
        <v>0.7739520958083832</v>
      </c>
      <c r="I100" s="29">
        <v>0.7635262958758986</v>
      </c>
      <c r="J100" s="29">
        <v>0.77417001094491067</v>
      </c>
      <c r="K100" s="29">
        <v>0.73057733428367788</v>
      </c>
      <c r="L100" s="29">
        <v>0.68552412645590677</v>
      </c>
      <c r="M100" s="29">
        <v>0.69830949284785437</v>
      </c>
      <c r="N100" s="29">
        <v>0.69550637156270956</v>
      </c>
      <c r="O100" s="29">
        <v>0.70119250425894375</v>
      </c>
      <c r="P100" s="29">
        <v>0.71699905033238365</v>
      </c>
      <c r="Q100" s="29">
        <v>0.75914535448365161</v>
      </c>
    </row>
    <row r="101" spans="1:17" x14ac:dyDescent="0.2">
      <c r="A101" s="16" t="s">
        <v>182</v>
      </c>
      <c r="B101" s="16" t="s">
        <v>18</v>
      </c>
      <c r="C101" s="20" t="s">
        <v>190</v>
      </c>
      <c r="D101" s="20" t="s">
        <v>190</v>
      </c>
      <c r="E101" s="20" t="s">
        <v>190</v>
      </c>
      <c r="F101" s="20" t="s">
        <v>190</v>
      </c>
      <c r="G101" s="20" t="s">
        <v>190</v>
      </c>
      <c r="H101" s="29">
        <v>0.55765240588874621</v>
      </c>
      <c r="I101" s="29">
        <v>0.52899889176209824</v>
      </c>
      <c r="J101" s="29">
        <v>0.56396741734547196</v>
      </c>
      <c r="K101" s="29">
        <v>0.59773195876288665</v>
      </c>
      <c r="L101" s="29">
        <v>0.62537862397230637</v>
      </c>
      <c r="M101" s="29">
        <v>0.63271239366856902</v>
      </c>
      <c r="N101" s="29">
        <v>0.62570498915401307</v>
      </c>
      <c r="O101" s="29">
        <v>0.63104636939842096</v>
      </c>
      <c r="P101" s="29">
        <v>0.64477968309094857</v>
      </c>
      <c r="Q101" s="29">
        <v>0.64771719858156029</v>
      </c>
    </row>
    <row r="102" spans="1:17" x14ac:dyDescent="0.2">
      <c r="A102" s="16" t="s">
        <v>182</v>
      </c>
      <c r="B102" s="16" t="s">
        <v>89</v>
      </c>
      <c r="C102" s="20" t="s">
        <v>190</v>
      </c>
      <c r="D102" s="20" t="s">
        <v>190</v>
      </c>
      <c r="E102" s="20" t="s">
        <v>190</v>
      </c>
      <c r="F102" s="20" t="s">
        <v>190</v>
      </c>
      <c r="G102" s="20" t="s">
        <v>190</v>
      </c>
      <c r="H102" s="29">
        <v>0.46870971522325089</v>
      </c>
      <c r="I102" s="29">
        <v>0.42691029900332228</v>
      </c>
      <c r="J102" s="29">
        <v>0.45343221800620903</v>
      </c>
      <c r="K102" s="29">
        <v>0.42719722455845249</v>
      </c>
      <c r="L102" s="29">
        <v>0.44278336504484916</v>
      </c>
      <c r="M102" s="29">
        <v>0.43565690872823332</v>
      </c>
      <c r="N102" s="29">
        <v>0.47007123161764708</v>
      </c>
      <c r="O102" s="29">
        <v>0.45267876909453175</v>
      </c>
      <c r="P102" s="29">
        <v>0.44030089628681179</v>
      </c>
      <c r="Q102" s="29">
        <v>0.41672043010752691</v>
      </c>
    </row>
    <row r="103" spans="1:17" x14ac:dyDescent="0.2">
      <c r="A103" s="16" t="s">
        <v>182</v>
      </c>
      <c r="B103" s="16" t="s">
        <v>90</v>
      </c>
      <c r="C103" s="20" t="s">
        <v>190</v>
      </c>
      <c r="D103" s="20" t="s">
        <v>190</v>
      </c>
      <c r="E103" s="20" t="s">
        <v>190</v>
      </c>
      <c r="F103" s="20" t="s">
        <v>190</v>
      </c>
      <c r="G103" s="20" t="s">
        <v>190</v>
      </c>
      <c r="H103" s="29">
        <v>0.58963922294172066</v>
      </c>
      <c r="I103" s="29">
        <v>0.57486379860980652</v>
      </c>
      <c r="J103" s="29">
        <v>0.62848484848484854</v>
      </c>
      <c r="K103" s="29">
        <v>0.5995967741935484</v>
      </c>
      <c r="L103" s="29">
        <v>0.61322081575246135</v>
      </c>
      <c r="M103" s="29">
        <v>0.59474789915966386</v>
      </c>
      <c r="N103" s="29">
        <v>0.59447100394928287</v>
      </c>
      <c r="O103" s="29">
        <v>0.59099516095097837</v>
      </c>
      <c r="P103" s="29">
        <v>0.58670279283034599</v>
      </c>
      <c r="Q103" s="29">
        <v>0.57552931596091206</v>
      </c>
    </row>
    <row r="104" spans="1:17" x14ac:dyDescent="0.2">
      <c r="A104" s="16" t="s">
        <v>182</v>
      </c>
      <c r="B104" s="16" t="s">
        <v>91</v>
      </c>
      <c r="C104" s="20" t="s">
        <v>190</v>
      </c>
      <c r="D104" s="20" t="s">
        <v>190</v>
      </c>
      <c r="E104" s="20" t="s">
        <v>190</v>
      </c>
      <c r="F104" s="20" t="s">
        <v>190</v>
      </c>
      <c r="G104" s="20" t="s">
        <v>190</v>
      </c>
      <c r="H104" s="29">
        <v>0.5840283569641368</v>
      </c>
      <c r="I104" s="29">
        <v>0.58599827139152982</v>
      </c>
      <c r="J104" s="29">
        <v>0.5832249674902471</v>
      </c>
      <c r="K104" s="29">
        <v>0.57751021285744997</v>
      </c>
      <c r="L104" s="29">
        <v>0.58089304257528551</v>
      </c>
      <c r="M104" s="29">
        <v>0.60661297159813476</v>
      </c>
      <c r="N104" s="29">
        <v>0.57050452781371286</v>
      </c>
      <c r="O104" s="29">
        <v>0.52832590706556337</v>
      </c>
      <c r="P104" s="29">
        <v>0.55232922498433257</v>
      </c>
      <c r="Q104" s="29">
        <v>0.5588103756708408</v>
      </c>
    </row>
    <row r="105" spans="1:17" x14ac:dyDescent="0.2">
      <c r="A105" s="16" t="s">
        <v>182</v>
      </c>
      <c r="B105" s="16" t="s">
        <v>92</v>
      </c>
      <c r="C105" s="20" t="s">
        <v>190</v>
      </c>
      <c r="D105" s="20" t="s">
        <v>190</v>
      </c>
      <c r="E105" s="20" t="s">
        <v>190</v>
      </c>
      <c r="F105" s="20" t="s">
        <v>190</v>
      </c>
      <c r="G105" s="20" t="s">
        <v>190</v>
      </c>
      <c r="H105" s="29">
        <v>0.64504417281858895</v>
      </c>
      <c r="I105" s="29">
        <v>0.64382890060056375</v>
      </c>
      <c r="J105" s="29">
        <v>0.65101507036990913</v>
      </c>
      <c r="K105" s="29">
        <v>0.65412299532769291</v>
      </c>
      <c r="L105" s="29">
        <v>0.64767225325884548</v>
      </c>
      <c r="M105" s="29">
        <v>0.65748129675810474</v>
      </c>
      <c r="N105" s="29">
        <v>0.5914117647058823</v>
      </c>
      <c r="O105" s="29">
        <v>0.59753175173735917</v>
      </c>
      <c r="P105" s="29">
        <v>0.60111111111111115</v>
      </c>
      <c r="Q105" s="29">
        <v>0.64768403096706473</v>
      </c>
    </row>
    <row r="106" spans="1:17" x14ac:dyDescent="0.2">
      <c r="A106" s="16" t="s">
        <v>182</v>
      </c>
      <c r="B106" s="16" t="s">
        <v>93</v>
      </c>
      <c r="C106" s="20" t="s">
        <v>190</v>
      </c>
      <c r="D106" s="20" t="s">
        <v>190</v>
      </c>
      <c r="E106" s="20" t="s">
        <v>190</v>
      </c>
      <c r="F106" s="20" t="s">
        <v>190</v>
      </c>
      <c r="G106" s="20" t="s">
        <v>190</v>
      </c>
      <c r="H106" s="29">
        <v>0.78594377510040159</v>
      </c>
      <c r="I106" s="29">
        <v>0.76121794871794868</v>
      </c>
      <c r="J106" s="29">
        <v>0.75508575987235738</v>
      </c>
      <c r="K106" s="29">
        <v>0.77637297510865266</v>
      </c>
      <c r="L106" s="29">
        <v>0.77484472049689446</v>
      </c>
      <c r="M106" s="29">
        <v>0.75459163735834311</v>
      </c>
      <c r="N106" s="29">
        <v>0.73986765922249798</v>
      </c>
      <c r="O106" s="29">
        <v>0.76009693053311789</v>
      </c>
      <c r="P106" s="29">
        <v>0.74842519685039366</v>
      </c>
      <c r="Q106" s="29">
        <v>0.7667719021310182</v>
      </c>
    </row>
    <row r="107" spans="1:17" x14ac:dyDescent="0.2">
      <c r="A107" s="16" t="s">
        <v>182</v>
      </c>
      <c r="B107" s="16" t="s">
        <v>94</v>
      </c>
      <c r="C107" s="20" t="s">
        <v>190</v>
      </c>
      <c r="D107" s="20" t="s">
        <v>190</v>
      </c>
      <c r="E107" s="20" t="s">
        <v>190</v>
      </c>
      <c r="F107" s="20" t="s">
        <v>190</v>
      </c>
      <c r="G107" s="20" t="s">
        <v>190</v>
      </c>
      <c r="H107" s="29">
        <v>0.65977205571971298</v>
      </c>
      <c r="I107" s="29">
        <v>0.6467780429594272</v>
      </c>
      <c r="J107" s="29">
        <v>0.67117630304756482</v>
      </c>
      <c r="K107" s="29">
        <v>0.65525433202906647</v>
      </c>
      <c r="L107" s="29">
        <v>0.65552305335004879</v>
      </c>
      <c r="M107" s="29">
        <v>0.64755244755244756</v>
      </c>
      <c r="N107" s="29">
        <v>0.6336660372268681</v>
      </c>
      <c r="O107" s="29">
        <v>0.64697193500738548</v>
      </c>
      <c r="P107" s="29">
        <v>0.6521853261582885</v>
      </c>
      <c r="Q107" s="29">
        <v>0.65722453222453225</v>
      </c>
    </row>
    <row r="108" spans="1:17" x14ac:dyDescent="0.2">
      <c r="A108" s="16" t="s">
        <v>182</v>
      </c>
      <c r="B108" s="16" t="s">
        <v>95</v>
      </c>
      <c r="C108" s="20" t="s">
        <v>190</v>
      </c>
      <c r="D108" s="20" t="s">
        <v>190</v>
      </c>
      <c r="E108" s="20" t="s">
        <v>190</v>
      </c>
      <c r="F108" s="20" t="s">
        <v>190</v>
      </c>
      <c r="G108" s="20" t="s">
        <v>190</v>
      </c>
      <c r="H108" s="29">
        <v>0.68695652173913047</v>
      </c>
      <c r="I108" s="29">
        <v>0.69223985890652562</v>
      </c>
      <c r="J108" s="29">
        <v>0.66570853693590115</v>
      </c>
      <c r="K108" s="29">
        <v>0.64583941605839412</v>
      </c>
      <c r="L108" s="29">
        <v>0.65880322209436137</v>
      </c>
      <c r="M108" s="29">
        <v>0.65778159931212377</v>
      </c>
      <c r="N108" s="29">
        <v>0.65835482946402979</v>
      </c>
      <c r="O108" s="29">
        <v>0.67969661610268373</v>
      </c>
      <c r="P108" s="29">
        <v>0.64103343465045592</v>
      </c>
      <c r="Q108" s="29">
        <v>0.62080335731414871</v>
      </c>
    </row>
    <row r="109" spans="1:17" ht="27" customHeight="1" x14ac:dyDescent="0.2">
      <c r="A109" s="17" t="s">
        <v>183</v>
      </c>
      <c r="B109" s="9" t="s">
        <v>112</v>
      </c>
      <c r="C109" s="20" t="s">
        <v>190</v>
      </c>
      <c r="D109" s="20" t="s">
        <v>190</v>
      </c>
      <c r="E109" s="20" t="s">
        <v>190</v>
      </c>
      <c r="F109" s="20" t="s">
        <v>190</v>
      </c>
      <c r="G109" s="20" t="s">
        <v>190</v>
      </c>
      <c r="H109" s="29">
        <v>0.61290322580645162</v>
      </c>
      <c r="I109" s="29">
        <v>0.61288468340997526</v>
      </c>
      <c r="J109" s="29">
        <v>0.62031449588160159</v>
      </c>
      <c r="K109" s="29">
        <v>0.61035229633558763</v>
      </c>
      <c r="L109" s="29">
        <v>0.61542194185892629</v>
      </c>
      <c r="M109" s="29">
        <v>0.61947525972882544</v>
      </c>
      <c r="N109" s="29">
        <v>0.62199434229137196</v>
      </c>
      <c r="O109" s="29">
        <v>0.62475129327497014</v>
      </c>
      <c r="P109" s="29">
        <v>0.61883171193379405</v>
      </c>
      <c r="Q109" s="29">
        <v>0.62589471776750927</v>
      </c>
    </row>
    <row r="110" spans="1:17" x14ac:dyDescent="0.2">
      <c r="A110" s="16" t="s">
        <v>183</v>
      </c>
      <c r="B110" s="9" t="s">
        <v>113</v>
      </c>
      <c r="C110" s="20" t="s">
        <v>190</v>
      </c>
      <c r="D110" s="20" t="s">
        <v>190</v>
      </c>
      <c r="E110" s="20" t="s">
        <v>190</v>
      </c>
      <c r="F110" s="20" t="s">
        <v>190</v>
      </c>
      <c r="G110" s="20" t="s">
        <v>190</v>
      </c>
      <c r="H110" s="29">
        <v>0.6670087224217548</v>
      </c>
      <c r="I110" s="29">
        <v>0.66434661562554376</v>
      </c>
      <c r="J110" s="29">
        <v>0.64947204431365757</v>
      </c>
      <c r="K110" s="29">
        <v>0.64070932922127988</v>
      </c>
      <c r="L110" s="29">
        <v>0.63685704742818972</v>
      </c>
      <c r="M110" s="29">
        <v>0.65240958753281952</v>
      </c>
      <c r="N110" s="29">
        <v>0.64412720123097966</v>
      </c>
      <c r="O110" s="29">
        <v>0.63681379663621618</v>
      </c>
      <c r="P110" s="29">
        <v>0.61536489488976243</v>
      </c>
      <c r="Q110" s="29">
        <v>0.61526425591098743</v>
      </c>
    </row>
    <row r="111" spans="1:17" x14ac:dyDescent="0.2">
      <c r="A111" s="16" t="s">
        <v>183</v>
      </c>
      <c r="B111" s="9" t="s">
        <v>114</v>
      </c>
      <c r="C111" s="20" t="s">
        <v>190</v>
      </c>
      <c r="D111" s="20" t="s">
        <v>190</v>
      </c>
      <c r="E111" s="20" t="s">
        <v>190</v>
      </c>
      <c r="F111" s="20" t="s">
        <v>190</v>
      </c>
      <c r="G111" s="20" t="s">
        <v>190</v>
      </c>
      <c r="H111" s="29">
        <v>0.43556933093226208</v>
      </c>
      <c r="I111" s="29">
        <v>0.43681472169844265</v>
      </c>
      <c r="J111" s="29">
        <v>0.42777213490109661</v>
      </c>
      <c r="K111" s="29">
        <v>0.42334801762114538</v>
      </c>
      <c r="L111" s="29">
        <v>0.4280309913600846</v>
      </c>
      <c r="M111" s="29">
        <v>0.42549223842483702</v>
      </c>
      <c r="N111" s="29">
        <v>0.4319280091525366</v>
      </c>
      <c r="O111" s="29">
        <v>0.43479737762831616</v>
      </c>
      <c r="P111" s="29">
        <v>0.43279022403258655</v>
      </c>
      <c r="Q111" s="29">
        <v>0.43206361507488589</v>
      </c>
    </row>
    <row r="112" spans="1:17" x14ac:dyDescent="0.2">
      <c r="A112" s="16" t="s">
        <v>183</v>
      </c>
      <c r="B112" s="9" t="s">
        <v>115</v>
      </c>
      <c r="C112" s="20" t="s">
        <v>190</v>
      </c>
      <c r="D112" s="20" t="s">
        <v>190</v>
      </c>
      <c r="E112" s="20" t="s">
        <v>190</v>
      </c>
      <c r="F112" s="20" t="s">
        <v>190</v>
      </c>
      <c r="G112" s="20" t="s">
        <v>190</v>
      </c>
      <c r="H112" s="29">
        <v>0.6320037986704653</v>
      </c>
      <c r="I112" s="29">
        <v>0.62370642701525059</v>
      </c>
      <c r="J112" s="29">
        <v>0.62966686775253033</v>
      </c>
      <c r="K112" s="29">
        <v>0.61747897001220065</v>
      </c>
      <c r="L112" s="29">
        <v>0.60656663946261535</v>
      </c>
      <c r="M112" s="29">
        <v>0.59350455055479368</v>
      </c>
      <c r="N112" s="29">
        <v>0.59453822590106242</v>
      </c>
      <c r="O112" s="29">
        <v>0.61340239559728071</v>
      </c>
      <c r="P112" s="29">
        <v>0.61067046722022555</v>
      </c>
      <c r="Q112" s="29">
        <v>0.61267561660942871</v>
      </c>
    </row>
    <row r="113" spans="1:17" x14ac:dyDescent="0.2">
      <c r="A113" s="16" t="s">
        <v>183</v>
      </c>
      <c r="B113" s="9" t="s">
        <v>13</v>
      </c>
      <c r="C113" s="20" t="s">
        <v>190</v>
      </c>
      <c r="D113" s="20" t="s">
        <v>190</v>
      </c>
      <c r="E113" s="20" t="s">
        <v>190</v>
      </c>
      <c r="F113" s="20" t="s">
        <v>190</v>
      </c>
      <c r="G113" s="20" t="s">
        <v>190</v>
      </c>
      <c r="H113" s="29">
        <v>0.46958351162458994</v>
      </c>
      <c r="I113" s="29">
        <v>0.46208760742999722</v>
      </c>
      <c r="J113" s="29">
        <v>0.46655403075649954</v>
      </c>
      <c r="K113" s="29">
        <v>0.46413502109704641</v>
      </c>
      <c r="L113" s="29">
        <v>0.47470139638541631</v>
      </c>
      <c r="M113" s="29">
        <v>0.4769395287867812</v>
      </c>
      <c r="N113" s="29">
        <v>0.47254628012574224</v>
      </c>
      <c r="O113" s="29">
        <v>0.48070288917636911</v>
      </c>
      <c r="P113" s="29">
        <v>0.47619718806159483</v>
      </c>
      <c r="Q113" s="29">
        <v>0.47200707338638376</v>
      </c>
    </row>
    <row r="114" spans="1:17" x14ac:dyDescent="0.2">
      <c r="A114" s="16" t="s">
        <v>183</v>
      </c>
      <c r="B114" s="9" t="s">
        <v>116</v>
      </c>
      <c r="C114" s="20" t="s">
        <v>190</v>
      </c>
      <c r="D114" s="20" t="s">
        <v>190</v>
      </c>
      <c r="E114" s="20" t="s">
        <v>190</v>
      </c>
      <c r="F114" s="20" t="s">
        <v>190</v>
      </c>
      <c r="G114" s="20" t="s">
        <v>190</v>
      </c>
      <c r="H114" s="29">
        <v>0.74924050632911388</v>
      </c>
      <c r="I114" s="29">
        <v>0.74763883641858708</v>
      </c>
      <c r="J114" s="29">
        <v>0.74102405922270198</v>
      </c>
      <c r="K114" s="29">
        <v>0.69894912825411992</v>
      </c>
      <c r="L114" s="29">
        <v>0.71986029146091779</v>
      </c>
      <c r="M114" s="29">
        <v>0.71604503870513725</v>
      </c>
      <c r="N114" s="29">
        <v>0.70838309051827086</v>
      </c>
      <c r="O114" s="29">
        <v>0.70348628249670542</v>
      </c>
      <c r="P114" s="29">
        <v>0.69974707936890279</v>
      </c>
      <c r="Q114" s="29">
        <v>0.68999881361964643</v>
      </c>
    </row>
    <row r="115" spans="1:17" x14ac:dyDescent="0.2">
      <c r="A115" s="16" t="s">
        <v>183</v>
      </c>
      <c r="B115" s="9" t="s">
        <v>117</v>
      </c>
      <c r="C115" s="20" t="s">
        <v>190</v>
      </c>
      <c r="D115" s="20" t="s">
        <v>190</v>
      </c>
      <c r="E115" s="20" t="s">
        <v>190</v>
      </c>
      <c r="F115" s="20" t="s">
        <v>190</v>
      </c>
      <c r="G115" s="20" t="s">
        <v>190</v>
      </c>
      <c r="H115" s="29">
        <v>0.65977205571971298</v>
      </c>
      <c r="I115" s="29">
        <v>0.6467780429594272</v>
      </c>
      <c r="J115" s="29">
        <v>0.67117630304756482</v>
      </c>
      <c r="K115" s="29">
        <v>0.65525433202906647</v>
      </c>
      <c r="L115" s="29">
        <v>0.65552305335004879</v>
      </c>
      <c r="M115" s="29">
        <v>0.64755244755244756</v>
      </c>
      <c r="N115" s="29">
        <v>0.6336660372268681</v>
      </c>
      <c r="O115" s="29">
        <v>0.64697193500738548</v>
      </c>
      <c r="P115" s="29">
        <v>0.6521853261582885</v>
      </c>
      <c r="Q115" s="29">
        <v>0.65722453222453225</v>
      </c>
    </row>
    <row r="116" spans="1:17" x14ac:dyDescent="0.2">
      <c r="A116" s="16" t="s">
        <v>183</v>
      </c>
      <c r="B116" s="9" t="s">
        <v>118</v>
      </c>
      <c r="C116" s="20" t="s">
        <v>190</v>
      </c>
      <c r="D116" s="20" t="s">
        <v>190</v>
      </c>
      <c r="E116" s="20" t="s">
        <v>190</v>
      </c>
      <c r="F116" s="20" t="s">
        <v>190</v>
      </c>
      <c r="G116" s="20" t="s">
        <v>190</v>
      </c>
      <c r="H116" s="29">
        <v>0.55765240588874621</v>
      </c>
      <c r="I116" s="29">
        <v>0.52899889176209824</v>
      </c>
      <c r="J116" s="29">
        <v>0.56396741734547196</v>
      </c>
      <c r="K116" s="29">
        <v>0.59773195876288665</v>
      </c>
      <c r="L116" s="29">
        <v>0.62537862397230637</v>
      </c>
      <c r="M116" s="29">
        <v>0.63271239366856902</v>
      </c>
      <c r="N116" s="29">
        <v>0.62570498915401307</v>
      </c>
      <c r="O116" s="29">
        <v>0.63104636939842096</v>
      </c>
      <c r="P116" s="29">
        <v>0.64477968309094857</v>
      </c>
      <c r="Q116" s="29">
        <v>0.64771719858156029</v>
      </c>
    </row>
    <row r="117" spans="1:17" x14ac:dyDescent="0.2">
      <c r="A117" s="16" t="s">
        <v>183</v>
      </c>
      <c r="B117" s="9" t="s">
        <v>184</v>
      </c>
      <c r="C117" s="20" t="s">
        <v>190</v>
      </c>
      <c r="D117" s="20" t="s">
        <v>190</v>
      </c>
      <c r="E117" s="20" t="s">
        <v>190</v>
      </c>
      <c r="F117" s="20" t="s">
        <v>190</v>
      </c>
      <c r="G117" s="20" t="s">
        <v>190</v>
      </c>
      <c r="H117" s="105">
        <v>0.53498335017023979</v>
      </c>
      <c r="I117" s="105">
        <v>0.53029436271156927</v>
      </c>
      <c r="J117" s="105">
        <v>0.53120925432715183</v>
      </c>
      <c r="K117" s="105">
        <v>0.52525877381025299</v>
      </c>
      <c r="L117" s="105">
        <v>0.5302096627164995</v>
      </c>
      <c r="M117" s="105">
        <v>0.53072097829201237</v>
      </c>
      <c r="N117" s="105">
        <v>0.53100712935391003</v>
      </c>
      <c r="O117" s="105">
        <v>0.53578515266512883</v>
      </c>
      <c r="P117" s="105">
        <v>0.53313547856123</v>
      </c>
      <c r="Q117" s="105">
        <v>0.53095366009070577</v>
      </c>
    </row>
    <row r="118" spans="1:17" ht="28.5" customHeight="1" x14ac:dyDescent="0.2">
      <c r="A118" s="17" t="s">
        <v>185</v>
      </c>
      <c r="B118" s="17" t="s">
        <v>111</v>
      </c>
      <c r="C118" s="20" t="s">
        <v>190</v>
      </c>
      <c r="D118" s="20" t="s">
        <v>190</v>
      </c>
      <c r="E118" s="20" t="s">
        <v>190</v>
      </c>
      <c r="F118" s="20" t="s">
        <v>190</v>
      </c>
      <c r="G118" s="20" t="s">
        <v>190</v>
      </c>
      <c r="H118" s="29">
        <v>0.30490467180905256</v>
      </c>
      <c r="I118" s="29">
        <v>0.29119017365523081</v>
      </c>
      <c r="J118" s="29">
        <v>0.32076064749332078</v>
      </c>
      <c r="K118" s="29">
        <v>0.31130017452006981</v>
      </c>
      <c r="L118" s="29">
        <v>0.32654659357870008</v>
      </c>
      <c r="M118" s="29">
        <v>0.32487070992007522</v>
      </c>
      <c r="N118" s="29">
        <v>0.35755955274671852</v>
      </c>
      <c r="O118" s="29">
        <v>0.38717283659514268</v>
      </c>
      <c r="P118" s="29">
        <v>0.3391969920773466</v>
      </c>
      <c r="Q118" s="29">
        <v>0.31442616751748914</v>
      </c>
    </row>
    <row r="119" spans="1:17" x14ac:dyDescent="0.2">
      <c r="A119" s="17" t="s">
        <v>185</v>
      </c>
      <c r="B119" s="9" t="s">
        <v>186</v>
      </c>
      <c r="C119" s="20" t="s">
        <v>190</v>
      </c>
      <c r="D119" s="20" t="s">
        <v>190</v>
      </c>
      <c r="E119" s="20" t="s">
        <v>190</v>
      </c>
      <c r="F119" s="20" t="s">
        <v>190</v>
      </c>
      <c r="G119" s="20" t="s">
        <v>190</v>
      </c>
      <c r="H119" s="48">
        <v>0.23382883199167331</v>
      </c>
      <c r="I119" s="29">
        <v>0.22955366357069143</v>
      </c>
      <c r="J119" s="29">
        <v>0.22897569632654372</v>
      </c>
      <c r="K119" s="29">
        <v>0.23211821253509732</v>
      </c>
      <c r="L119" s="29">
        <v>0.22994165694282381</v>
      </c>
      <c r="M119" s="29">
        <v>0.22685298903865639</v>
      </c>
      <c r="N119" s="29">
        <v>0.23310357696838227</v>
      </c>
      <c r="O119" s="29">
        <v>0.23371246056167957</v>
      </c>
      <c r="P119" s="29">
        <v>0.23068883866937132</v>
      </c>
      <c r="Q119" s="29">
        <v>0.22873478351413265</v>
      </c>
    </row>
    <row r="120" spans="1:17" x14ac:dyDescent="0.2">
      <c r="A120" s="17" t="s">
        <v>185</v>
      </c>
      <c r="B120" s="9" t="s">
        <v>151</v>
      </c>
      <c r="C120" s="20" t="s">
        <v>190</v>
      </c>
      <c r="D120" s="20" t="s">
        <v>190</v>
      </c>
      <c r="E120" s="20" t="s">
        <v>190</v>
      </c>
      <c r="F120" s="20" t="s">
        <v>190</v>
      </c>
      <c r="G120" s="20" t="s">
        <v>190</v>
      </c>
      <c r="H120" s="48">
        <v>0.25333411777919812</v>
      </c>
      <c r="I120" s="29">
        <v>0.25102060092142686</v>
      </c>
      <c r="J120" s="29">
        <v>0.25136792587832157</v>
      </c>
      <c r="K120" s="29">
        <v>0.25209684792266956</v>
      </c>
      <c r="L120" s="29">
        <v>0.25130603387650946</v>
      </c>
      <c r="M120" s="29">
        <v>0.2520683079664266</v>
      </c>
      <c r="N120" s="29">
        <v>0.25994003589652992</v>
      </c>
      <c r="O120" s="29">
        <v>0.26034651646871554</v>
      </c>
      <c r="P120" s="29">
        <v>0.2613646543317627</v>
      </c>
      <c r="Q120" s="29">
        <v>0.26199203431999918</v>
      </c>
    </row>
    <row r="121" spans="1:17" ht="28.5" customHeight="1" x14ac:dyDescent="0.2">
      <c r="A121" s="17" t="s">
        <v>270</v>
      </c>
      <c r="B121" s="9" t="s">
        <v>271</v>
      </c>
      <c r="C121" s="20" t="s">
        <v>190</v>
      </c>
      <c r="D121" s="20" t="s">
        <v>190</v>
      </c>
      <c r="E121" s="20" t="s">
        <v>190</v>
      </c>
      <c r="F121" s="20" t="s">
        <v>190</v>
      </c>
      <c r="G121" s="20" t="s">
        <v>190</v>
      </c>
      <c r="H121" s="79">
        <v>0.77621231979030147</v>
      </c>
      <c r="I121" s="79">
        <v>0.76285991588482693</v>
      </c>
      <c r="J121" s="79">
        <v>0.75955056179775282</v>
      </c>
      <c r="K121" s="79">
        <v>0.75953616112297828</v>
      </c>
      <c r="L121" s="79">
        <v>0.73419626730885013</v>
      </c>
      <c r="M121" s="79">
        <v>0.74760876272755328</v>
      </c>
      <c r="N121" s="79">
        <v>0.73750000000000004</v>
      </c>
      <c r="O121" s="79">
        <v>0.72351885098743263</v>
      </c>
      <c r="P121" s="79">
        <v>0.69646569646569645</v>
      </c>
      <c r="Q121" s="79">
        <v>0.69867452135493369</v>
      </c>
    </row>
    <row r="122" spans="1:17" x14ac:dyDescent="0.2">
      <c r="A122" s="17" t="s">
        <v>270</v>
      </c>
      <c r="B122" s="9" t="s">
        <v>272</v>
      </c>
      <c r="C122" s="20" t="s">
        <v>190</v>
      </c>
      <c r="D122" s="20" t="s">
        <v>190</v>
      </c>
      <c r="E122" s="20" t="s">
        <v>190</v>
      </c>
      <c r="F122" s="20" t="s">
        <v>190</v>
      </c>
      <c r="G122" s="20" t="s">
        <v>190</v>
      </c>
      <c r="H122" s="79">
        <v>0.68348115299334811</v>
      </c>
      <c r="I122" s="79">
        <v>0.64636871508379889</v>
      </c>
      <c r="J122" s="79">
        <v>0.68973091707852829</v>
      </c>
      <c r="K122" s="79">
        <v>0.63667523564695805</v>
      </c>
      <c r="L122" s="79">
        <v>0.64227869310248531</v>
      </c>
      <c r="M122" s="79">
        <v>0.62234332425068117</v>
      </c>
      <c r="N122" s="79">
        <v>0.63234066239910935</v>
      </c>
      <c r="O122" s="79">
        <v>0.62392473118279568</v>
      </c>
      <c r="P122" s="79">
        <v>0.62226325507781588</v>
      </c>
      <c r="Q122" s="79">
        <v>0.65610730593607303</v>
      </c>
    </row>
    <row r="123" spans="1:17" x14ac:dyDescent="0.2">
      <c r="A123" s="17" t="s">
        <v>270</v>
      </c>
      <c r="B123" s="9" t="s">
        <v>273</v>
      </c>
      <c r="C123" s="20" t="s">
        <v>190</v>
      </c>
      <c r="D123" s="20" t="s">
        <v>190</v>
      </c>
      <c r="E123" s="20" t="s">
        <v>190</v>
      </c>
      <c r="F123" s="20" t="s">
        <v>190</v>
      </c>
      <c r="G123" s="20" t="s">
        <v>190</v>
      </c>
      <c r="H123" s="79">
        <v>0.74931954273271639</v>
      </c>
      <c r="I123" s="79">
        <v>0.7484679665738162</v>
      </c>
      <c r="J123" s="79">
        <v>0.75576036866359442</v>
      </c>
      <c r="K123" s="79">
        <v>0.72868421052631582</v>
      </c>
      <c r="L123" s="79">
        <v>0.68287937743190663</v>
      </c>
      <c r="M123" s="79">
        <v>0.68855178952358376</v>
      </c>
      <c r="N123" s="79">
        <v>0.68057625434674618</v>
      </c>
      <c r="O123" s="79">
        <v>0.69359679839919963</v>
      </c>
      <c r="P123" s="79">
        <v>0.70745428973277069</v>
      </c>
      <c r="Q123" s="79">
        <v>0.73457231355730279</v>
      </c>
    </row>
    <row r="124" spans="1:17" x14ac:dyDescent="0.2">
      <c r="A124" s="17" t="s">
        <v>270</v>
      </c>
      <c r="B124" s="9" t="s">
        <v>274</v>
      </c>
      <c r="C124" s="20" t="s">
        <v>190</v>
      </c>
      <c r="D124" s="20" t="s">
        <v>190</v>
      </c>
      <c r="E124" s="20" t="s">
        <v>190</v>
      </c>
      <c r="F124" s="20" t="s">
        <v>190</v>
      </c>
      <c r="G124" s="20" t="s">
        <v>190</v>
      </c>
      <c r="H124" s="79">
        <v>0.63358778625954193</v>
      </c>
      <c r="I124" s="79">
        <v>0.62213378813719922</v>
      </c>
      <c r="J124" s="79">
        <v>0.65226656334753974</v>
      </c>
      <c r="K124" s="79">
        <v>0.6344410876132931</v>
      </c>
      <c r="L124" s="79">
        <v>0.63341504808598903</v>
      </c>
      <c r="M124" s="79">
        <v>0.62558182833736731</v>
      </c>
      <c r="N124" s="79">
        <v>0.59729241877256323</v>
      </c>
      <c r="O124" s="79">
        <v>0.61060825488776249</v>
      </c>
      <c r="P124" s="79">
        <v>0.61043324491600348</v>
      </c>
      <c r="Q124" s="79">
        <v>0.62296516716261163</v>
      </c>
    </row>
    <row r="125" spans="1:17" x14ac:dyDescent="0.2">
      <c r="A125" s="17" t="s">
        <v>270</v>
      </c>
      <c r="B125" s="9" t="s">
        <v>275</v>
      </c>
      <c r="C125" s="20" t="s">
        <v>190</v>
      </c>
      <c r="D125" s="20" t="s">
        <v>190</v>
      </c>
      <c r="E125" s="20" t="s">
        <v>190</v>
      </c>
      <c r="F125" s="20" t="s">
        <v>190</v>
      </c>
      <c r="G125" s="20" t="s">
        <v>190</v>
      </c>
      <c r="H125" s="79">
        <v>0.74104163644276799</v>
      </c>
      <c r="I125" s="79">
        <v>0.73721365797435523</v>
      </c>
      <c r="J125" s="79">
        <v>0.73171756794620346</v>
      </c>
      <c r="K125" s="79">
        <v>0.69474122381018455</v>
      </c>
      <c r="L125" s="79">
        <v>0.70631868131868136</v>
      </c>
      <c r="M125" s="79">
        <v>0.70351557278438714</v>
      </c>
      <c r="N125" s="79">
        <v>0.6965207936939386</v>
      </c>
      <c r="O125" s="79">
        <v>0.69094380796508459</v>
      </c>
      <c r="P125" s="79">
        <v>0.68346007604562742</v>
      </c>
      <c r="Q125" s="79">
        <v>0.66991587661904128</v>
      </c>
    </row>
    <row r="126" spans="1:17" x14ac:dyDescent="0.2">
      <c r="A126" s="17" t="s">
        <v>270</v>
      </c>
      <c r="B126" s="9" t="s">
        <v>276</v>
      </c>
      <c r="C126" s="20" t="s">
        <v>190</v>
      </c>
      <c r="D126" s="20" t="s">
        <v>190</v>
      </c>
      <c r="E126" s="20" t="s">
        <v>190</v>
      </c>
      <c r="F126" s="20" t="s">
        <v>190</v>
      </c>
      <c r="G126" s="20" t="s">
        <v>190</v>
      </c>
      <c r="H126" s="79">
        <v>0.80536246276067525</v>
      </c>
      <c r="I126" s="79">
        <v>0.82</v>
      </c>
      <c r="J126" s="79">
        <v>0.80972078593588415</v>
      </c>
      <c r="K126" s="79">
        <v>0.72493573264781486</v>
      </c>
      <c r="L126" s="79">
        <v>0.8162267839687195</v>
      </c>
      <c r="M126" s="79">
        <v>0.80574162679425843</v>
      </c>
      <c r="N126" s="79">
        <v>0.7942913385826772</v>
      </c>
      <c r="O126" s="79">
        <v>0.7940886699507389</v>
      </c>
      <c r="P126" s="79">
        <v>0.82747603833865813</v>
      </c>
      <c r="Q126" s="79">
        <v>0.85</v>
      </c>
    </row>
    <row r="127" spans="1:17" x14ac:dyDescent="0.2">
      <c r="A127" s="17" t="s">
        <v>270</v>
      </c>
      <c r="B127" s="9" t="s">
        <v>277</v>
      </c>
      <c r="C127" s="20" t="s">
        <v>190</v>
      </c>
      <c r="D127" s="20" t="s">
        <v>190</v>
      </c>
      <c r="E127" s="20" t="s">
        <v>190</v>
      </c>
      <c r="F127" s="20" t="s">
        <v>190</v>
      </c>
      <c r="G127" s="20" t="s">
        <v>190</v>
      </c>
      <c r="H127" s="79">
        <v>0.53667225481978209</v>
      </c>
      <c r="I127" s="79">
        <v>0.50695260477869175</v>
      </c>
      <c r="J127" s="79">
        <v>0.54605060956869178</v>
      </c>
      <c r="K127" s="79">
        <v>0.58185644661054492</v>
      </c>
      <c r="L127" s="79">
        <v>0.60950389218078305</v>
      </c>
      <c r="M127" s="79">
        <v>0.61662043458159965</v>
      </c>
      <c r="N127" s="79">
        <v>0.62789034564958279</v>
      </c>
      <c r="O127" s="79">
        <v>0.6325131595054474</v>
      </c>
      <c r="P127" s="79">
        <v>0.64613904257878274</v>
      </c>
      <c r="Q127" s="79">
        <v>0.63277511961722488</v>
      </c>
    </row>
    <row r="128" spans="1:17" x14ac:dyDescent="0.2">
      <c r="A128" s="17" t="s">
        <v>270</v>
      </c>
      <c r="B128" s="9" t="s">
        <v>278</v>
      </c>
      <c r="C128" s="20" t="s">
        <v>190</v>
      </c>
      <c r="D128" s="20" t="s">
        <v>190</v>
      </c>
      <c r="E128" s="20" t="s">
        <v>190</v>
      </c>
      <c r="F128" s="20" t="s">
        <v>190</v>
      </c>
      <c r="G128" s="20" t="s">
        <v>190</v>
      </c>
      <c r="H128" s="79">
        <v>0.90467937608318894</v>
      </c>
      <c r="I128" s="79">
        <v>0.89448051948051943</v>
      </c>
      <c r="J128" s="79">
        <v>0.82344213649851628</v>
      </c>
      <c r="K128" s="79">
        <v>0.81101190476190477</v>
      </c>
      <c r="L128" s="79">
        <v>0.83987441130298268</v>
      </c>
      <c r="M128" s="79">
        <v>0.85196850393700785</v>
      </c>
      <c r="N128" s="79">
        <v>0.60361445783132528</v>
      </c>
      <c r="O128" s="79">
        <v>0.61650485436893199</v>
      </c>
      <c r="P128" s="79">
        <v>0.63222222222222224</v>
      </c>
      <c r="Q128" s="79">
        <v>0.83584337349397586</v>
      </c>
    </row>
    <row r="129" spans="1:17" x14ac:dyDescent="0.2">
      <c r="A129" s="17" t="s">
        <v>270</v>
      </c>
      <c r="B129" s="9" t="s">
        <v>279</v>
      </c>
      <c r="C129" s="20" t="s">
        <v>190</v>
      </c>
      <c r="D129" s="20" t="s">
        <v>190</v>
      </c>
      <c r="E129" s="20" t="s">
        <v>190</v>
      </c>
      <c r="F129" s="20" t="s">
        <v>190</v>
      </c>
      <c r="G129" s="20" t="s">
        <v>190</v>
      </c>
      <c r="H129" s="79">
        <v>0.73326191751472947</v>
      </c>
      <c r="I129" s="79">
        <v>0.71722643553629473</v>
      </c>
      <c r="J129" s="79">
        <v>0.7236559139784946</v>
      </c>
      <c r="K129" s="79">
        <v>0.71451612903225803</v>
      </c>
      <c r="L129" s="79">
        <v>0.71801705756929635</v>
      </c>
      <c r="M129" s="79">
        <v>0.71388420460933111</v>
      </c>
      <c r="N129" s="79">
        <v>0.7411953041622199</v>
      </c>
      <c r="O129" s="79">
        <v>0.75143005720228806</v>
      </c>
      <c r="P129" s="79">
        <v>0.7724032586558045</v>
      </c>
      <c r="Q129" s="79">
        <v>0.7559253656076651</v>
      </c>
    </row>
    <row r="130" spans="1:17" ht="28.5" customHeight="1" x14ac:dyDescent="0.2">
      <c r="A130" s="17" t="s">
        <v>263</v>
      </c>
      <c r="B130" s="9" t="s">
        <v>280</v>
      </c>
      <c r="C130" s="20" t="s">
        <v>190</v>
      </c>
      <c r="D130" s="20" t="s">
        <v>190</v>
      </c>
      <c r="E130" s="20" t="s">
        <v>190</v>
      </c>
      <c r="F130" s="20" t="s">
        <v>190</v>
      </c>
      <c r="G130" s="20" t="s">
        <v>190</v>
      </c>
      <c r="H130" s="79">
        <v>0.32394776230392669</v>
      </c>
      <c r="I130" s="79">
        <v>0.32018082711898843</v>
      </c>
      <c r="J130" s="79">
        <v>0.32158076540518554</v>
      </c>
      <c r="K130" s="79">
        <v>0.3203459116528044</v>
      </c>
      <c r="L130" s="79">
        <v>0.32330485481000998</v>
      </c>
      <c r="M130" s="79">
        <v>0.32520263303989216</v>
      </c>
      <c r="N130" s="79">
        <v>0.32757432237120049</v>
      </c>
      <c r="O130" s="79">
        <v>0.33285802831918659</v>
      </c>
      <c r="P130" s="79">
        <v>0.32699535426134024</v>
      </c>
      <c r="Q130" s="79">
        <v>0.32191401097325506</v>
      </c>
    </row>
    <row r="131" spans="1:17" x14ac:dyDescent="0.2">
      <c r="A131" s="17" t="s">
        <v>263</v>
      </c>
      <c r="B131" s="9" t="s">
        <v>264</v>
      </c>
      <c r="C131" s="20" t="s">
        <v>190</v>
      </c>
      <c r="D131" s="20" t="s">
        <v>190</v>
      </c>
      <c r="E131" s="20" t="s">
        <v>190</v>
      </c>
      <c r="F131" s="20" t="s">
        <v>190</v>
      </c>
      <c r="G131" s="20" t="s">
        <v>190</v>
      </c>
      <c r="H131" s="79">
        <v>0.34712248351869968</v>
      </c>
      <c r="I131" s="79">
        <v>0.33991338044221564</v>
      </c>
      <c r="J131" s="79">
        <v>0.34415813051509425</v>
      </c>
      <c r="K131" s="79">
        <v>0.34196105895686763</v>
      </c>
      <c r="L131" s="79">
        <v>0.3469631382249348</v>
      </c>
      <c r="M131" s="79">
        <v>0.34411990076143628</v>
      </c>
      <c r="N131" s="79">
        <v>0.35121207862459319</v>
      </c>
      <c r="O131" s="79">
        <v>0.35838456794085716</v>
      </c>
      <c r="P131" s="79">
        <v>0.35912075443363251</v>
      </c>
      <c r="Q131" s="79">
        <v>0.35359325314530621</v>
      </c>
    </row>
    <row r="132" spans="1:17" x14ac:dyDescent="0.2">
      <c r="A132" s="17" t="s">
        <v>263</v>
      </c>
      <c r="B132" s="9" t="s">
        <v>265</v>
      </c>
      <c r="C132" s="20" t="s">
        <v>190</v>
      </c>
      <c r="D132" s="20" t="s">
        <v>190</v>
      </c>
      <c r="E132" s="20" t="s">
        <v>190</v>
      </c>
      <c r="F132" s="20" t="s">
        <v>190</v>
      </c>
      <c r="G132" s="20" t="s">
        <v>190</v>
      </c>
      <c r="H132" s="79">
        <v>0.39598986513621459</v>
      </c>
      <c r="I132" s="79">
        <v>0.386359513010265</v>
      </c>
      <c r="J132" s="79">
        <v>0.38146803435675092</v>
      </c>
      <c r="K132" s="79">
        <v>0.37504926176095904</v>
      </c>
      <c r="L132" s="79">
        <v>0.37161674465458583</v>
      </c>
      <c r="M132" s="79">
        <v>0.37037594119997663</v>
      </c>
      <c r="N132" s="79">
        <v>0.38178056643736763</v>
      </c>
      <c r="O132" s="79">
        <v>0.38610281884579534</v>
      </c>
      <c r="P132" s="79">
        <v>0.38294647749396693</v>
      </c>
      <c r="Q132" s="79">
        <v>0.37678424807137678</v>
      </c>
    </row>
    <row r="133" spans="1:17" x14ac:dyDescent="0.2">
      <c r="A133" s="17" t="s">
        <v>263</v>
      </c>
      <c r="B133" s="9" t="s">
        <v>266</v>
      </c>
      <c r="C133" s="20" t="s">
        <v>190</v>
      </c>
      <c r="D133" s="20" t="s">
        <v>190</v>
      </c>
      <c r="E133" s="20" t="s">
        <v>190</v>
      </c>
      <c r="F133" s="20" t="s">
        <v>190</v>
      </c>
      <c r="G133" s="20" t="s">
        <v>190</v>
      </c>
      <c r="H133" s="79">
        <v>0.37338733065418239</v>
      </c>
      <c r="I133" s="79">
        <v>0.36406629406029928</v>
      </c>
      <c r="J133" s="79">
        <v>0.37076474135201576</v>
      </c>
      <c r="K133" s="79">
        <v>0.37315229630339475</v>
      </c>
      <c r="L133" s="79">
        <v>0.37032475111031044</v>
      </c>
      <c r="M133" s="79">
        <v>0.36664913712100411</v>
      </c>
      <c r="N133" s="79">
        <v>0.35843549662313418</v>
      </c>
      <c r="O133" s="79">
        <v>0.35891593440966979</v>
      </c>
      <c r="P133" s="79">
        <v>0.3667192551906821</v>
      </c>
      <c r="Q133" s="79">
        <v>0.3578713707468501</v>
      </c>
    </row>
    <row r="134" spans="1:17" x14ac:dyDescent="0.2">
      <c r="A134" s="17" t="s">
        <v>263</v>
      </c>
      <c r="B134" s="9" t="s">
        <v>281</v>
      </c>
      <c r="C134" s="20" t="s">
        <v>190</v>
      </c>
      <c r="D134" s="20" t="s">
        <v>190</v>
      </c>
      <c r="E134" s="20" t="s">
        <v>190</v>
      </c>
      <c r="F134" s="20" t="s">
        <v>190</v>
      </c>
      <c r="G134" s="20" t="s">
        <v>190</v>
      </c>
      <c r="H134" s="79">
        <v>0.38604710013127302</v>
      </c>
      <c r="I134" s="79">
        <v>0.3895612949328161</v>
      </c>
      <c r="J134" s="79">
        <v>0.39183575651062469</v>
      </c>
      <c r="K134" s="79">
        <v>0.39287645483571942</v>
      </c>
      <c r="L134" s="79">
        <v>0.40358695936918765</v>
      </c>
      <c r="M134" s="79">
        <v>0.4034207562874349</v>
      </c>
      <c r="N134" s="79">
        <v>0.40811683818640243</v>
      </c>
      <c r="O134" s="79">
        <v>0.40455396026705198</v>
      </c>
      <c r="P134" s="79">
        <v>0.4033522911488166</v>
      </c>
      <c r="Q134" s="79">
        <v>0.40336825300444484</v>
      </c>
    </row>
  </sheetData>
  <phoneticPr fontId="44" type="noConversion"/>
  <hyperlinks>
    <hyperlink ref="A11" location="Contents!A1" display="This cell contains a hyperlink to the Table of Contents" xr:uid="{00000000-0004-0000-0500-000000000000}"/>
    <hyperlink ref="A8" r:id="rId1" xr:uid="{0ACFCB91-19A1-4B3F-84D1-36530F72720A}"/>
    <hyperlink ref="A9" r:id="rId2" xr:uid="{CCBE801F-6E35-4732-A4A7-00F9AED032F6}"/>
  </hyperlinks>
  <pageMargins left="0.7" right="0.7" top="0.75" bottom="0.75" header="0.3" footer="0.3"/>
  <pageSetup paperSize="9" scale="30" orientation="portrait"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134"/>
  <sheetViews>
    <sheetView showGridLines="0" zoomScaleNormal="100" workbookViewId="0"/>
  </sheetViews>
  <sheetFormatPr defaultColWidth="9.140625" defaultRowHeight="15" x14ac:dyDescent="0.2"/>
  <cols>
    <col min="1" max="1" width="61.42578125" style="13" customWidth="1"/>
    <col min="2" max="2" width="54.42578125" style="9" customWidth="1"/>
    <col min="3" max="12" width="11.42578125" style="14" bestFit="1" customWidth="1"/>
    <col min="13" max="17" width="11.42578125" style="13" customWidth="1"/>
    <col min="18" max="16384" width="9.140625" style="13"/>
  </cols>
  <sheetData>
    <row r="1" spans="1:17" ht="20.25" x14ac:dyDescent="0.3">
      <c r="A1" s="22" t="s">
        <v>294</v>
      </c>
      <c r="B1" s="13"/>
      <c r="I1" s="14" t="s">
        <v>0</v>
      </c>
    </row>
    <row r="2" spans="1:17" x14ac:dyDescent="0.2">
      <c r="A2" s="9" t="s">
        <v>152</v>
      </c>
      <c r="B2" s="13"/>
    </row>
    <row r="3" spans="1:17" x14ac:dyDescent="0.2">
      <c r="A3" s="9" t="s">
        <v>233</v>
      </c>
      <c r="B3" s="13"/>
    </row>
    <row r="4" spans="1:17" x14ac:dyDescent="0.2">
      <c r="A4" s="9" t="s">
        <v>297</v>
      </c>
      <c r="B4" s="13"/>
    </row>
    <row r="5" spans="1:17" x14ac:dyDescent="0.2">
      <c r="A5" s="9" t="s">
        <v>302</v>
      </c>
      <c r="B5" s="13"/>
    </row>
    <row r="6" spans="1:17" x14ac:dyDescent="0.2">
      <c r="A6" s="9" t="s">
        <v>191</v>
      </c>
      <c r="B6" s="13"/>
    </row>
    <row r="7" spans="1:17" ht="15" customHeight="1" x14ac:dyDescent="0.2">
      <c r="A7" s="9" t="s">
        <v>339</v>
      </c>
      <c r="B7" s="13"/>
    </row>
    <row r="8" spans="1:17" x14ac:dyDescent="0.2">
      <c r="A8" s="3" t="s">
        <v>340</v>
      </c>
      <c r="B8" s="13"/>
    </row>
    <row r="9" spans="1:17" x14ac:dyDescent="0.2">
      <c r="A9" s="3" t="s">
        <v>341</v>
      </c>
      <c r="B9" s="13"/>
    </row>
    <row r="10" spans="1:17" s="27" customFormat="1" x14ac:dyDescent="0.25">
      <c r="A10" s="26" t="s">
        <v>338</v>
      </c>
      <c r="C10" s="28"/>
      <c r="D10" s="28"/>
      <c r="E10" s="28"/>
      <c r="F10" s="28"/>
      <c r="G10" s="28"/>
      <c r="H10" s="28"/>
      <c r="I10" s="28"/>
      <c r="J10" s="28"/>
      <c r="K10" s="28"/>
      <c r="L10" s="28"/>
    </row>
    <row r="11" spans="1:17" s="27" customFormat="1" ht="30" customHeight="1" x14ac:dyDescent="0.25">
      <c r="A11" s="35" t="s">
        <v>232</v>
      </c>
      <c r="C11" s="28"/>
      <c r="D11" s="28"/>
      <c r="E11" s="28"/>
      <c r="F11" s="28"/>
      <c r="G11" s="28"/>
      <c r="H11" s="28"/>
      <c r="I11" s="28"/>
      <c r="J11" s="28"/>
      <c r="K11" s="28"/>
      <c r="L11" s="28"/>
    </row>
    <row r="12" spans="1:17" ht="15.75" customHeight="1" x14ac:dyDescent="0.2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80" t="s">
        <v>257</v>
      </c>
      <c r="P12" s="80" t="s">
        <v>316</v>
      </c>
      <c r="Q12" s="80" t="s">
        <v>337</v>
      </c>
    </row>
    <row r="13" spans="1:17" x14ac:dyDescent="0.2">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18" t="s">
        <v>190</v>
      </c>
      <c r="P13" s="18" t="s">
        <v>190</v>
      </c>
      <c r="Q13" s="18" t="s">
        <v>190</v>
      </c>
    </row>
    <row r="14" spans="1:17" x14ac:dyDescent="0.2">
      <c r="A14" s="16" t="s">
        <v>178</v>
      </c>
      <c r="B14" s="17" t="s">
        <v>1</v>
      </c>
      <c r="C14" s="18">
        <v>1980</v>
      </c>
      <c r="D14" s="18">
        <v>2005</v>
      </c>
      <c r="E14" s="18">
        <v>2130</v>
      </c>
      <c r="F14" s="18">
        <v>2165</v>
      </c>
      <c r="G14" s="18">
        <v>2230</v>
      </c>
      <c r="H14" s="18">
        <v>2310</v>
      </c>
      <c r="I14" s="18">
        <v>2305</v>
      </c>
      <c r="J14" s="18">
        <v>2350</v>
      </c>
      <c r="K14" s="18">
        <v>2610</v>
      </c>
      <c r="L14" s="18">
        <v>2870</v>
      </c>
      <c r="M14" s="18">
        <v>3010</v>
      </c>
      <c r="N14" s="18">
        <v>3090</v>
      </c>
      <c r="O14" s="18">
        <v>3155</v>
      </c>
      <c r="P14" s="18">
        <v>3315</v>
      </c>
      <c r="Q14" s="18">
        <v>3530</v>
      </c>
    </row>
    <row r="15" spans="1:17" ht="35.450000000000003" customHeight="1" x14ac:dyDescent="0.2">
      <c r="A15" s="17" t="s">
        <v>179</v>
      </c>
      <c r="B15" s="17" t="s">
        <v>35</v>
      </c>
      <c r="C15" s="18">
        <v>555</v>
      </c>
      <c r="D15" s="18">
        <v>605</v>
      </c>
      <c r="E15" s="18">
        <v>665</v>
      </c>
      <c r="F15" s="18">
        <v>700</v>
      </c>
      <c r="G15" s="18">
        <v>735</v>
      </c>
      <c r="H15" s="18">
        <v>755</v>
      </c>
      <c r="I15" s="18">
        <v>750</v>
      </c>
      <c r="J15" s="18">
        <v>745</v>
      </c>
      <c r="K15" s="18">
        <v>795</v>
      </c>
      <c r="L15" s="18">
        <v>885</v>
      </c>
      <c r="M15" s="18">
        <v>915</v>
      </c>
      <c r="N15" s="18">
        <v>905</v>
      </c>
      <c r="O15" s="18">
        <v>915</v>
      </c>
      <c r="P15" s="18">
        <v>905</v>
      </c>
      <c r="Q15" s="18">
        <v>940</v>
      </c>
    </row>
    <row r="16" spans="1:17" x14ac:dyDescent="0.2">
      <c r="A16" s="16" t="s">
        <v>179</v>
      </c>
      <c r="B16" s="17" t="s">
        <v>36</v>
      </c>
      <c r="C16" s="18">
        <v>955</v>
      </c>
      <c r="D16" s="18">
        <v>970</v>
      </c>
      <c r="E16" s="18">
        <v>1015</v>
      </c>
      <c r="F16" s="18">
        <v>1030</v>
      </c>
      <c r="G16" s="18">
        <v>1045</v>
      </c>
      <c r="H16" s="18">
        <v>1065</v>
      </c>
      <c r="I16" s="18">
        <v>1055</v>
      </c>
      <c r="J16" s="18">
        <v>1075</v>
      </c>
      <c r="K16" s="18">
        <v>1150</v>
      </c>
      <c r="L16" s="18">
        <v>1205</v>
      </c>
      <c r="M16" s="18">
        <v>1205</v>
      </c>
      <c r="N16" s="18">
        <v>1225</v>
      </c>
      <c r="O16" s="18">
        <v>1265</v>
      </c>
      <c r="P16" s="18">
        <v>1355</v>
      </c>
      <c r="Q16" s="18">
        <v>1410</v>
      </c>
    </row>
    <row r="17" spans="1:17" x14ac:dyDescent="0.2">
      <c r="A17" s="16" t="s">
        <v>179</v>
      </c>
      <c r="B17" s="17" t="s">
        <v>37</v>
      </c>
      <c r="C17" s="18">
        <v>770</v>
      </c>
      <c r="D17" s="18">
        <v>765</v>
      </c>
      <c r="E17" s="18">
        <v>820</v>
      </c>
      <c r="F17" s="18">
        <v>795</v>
      </c>
      <c r="G17" s="18">
        <v>835</v>
      </c>
      <c r="H17" s="18">
        <v>845</v>
      </c>
      <c r="I17" s="18">
        <v>850</v>
      </c>
      <c r="J17" s="18">
        <v>875</v>
      </c>
      <c r="K17" s="18">
        <v>1005</v>
      </c>
      <c r="L17" s="18">
        <v>1095</v>
      </c>
      <c r="M17" s="18">
        <v>1145</v>
      </c>
      <c r="N17" s="18">
        <v>1160</v>
      </c>
      <c r="O17" s="18">
        <v>1190</v>
      </c>
      <c r="P17" s="18">
        <v>1275</v>
      </c>
      <c r="Q17" s="18">
        <v>1375</v>
      </c>
    </row>
    <row r="18" spans="1:17" x14ac:dyDescent="0.2">
      <c r="A18" s="16" t="s">
        <v>179</v>
      </c>
      <c r="B18" s="17" t="s">
        <v>236</v>
      </c>
      <c r="C18" s="18">
        <v>215</v>
      </c>
      <c r="D18" s="18">
        <v>220</v>
      </c>
      <c r="E18" s="18">
        <v>235</v>
      </c>
      <c r="F18" s="18">
        <v>235</v>
      </c>
      <c r="G18" s="18">
        <v>240</v>
      </c>
      <c r="H18" s="18">
        <v>240</v>
      </c>
      <c r="I18" s="18">
        <v>245</v>
      </c>
      <c r="J18" s="18">
        <v>245</v>
      </c>
      <c r="K18" s="18">
        <v>270</v>
      </c>
      <c r="L18" s="18">
        <v>290</v>
      </c>
      <c r="M18" s="18">
        <v>285</v>
      </c>
      <c r="N18" s="18">
        <v>290</v>
      </c>
      <c r="O18" s="18">
        <v>285</v>
      </c>
      <c r="P18" s="18">
        <v>305</v>
      </c>
      <c r="Q18" s="18">
        <v>315</v>
      </c>
    </row>
    <row r="19" spans="1:17" x14ac:dyDescent="0.2">
      <c r="A19" s="16" t="s">
        <v>179</v>
      </c>
      <c r="B19" s="17" t="s">
        <v>38</v>
      </c>
      <c r="C19" s="18">
        <v>315</v>
      </c>
      <c r="D19" s="18">
        <v>315</v>
      </c>
      <c r="E19" s="18">
        <v>345</v>
      </c>
      <c r="F19" s="18">
        <v>350</v>
      </c>
      <c r="G19" s="18">
        <v>350</v>
      </c>
      <c r="H19" s="18">
        <v>355</v>
      </c>
      <c r="I19" s="18">
        <v>365</v>
      </c>
      <c r="J19" s="18">
        <v>370</v>
      </c>
      <c r="K19" s="18">
        <v>435</v>
      </c>
      <c r="L19" s="18">
        <v>460</v>
      </c>
      <c r="M19" s="18">
        <v>470</v>
      </c>
      <c r="N19" s="18">
        <v>495</v>
      </c>
      <c r="O19" s="18">
        <v>500</v>
      </c>
      <c r="P19" s="18">
        <v>510</v>
      </c>
      <c r="Q19" s="18">
        <v>530</v>
      </c>
    </row>
    <row r="20" spans="1:17" x14ac:dyDescent="0.2">
      <c r="A20" s="16" t="s">
        <v>179</v>
      </c>
      <c r="B20" s="17" t="s">
        <v>121</v>
      </c>
      <c r="C20" s="18">
        <v>240</v>
      </c>
      <c r="D20" s="18">
        <v>240</v>
      </c>
      <c r="E20" s="18">
        <v>265</v>
      </c>
      <c r="F20" s="18">
        <v>275</v>
      </c>
      <c r="G20" s="18">
        <v>280</v>
      </c>
      <c r="H20" s="18">
        <v>290</v>
      </c>
      <c r="I20" s="18">
        <v>285</v>
      </c>
      <c r="J20" s="18">
        <v>300</v>
      </c>
      <c r="K20" s="18">
        <v>345</v>
      </c>
      <c r="L20" s="18">
        <v>360</v>
      </c>
      <c r="M20" s="18">
        <v>375</v>
      </c>
      <c r="N20" s="18">
        <v>380</v>
      </c>
      <c r="O20" s="18">
        <v>390</v>
      </c>
      <c r="P20" s="18">
        <v>390</v>
      </c>
      <c r="Q20" s="18">
        <v>420</v>
      </c>
    </row>
    <row r="21" spans="1:17" x14ac:dyDescent="0.2">
      <c r="A21" s="16" t="s">
        <v>179</v>
      </c>
      <c r="B21" s="17" t="s">
        <v>39</v>
      </c>
      <c r="C21" s="18">
        <v>170</v>
      </c>
      <c r="D21" s="18">
        <v>180</v>
      </c>
      <c r="E21" s="18">
        <v>200</v>
      </c>
      <c r="F21" s="18">
        <v>195</v>
      </c>
      <c r="G21" s="18">
        <v>200</v>
      </c>
      <c r="H21" s="18">
        <v>200</v>
      </c>
      <c r="I21" s="18">
        <v>200</v>
      </c>
      <c r="J21" s="18">
        <v>210</v>
      </c>
      <c r="K21" s="18">
        <v>220</v>
      </c>
      <c r="L21" s="18">
        <v>225</v>
      </c>
      <c r="M21" s="18">
        <v>215</v>
      </c>
      <c r="N21" s="18">
        <v>225</v>
      </c>
      <c r="O21" s="18">
        <v>235</v>
      </c>
      <c r="P21" s="18">
        <v>235</v>
      </c>
      <c r="Q21" s="18">
        <v>250</v>
      </c>
    </row>
    <row r="22" spans="1:17" x14ac:dyDescent="0.2">
      <c r="A22" s="16" t="s">
        <v>179</v>
      </c>
      <c r="B22" s="17" t="s">
        <v>40</v>
      </c>
      <c r="C22" s="18">
        <v>130</v>
      </c>
      <c r="D22" s="18">
        <v>125</v>
      </c>
      <c r="E22" s="18">
        <v>130</v>
      </c>
      <c r="F22" s="18">
        <v>135</v>
      </c>
      <c r="G22" s="18">
        <v>140</v>
      </c>
      <c r="H22" s="18">
        <v>145</v>
      </c>
      <c r="I22" s="18">
        <v>145</v>
      </c>
      <c r="J22" s="18">
        <v>145</v>
      </c>
      <c r="K22" s="18">
        <v>160</v>
      </c>
      <c r="L22" s="18">
        <v>180</v>
      </c>
      <c r="M22" s="18">
        <v>185</v>
      </c>
      <c r="N22" s="18">
        <v>190</v>
      </c>
      <c r="O22" s="18">
        <v>195</v>
      </c>
      <c r="P22" s="18">
        <v>210</v>
      </c>
      <c r="Q22" s="18">
        <v>215</v>
      </c>
    </row>
    <row r="23" spans="1:17" ht="36.6" customHeight="1" x14ac:dyDescent="0.2">
      <c r="A23" s="17" t="s">
        <v>180</v>
      </c>
      <c r="B23" s="17" t="s">
        <v>41</v>
      </c>
      <c r="C23" s="18">
        <v>75</v>
      </c>
      <c r="D23" s="18">
        <v>75</v>
      </c>
      <c r="E23" s="18">
        <v>75</v>
      </c>
      <c r="F23" s="18">
        <v>80</v>
      </c>
      <c r="G23" s="18">
        <v>80</v>
      </c>
      <c r="H23" s="18">
        <v>85</v>
      </c>
      <c r="I23" s="18">
        <v>80</v>
      </c>
      <c r="J23" s="18">
        <v>75</v>
      </c>
      <c r="K23" s="18">
        <v>90</v>
      </c>
      <c r="L23" s="18">
        <v>100</v>
      </c>
      <c r="M23" s="18">
        <v>110</v>
      </c>
      <c r="N23" s="18">
        <v>115</v>
      </c>
      <c r="O23" s="18">
        <v>120</v>
      </c>
      <c r="P23" s="18">
        <v>120</v>
      </c>
      <c r="Q23" s="18">
        <v>120</v>
      </c>
    </row>
    <row r="24" spans="1:17" x14ac:dyDescent="0.2">
      <c r="A24" s="16" t="s">
        <v>180</v>
      </c>
      <c r="B24" s="17" t="s">
        <v>42</v>
      </c>
      <c r="C24" s="18">
        <v>485</v>
      </c>
      <c r="D24" s="18">
        <v>490</v>
      </c>
      <c r="E24" s="18">
        <v>560</v>
      </c>
      <c r="F24" s="18">
        <v>580</v>
      </c>
      <c r="G24" s="18">
        <v>590</v>
      </c>
      <c r="H24" s="18">
        <v>615</v>
      </c>
      <c r="I24" s="18">
        <v>630</v>
      </c>
      <c r="J24" s="18">
        <v>645</v>
      </c>
      <c r="K24" s="18">
        <v>735</v>
      </c>
      <c r="L24" s="18">
        <v>790</v>
      </c>
      <c r="M24" s="18">
        <v>815</v>
      </c>
      <c r="N24" s="18">
        <v>845</v>
      </c>
      <c r="O24" s="18">
        <v>870</v>
      </c>
      <c r="P24" s="18">
        <v>895</v>
      </c>
      <c r="Q24" s="18">
        <v>965</v>
      </c>
    </row>
    <row r="25" spans="1:17" x14ac:dyDescent="0.2">
      <c r="A25" s="16" t="s">
        <v>180</v>
      </c>
      <c r="B25" s="17" t="s">
        <v>43</v>
      </c>
      <c r="C25" s="18">
        <v>860</v>
      </c>
      <c r="D25" s="18">
        <v>865</v>
      </c>
      <c r="E25" s="18">
        <v>915</v>
      </c>
      <c r="F25" s="18">
        <v>930</v>
      </c>
      <c r="G25" s="18">
        <v>950</v>
      </c>
      <c r="H25" s="18">
        <v>975</v>
      </c>
      <c r="I25" s="18">
        <v>955</v>
      </c>
      <c r="J25" s="18">
        <v>965</v>
      </c>
      <c r="K25" s="18">
        <v>1060</v>
      </c>
      <c r="L25" s="18">
        <v>1125</v>
      </c>
      <c r="M25" s="18">
        <v>1130</v>
      </c>
      <c r="N25" s="18">
        <v>1150</v>
      </c>
      <c r="O25" s="18">
        <v>1175</v>
      </c>
      <c r="P25" s="18">
        <v>1260</v>
      </c>
      <c r="Q25" s="18">
        <v>1310</v>
      </c>
    </row>
    <row r="26" spans="1:17" x14ac:dyDescent="0.2">
      <c r="A26" s="16" t="s">
        <v>180</v>
      </c>
      <c r="B26" s="17" t="s">
        <v>44</v>
      </c>
      <c r="C26" s="18">
        <v>1160</v>
      </c>
      <c r="D26" s="18">
        <v>1210</v>
      </c>
      <c r="E26" s="18">
        <v>1270</v>
      </c>
      <c r="F26" s="18">
        <v>1280</v>
      </c>
      <c r="G26" s="18">
        <v>1325</v>
      </c>
      <c r="H26" s="18">
        <v>1365</v>
      </c>
      <c r="I26" s="18">
        <v>1360</v>
      </c>
      <c r="J26" s="18">
        <v>1405</v>
      </c>
      <c r="K26" s="18">
        <v>1530</v>
      </c>
      <c r="L26" s="18">
        <v>1695</v>
      </c>
      <c r="M26" s="18">
        <v>1780</v>
      </c>
      <c r="N26" s="18">
        <v>1785</v>
      </c>
      <c r="O26" s="18">
        <v>1825</v>
      </c>
      <c r="P26" s="18">
        <v>1910</v>
      </c>
      <c r="Q26" s="18">
        <v>2010</v>
      </c>
    </row>
    <row r="27" spans="1:17" ht="28.5" customHeight="1" x14ac:dyDescent="0.2">
      <c r="A27" s="17" t="s">
        <v>181</v>
      </c>
      <c r="B27" s="17" t="s">
        <v>45</v>
      </c>
      <c r="C27" s="18">
        <v>240</v>
      </c>
      <c r="D27" s="18">
        <v>240</v>
      </c>
      <c r="E27" s="18">
        <v>265</v>
      </c>
      <c r="F27" s="18">
        <v>275</v>
      </c>
      <c r="G27" s="18">
        <v>280</v>
      </c>
      <c r="H27" s="18">
        <v>290</v>
      </c>
      <c r="I27" s="18">
        <v>285</v>
      </c>
      <c r="J27" s="18">
        <v>300</v>
      </c>
      <c r="K27" s="18">
        <v>345</v>
      </c>
      <c r="L27" s="18">
        <v>360</v>
      </c>
      <c r="M27" s="18">
        <v>375</v>
      </c>
      <c r="N27" s="18">
        <v>380</v>
      </c>
      <c r="O27" s="18">
        <v>390</v>
      </c>
      <c r="P27" s="18">
        <v>390</v>
      </c>
      <c r="Q27" s="18">
        <v>420</v>
      </c>
    </row>
    <row r="28" spans="1:17" x14ac:dyDescent="0.2">
      <c r="A28" s="16" t="s">
        <v>181</v>
      </c>
      <c r="B28" s="17" t="s">
        <v>120</v>
      </c>
      <c r="C28" s="18">
        <v>130</v>
      </c>
      <c r="D28" s="18">
        <v>125</v>
      </c>
      <c r="E28" s="18">
        <v>130</v>
      </c>
      <c r="F28" s="18">
        <v>135</v>
      </c>
      <c r="G28" s="18">
        <v>140</v>
      </c>
      <c r="H28" s="18">
        <v>145</v>
      </c>
      <c r="I28" s="18">
        <v>145</v>
      </c>
      <c r="J28" s="18">
        <v>145</v>
      </c>
      <c r="K28" s="18">
        <v>160</v>
      </c>
      <c r="L28" s="18">
        <v>180</v>
      </c>
      <c r="M28" s="18">
        <v>185</v>
      </c>
      <c r="N28" s="18">
        <v>190</v>
      </c>
      <c r="O28" s="18">
        <v>195</v>
      </c>
      <c r="P28" s="18">
        <v>210</v>
      </c>
      <c r="Q28" s="18">
        <v>215</v>
      </c>
    </row>
    <row r="29" spans="1:17" x14ac:dyDescent="0.2">
      <c r="A29" s="16" t="s">
        <v>181</v>
      </c>
      <c r="B29" s="17" t="s">
        <v>46</v>
      </c>
      <c r="C29" s="18">
        <v>1875</v>
      </c>
      <c r="D29" s="18">
        <v>1910</v>
      </c>
      <c r="E29" s="18">
        <v>2025</v>
      </c>
      <c r="F29" s="18">
        <v>2050</v>
      </c>
      <c r="G29" s="18">
        <v>2125</v>
      </c>
      <c r="H29" s="18">
        <v>2195</v>
      </c>
      <c r="I29" s="18">
        <v>2190</v>
      </c>
      <c r="J29" s="18">
        <v>2225</v>
      </c>
      <c r="K29" s="18">
        <v>2455</v>
      </c>
      <c r="L29" s="18">
        <v>2690</v>
      </c>
      <c r="M29" s="18">
        <v>2805</v>
      </c>
      <c r="N29" s="18">
        <v>2875</v>
      </c>
      <c r="O29" s="18">
        <v>2935</v>
      </c>
      <c r="P29" s="18">
        <v>3095</v>
      </c>
      <c r="Q29" s="18">
        <v>3285</v>
      </c>
    </row>
    <row r="30" spans="1:17" ht="30" customHeight="1" x14ac:dyDescent="0.2">
      <c r="A30" s="17" t="s">
        <v>47</v>
      </c>
      <c r="B30" s="17" t="s">
        <v>22</v>
      </c>
      <c r="C30" s="18">
        <v>480</v>
      </c>
      <c r="D30" s="18">
        <v>520</v>
      </c>
      <c r="E30" s="18">
        <v>560</v>
      </c>
      <c r="F30" s="18">
        <v>585</v>
      </c>
      <c r="G30" s="18">
        <v>605</v>
      </c>
      <c r="H30" s="18">
        <v>625</v>
      </c>
      <c r="I30" s="18">
        <v>620</v>
      </c>
      <c r="J30" s="18">
        <v>615</v>
      </c>
      <c r="K30" s="18">
        <v>650</v>
      </c>
      <c r="L30" s="18">
        <v>725</v>
      </c>
      <c r="M30" s="18">
        <v>740</v>
      </c>
      <c r="N30" s="18">
        <v>725</v>
      </c>
      <c r="O30" s="18">
        <v>730</v>
      </c>
      <c r="P30" s="18">
        <v>710</v>
      </c>
      <c r="Q30" s="18">
        <v>715</v>
      </c>
    </row>
    <row r="31" spans="1:17" x14ac:dyDescent="0.2">
      <c r="A31" s="16" t="s">
        <v>47</v>
      </c>
      <c r="B31" s="17" t="s">
        <v>23</v>
      </c>
      <c r="C31" s="18">
        <v>130</v>
      </c>
      <c r="D31" s="18">
        <v>140</v>
      </c>
      <c r="E31" s="18">
        <v>165</v>
      </c>
      <c r="F31" s="18">
        <v>175</v>
      </c>
      <c r="G31" s="18">
        <v>195</v>
      </c>
      <c r="H31" s="18">
        <v>195</v>
      </c>
      <c r="I31" s="18">
        <v>200</v>
      </c>
      <c r="J31" s="18">
        <v>200</v>
      </c>
      <c r="K31" s="18">
        <v>225</v>
      </c>
      <c r="L31" s="18">
        <v>240</v>
      </c>
      <c r="M31" s="18">
        <v>245</v>
      </c>
      <c r="N31" s="18">
        <v>250</v>
      </c>
      <c r="O31" s="18">
        <v>255</v>
      </c>
      <c r="P31" s="18">
        <v>270</v>
      </c>
      <c r="Q31" s="18">
        <v>300</v>
      </c>
    </row>
    <row r="32" spans="1:17" x14ac:dyDescent="0.2">
      <c r="A32" s="16" t="s">
        <v>47</v>
      </c>
      <c r="B32" s="17" t="s">
        <v>29</v>
      </c>
      <c r="C32" s="18">
        <v>55</v>
      </c>
      <c r="D32" s="18">
        <v>60</v>
      </c>
      <c r="E32" s="18">
        <v>70</v>
      </c>
      <c r="F32" s="18">
        <v>70</v>
      </c>
      <c r="G32" s="18">
        <v>75</v>
      </c>
      <c r="H32" s="18">
        <v>70</v>
      </c>
      <c r="I32" s="18">
        <v>70</v>
      </c>
      <c r="J32" s="18">
        <v>70</v>
      </c>
      <c r="K32" s="18">
        <v>75</v>
      </c>
      <c r="L32" s="18">
        <v>80</v>
      </c>
      <c r="M32" s="18">
        <v>85</v>
      </c>
      <c r="N32" s="18">
        <v>85</v>
      </c>
      <c r="O32" s="18">
        <v>90</v>
      </c>
      <c r="P32" s="18">
        <v>90</v>
      </c>
      <c r="Q32" s="18">
        <v>90</v>
      </c>
    </row>
    <row r="33" spans="1:17" x14ac:dyDescent="0.2">
      <c r="A33" s="16" t="s">
        <v>47</v>
      </c>
      <c r="B33" s="17" t="s">
        <v>24</v>
      </c>
      <c r="C33" s="18">
        <v>55</v>
      </c>
      <c r="D33" s="18">
        <v>50</v>
      </c>
      <c r="E33" s="18">
        <v>50</v>
      </c>
      <c r="F33" s="18">
        <v>55</v>
      </c>
      <c r="G33" s="18">
        <v>55</v>
      </c>
      <c r="H33" s="18">
        <v>55</v>
      </c>
      <c r="I33" s="18">
        <v>50</v>
      </c>
      <c r="J33" s="18">
        <v>50</v>
      </c>
      <c r="K33" s="18">
        <v>60</v>
      </c>
      <c r="L33" s="18">
        <v>65</v>
      </c>
      <c r="M33" s="18">
        <v>70</v>
      </c>
      <c r="N33" s="18">
        <v>75</v>
      </c>
      <c r="O33" s="18">
        <v>75</v>
      </c>
      <c r="P33" s="18">
        <v>75</v>
      </c>
      <c r="Q33" s="18">
        <v>80</v>
      </c>
    </row>
    <row r="34" spans="1:17" x14ac:dyDescent="0.2">
      <c r="A34" s="16" t="s">
        <v>47</v>
      </c>
      <c r="B34" s="17" t="s">
        <v>25</v>
      </c>
      <c r="C34" s="18">
        <v>510</v>
      </c>
      <c r="D34" s="18">
        <v>515</v>
      </c>
      <c r="E34" s="18">
        <v>550</v>
      </c>
      <c r="F34" s="18">
        <v>530</v>
      </c>
      <c r="G34" s="18">
        <v>560</v>
      </c>
      <c r="H34" s="18">
        <v>575</v>
      </c>
      <c r="I34" s="18">
        <v>580</v>
      </c>
      <c r="J34" s="18">
        <v>610</v>
      </c>
      <c r="K34" s="18">
        <v>705</v>
      </c>
      <c r="L34" s="18">
        <v>765</v>
      </c>
      <c r="M34" s="18">
        <v>810</v>
      </c>
      <c r="N34" s="18">
        <v>805</v>
      </c>
      <c r="O34" s="18">
        <v>825</v>
      </c>
      <c r="P34" s="18">
        <v>895</v>
      </c>
      <c r="Q34" s="18">
        <v>960</v>
      </c>
    </row>
    <row r="35" spans="1:17" x14ac:dyDescent="0.2">
      <c r="A35" s="16" t="s">
        <v>47</v>
      </c>
      <c r="B35" s="17" t="s">
        <v>2</v>
      </c>
      <c r="C35" s="18">
        <v>30</v>
      </c>
      <c r="D35" s="18">
        <v>30</v>
      </c>
      <c r="E35" s="18">
        <v>35</v>
      </c>
      <c r="F35" s="18">
        <v>30</v>
      </c>
      <c r="G35" s="18">
        <v>30</v>
      </c>
      <c r="H35" s="18">
        <v>30</v>
      </c>
      <c r="I35" s="18">
        <v>40</v>
      </c>
      <c r="J35" s="18">
        <v>35</v>
      </c>
      <c r="K35" s="18">
        <v>40</v>
      </c>
      <c r="L35" s="18">
        <v>45</v>
      </c>
      <c r="M35" s="18">
        <v>45</v>
      </c>
      <c r="N35" s="18">
        <v>40</v>
      </c>
      <c r="O35" s="18">
        <v>40</v>
      </c>
      <c r="P35" s="18">
        <v>45</v>
      </c>
      <c r="Q35" s="18">
        <v>45</v>
      </c>
    </row>
    <row r="36" spans="1:17" x14ac:dyDescent="0.2">
      <c r="A36" s="16" t="s">
        <v>47</v>
      </c>
      <c r="B36" s="17" t="s">
        <v>3</v>
      </c>
      <c r="C36" s="18">
        <v>100</v>
      </c>
      <c r="D36" s="18">
        <v>90</v>
      </c>
      <c r="E36" s="18">
        <v>90</v>
      </c>
      <c r="F36" s="18">
        <v>95</v>
      </c>
      <c r="G36" s="18">
        <v>100</v>
      </c>
      <c r="H36" s="18">
        <v>110</v>
      </c>
      <c r="I36" s="18">
        <v>110</v>
      </c>
      <c r="J36" s="18">
        <v>110</v>
      </c>
      <c r="K36" s="18">
        <v>125</v>
      </c>
      <c r="L36" s="18">
        <v>140</v>
      </c>
      <c r="M36" s="18">
        <v>140</v>
      </c>
      <c r="N36" s="18">
        <v>140</v>
      </c>
      <c r="O36" s="18">
        <v>145</v>
      </c>
      <c r="P36" s="18">
        <v>150</v>
      </c>
      <c r="Q36" s="18">
        <v>155</v>
      </c>
    </row>
    <row r="37" spans="1:17" x14ac:dyDescent="0.2">
      <c r="A37" s="16" t="s">
        <v>47</v>
      </c>
      <c r="B37" s="17" t="s">
        <v>30</v>
      </c>
      <c r="C37" s="18">
        <v>155</v>
      </c>
      <c r="D37" s="18">
        <v>150</v>
      </c>
      <c r="E37" s="18">
        <v>165</v>
      </c>
      <c r="F37" s="18">
        <v>160</v>
      </c>
      <c r="G37" s="18">
        <v>160</v>
      </c>
      <c r="H37" s="18">
        <v>165</v>
      </c>
      <c r="I37" s="18">
        <v>160</v>
      </c>
      <c r="J37" s="18">
        <v>170</v>
      </c>
      <c r="K37" s="18">
        <v>180</v>
      </c>
      <c r="L37" s="18">
        <v>190</v>
      </c>
      <c r="M37" s="18">
        <v>195</v>
      </c>
      <c r="N37" s="18">
        <v>195</v>
      </c>
      <c r="O37" s="18">
        <v>200</v>
      </c>
      <c r="P37" s="18">
        <v>195</v>
      </c>
      <c r="Q37" s="18">
        <v>200</v>
      </c>
    </row>
    <row r="38" spans="1:17" x14ac:dyDescent="0.2">
      <c r="A38" s="16" t="s">
        <v>47</v>
      </c>
      <c r="B38" s="17" t="s">
        <v>4</v>
      </c>
      <c r="C38" s="18">
        <v>60</v>
      </c>
      <c r="D38" s="18">
        <v>65</v>
      </c>
      <c r="E38" s="18">
        <v>75</v>
      </c>
      <c r="F38" s="18">
        <v>75</v>
      </c>
      <c r="G38" s="18">
        <v>75</v>
      </c>
      <c r="H38" s="18">
        <v>75</v>
      </c>
      <c r="I38" s="18">
        <v>65</v>
      </c>
      <c r="J38" s="18">
        <v>75</v>
      </c>
      <c r="K38" s="18">
        <v>85</v>
      </c>
      <c r="L38" s="18">
        <v>90</v>
      </c>
      <c r="M38" s="18">
        <v>80</v>
      </c>
      <c r="N38" s="18">
        <v>80</v>
      </c>
      <c r="O38" s="18">
        <v>80</v>
      </c>
      <c r="P38" s="18">
        <v>80</v>
      </c>
      <c r="Q38" s="18">
        <v>90</v>
      </c>
    </row>
    <row r="39" spans="1:17" x14ac:dyDescent="0.2">
      <c r="A39" s="16" t="s">
        <v>47</v>
      </c>
      <c r="B39" s="17" t="s">
        <v>32</v>
      </c>
      <c r="C39" s="18">
        <v>45</v>
      </c>
      <c r="D39" s="18">
        <v>40</v>
      </c>
      <c r="E39" s="18">
        <v>45</v>
      </c>
      <c r="F39" s="18">
        <v>55</v>
      </c>
      <c r="G39" s="18">
        <v>55</v>
      </c>
      <c r="H39" s="18">
        <v>50</v>
      </c>
      <c r="I39" s="18">
        <v>45</v>
      </c>
      <c r="J39" s="18">
        <v>50</v>
      </c>
      <c r="K39" s="18">
        <v>50</v>
      </c>
      <c r="L39" s="18">
        <v>55</v>
      </c>
      <c r="M39" s="18">
        <v>55</v>
      </c>
      <c r="N39" s="18">
        <v>50</v>
      </c>
      <c r="O39" s="18">
        <v>50</v>
      </c>
      <c r="P39" s="18">
        <v>55</v>
      </c>
      <c r="Q39" s="18">
        <v>50</v>
      </c>
    </row>
    <row r="40" spans="1:17" x14ac:dyDescent="0.2">
      <c r="A40" s="16" t="s">
        <v>47</v>
      </c>
      <c r="B40" s="17" t="s">
        <v>5</v>
      </c>
      <c r="C40" s="18">
        <v>45</v>
      </c>
      <c r="D40" s="18">
        <v>45</v>
      </c>
      <c r="E40" s="18">
        <v>45</v>
      </c>
      <c r="F40" s="18">
        <v>50</v>
      </c>
      <c r="G40" s="18">
        <v>45</v>
      </c>
      <c r="H40" s="18">
        <v>45</v>
      </c>
      <c r="I40" s="18">
        <v>50</v>
      </c>
      <c r="J40" s="18">
        <v>55</v>
      </c>
      <c r="K40" s="18">
        <v>60</v>
      </c>
      <c r="L40" s="18">
        <v>70</v>
      </c>
      <c r="M40" s="18">
        <v>65</v>
      </c>
      <c r="N40" s="18">
        <v>60</v>
      </c>
      <c r="O40" s="18">
        <v>65</v>
      </c>
      <c r="P40" s="18">
        <v>65</v>
      </c>
      <c r="Q40" s="18">
        <v>70</v>
      </c>
    </row>
    <row r="41" spans="1:17" x14ac:dyDescent="0.2">
      <c r="A41" s="16" t="s">
        <v>47</v>
      </c>
      <c r="B41" s="17" t="s">
        <v>6</v>
      </c>
      <c r="C41" s="18">
        <v>30</v>
      </c>
      <c r="D41" s="18">
        <v>30</v>
      </c>
      <c r="E41" s="18">
        <v>30</v>
      </c>
      <c r="F41" s="18">
        <v>35</v>
      </c>
      <c r="G41" s="18">
        <v>35</v>
      </c>
      <c r="H41" s="18">
        <v>30</v>
      </c>
      <c r="I41" s="18">
        <v>30</v>
      </c>
      <c r="J41" s="18">
        <v>35</v>
      </c>
      <c r="K41" s="18">
        <v>40</v>
      </c>
      <c r="L41" s="18">
        <v>40</v>
      </c>
      <c r="M41" s="18">
        <v>35</v>
      </c>
      <c r="N41" s="18">
        <v>40</v>
      </c>
      <c r="O41" s="18">
        <v>40</v>
      </c>
      <c r="P41" s="18">
        <v>40</v>
      </c>
      <c r="Q41" s="18">
        <v>45</v>
      </c>
    </row>
    <row r="42" spans="1:17" x14ac:dyDescent="0.2">
      <c r="A42" s="16" t="s">
        <v>47</v>
      </c>
      <c r="B42" s="17" t="s">
        <v>8</v>
      </c>
      <c r="C42" s="18">
        <v>135</v>
      </c>
      <c r="D42" s="18">
        <v>140</v>
      </c>
      <c r="E42" s="18">
        <v>150</v>
      </c>
      <c r="F42" s="18">
        <v>145</v>
      </c>
      <c r="G42" s="18">
        <v>155</v>
      </c>
      <c r="H42" s="18">
        <v>150</v>
      </c>
      <c r="I42" s="18">
        <v>150</v>
      </c>
      <c r="J42" s="18">
        <v>155</v>
      </c>
      <c r="K42" s="18">
        <v>165</v>
      </c>
      <c r="L42" s="18">
        <v>170</v>
      </c>
      <c r="M42" s="18">
        <v>165</v>
      </c>
      <c r="N42" s="18">
        <v>180</v>
      </c>
      <c r="O42" s="18">
        <v>180</v>
      </c>
      <c r="P42" s="18">
        <v>185</v>
      </c>
      <c r="Q42" s="18">
        <v>185</v>
      </c>
    </row>
    <row r="43" spans="1:17" x14ac:dyDescent="0.2">
      <c r="A43" s="16" t="s">
        <v>47</v>
      </c>
      <c r="B43" s="17" t="s">
        <v>9</v>
      </c>
      <c r="C43" s="18">
        <v>155</v>
      </c>
      <c r="D43" s="18">
        <v>160</v>
      </c>
      <c r="E43" s="18">
        <v>175</v>
      </c>
      <c r="F43" s="18">
        <v>175</v>
      </c>
      <c r="G43" s="18">
        <v>180</v>
      </c>
      <c r="H43" s="18">
        <v>175</v>
      </c>
      <c r="I43" s="18">
        <v>190</v>
      </c>
      <c r="J43" s="18">
        <v>190</v>
      </c>
      <c r="K43" s="18">
        <v>220</v>
      </c>
      <c r="L43" s="18">
        <v>235</v>
      </c>
      <c r="M43" s="18">
        <v>225</v>
      </c>
      <c r="N43" s="18">
        <v>230</v>
      </c>
      <c r="O43" s="18">
        <v>230</v>
      </c>
      <c r="P43" s="18">
        <v>250</v>
      </c>
      <c r="Q43" s="18">
        <v>250</v>
      </c>
    </row>
    <row r="44" spans="1:17" x14ac:dyDescent="0.2">
      <c r="A44" s="16" t="s">
        <v>47</v>
      </c>
      <c r="B44" s="17" t="s">
        <v>33</v>
      </c>
      <c r="C44" s="18">
        <v>545</v>
      </c>
      <c r="D44" s="18">
        <v>560</v>
      </c>
      <c r="E44" s="18">
        <v>595</v>
      </c>
      <c r="F44" s="18">
        <v>600</v>
      </c>
      <c r="G44" s="18">
        <v>600</v>
      </c>
      <c r="H44" s="18">
        <v>610</v>
      </c>
      <c r="I44" s="18">
        <v>610</v>
      </c>
      <c r="J44" s="18">
        <v>625</v>
      </c>
      <c r="K44" s="18">
        <v>665</v>
      </c>
      <c r="L44" s="18">
        <v>710</v>
      </c>
      <c r="M44" s="18">
        <v>715</v>
      </c>
      <c r="N44" s="18">
        <v>725</v>
      </c>
      <c r="O44" s="18">
        <v>750</v>
      </c>
      <c r="P44" s="18">
        <v>790</v>
      </c>
      <c r="Q44" s="18">
        <v>830</v>
      </c>
    </row>
    <row r="45" spans="1:17" x14ac:dyDescent="0.2">
      <c r="A45" s="16" t="s">
        <v>47</v>
      </c>
      <c r="B45" s="17" t="s">
        <v>10</v>
      </c>
      <c r="C45" s="18">
        <v>180</v>
      </c>
      <c r="D45" s="18">
        <v>185</v>
      </c>
      <c r="E45" s="18">
        <v>210</v>
      </c>
      <c r="F45" s="18">
        <v>215</v>
      </c>
      <c r="G45" s="18">
        <v>220</v>
      </c>
      <c r="H45" s="18">
        <v>225</v>
      </c>
      <c r="I45" s="18">
        <v>225</v>
      </c>
      <c r="J45" s="18">
        <v>245</v>
      </c>
      <c r="K45" s="18">
        <v>275</v>
      </c>
      <c r="L45" s="18">
        <v>285</v>
      </c>
      <c r="M45" s="18">
        <v>290</v>
      </c>
      <c r="N45" s="18">
        <v>290</v>
      </c>
      <c r="O45" s="18">
        <v>295</v>
      </c>
      <c r="P45" s="18">
        <v>300</v>
      </c>
      <c r="Q45" s="18">
        <v>320</v>
      </c>
    </row>
    <row r="46" spans="1:17" x14ac:dyDescent="0.2">
      <c r="A46" s="16" t="s">
        <v>47</v>
      </c>
      <c r="B46" s="17" t="s">
        <v>11</v>
      </c>
      <c r="C46" s="18">
        <v>50</v>
      </c>
      <c r="D46" s="18">
        <v>55</v>
      </c>
      <c r="E46" s="18">
        <v>60</v>
      </c>
      <c r="F46" s="18">
        <v>55</v>
      </c>
      <c r="G46" s="18">
        <v>55</v>
      </c>
      <c r="H46" s="18">
        <v>70</v>
      </c>
      <c r="I46" s="18">
        <v>70</v>
      </c>
      <c r="J46" s="18">
        <v>65</v>
      </c>
      <c r="K46" s="18">
        <v>70</v>
      </c>
      <c r="L46" s="18">
        <v>65</v>
      </c>
      <c r="M46" s="18">
        <v>65</v>
      </c>
      <c r="N46" s="18">
        <v>65</v>
      </c>
      <c r="O46" s="18">
        <v>70</v>
      </c>
      <c r="P46" s="18">
        <v>75</v>
      </c>
      <c r="Q46" s="18">
        <v>70</v>
      </c>
    </row>
    <row r="47" spans="1:17" x14ac:dyDescent="0.2">
      <c r="A47" s="16" t="s">
        <v>47</v>
      </c>
      <c r="B47" s="17" t="s">
        <v>12</v>
      </c>
      <c r="C47" s="18">
        <v>45</v>
      </c>
      <c r="D47" s="18">
        <v>45</v>
      </c>
      <c r="E47" s="18">
        <v>50</v>
      </c>
      <c r="F47" s="18">
        <v>55</v>
      </c>
      <c r="G47" s="18">
        <v>60</v>
      </c>
      <c r="H47" s="18">
        <v>60</v>
      </c>
      <c r="I47" s="18">
        <v>60</v>
      </c>
      <c r="J47" s="18">
        <v>65</v>
      </c>
      <c r="K47" s="18">
        <v>65</v>
      </c>
      <c r="L47" s="18">
        <v>75</v>
      </c>
      <c r="M47" s="18">
        <v>80</v>
      </c>
      <c r="N47" s="18">
        <v>80</v>
      </c>
      <c r="O47" s="18">
        <v>80</v>
      </c>
      <c r="P47" s="18">
        <v>85</v>
      </c>
      <c r="Q47" s="18">
        <v>95</v>
      </c>
    </row>
    <row r="48" spans="1:17" x14ac:dyDescent="0.2">
      <c r="A48" s="16" t="s">
        <v>47</v>
      </c>
      <c r="B48" s="17" t="s">
        <v>13</v>
      </c>
      <c r="C48" s="18">
        <v>55</v>
      </c>
      <c r="D48" s="18">
        <v>60</v>
      </c>
      <c r="E48" s="18">
        <v>60</v>
      </c>
      <c r="F48" s="18">
        <v>65</v>
      </c>
      <c r="G48" s="18">
        <v>65</v>
      </c>
      <c r="H48" s="18">
        <v>70</v>
      </c>
      <c r="I48" s="18">
        <v>70</v>
      </c>
      <c r="J48" s="18">
        <v>80</v>
      </c>
      <c r="K48" s="18">
        <v>80</v>
      </c>
      <c r="L48" s="18">
        <v>85</v>
      </c>
      <c r="M48" s="18">
        <v>90</v>
      </c>
      <c r="N48" s="18">
        <v>90</v>
      </c>
      <c r="O48" s="18">
        <v>95</v>
      </c>
      <c r="P48" s="18">
        <v>95</v>
      </c>
      <c r="Q48" s="18">
        <v>95</v>
      </c>
    </row>
    <row r="49" spans="1:17" x14ac:dyDescent="0.2">
      <c r="A49" s="16" t="s">
        <v>47</v>
      </c>
      <c r="B49" s="17" t="s">
        <v>7</v>
      </c>
      <c r="C49" s="18">
        <v>10</v>
      </c>
      <c r="D49" s="18">
        <v>15</v>
      </c>
      <c r="E49" s="18">
        <v>15</v>
      </c>
      <c r="F49" s="18">
        <v>15</v>
      </c>
      <c r="G49" s="18">
        <v>15</v>
      </c>
      <c r="H49" s="18">
        <v>15</v>
      </c>
      <c r="I49" s="18">
        <v>20</v>
      </c>
      <c r="J49" s="18">
        <v>15</v>
      </c>
      <c r="K49" s="18">
        <v>20</v>
      </c>
      <c r="L49" s="18">
        <v>20</v>
      </c>
      <c r="M49" s="18">
        <v>20</v>
      </c>
      <c r="N49" s="18">
        <v>25</v>
      </c>
      <c r="O49" s="18">
        <v>20</v>
      </c>
      <c r="P49" s="18">
        <v>20</v>
      </c>
      <c r="Q49" s="18">
        <v>25</v>
      </c>
    </row>
    <row r="50" spans="1:17" x14ac:dyDescent="0.2">
      <c r="A50" s="16" t="s">
        <v>47</v>
      </c>
      <c r="B50" s="17" t="s">
        <v>14</v>
      </c>
      <c r="C50" s="18">
        <v>80</v>
      </c>
      <c r="D50" s="18">
        <v>80</v>
      </c>
      <c r="E50" s="18">
        <v>85</v>
      </c>
      <c r="F50" s="18">
        <v>85</v>
      </c>
      <c r="G50" s="18">
        <v>90</v>
      </c>
      <c r="H50" s="18">
        <v>90</v>
      </c>
      <c r="I50" s="18">
        <v>85</v>
      </c>
      <c r="J50" s="18">
        <v>85</v>
      </c>
      <c r="K50" s="18">
        <v>90</v>
      </c>
      <c r="L50" s="18">
        <v>100</v>
      </c>
      <c r="M50" s="18">
        <v>100</v>
      </c>
      <c r="N50" s="18">
        <v>105</v>
      </c>
      <c r="O50" s="18">
        <v>105</v>
      </c>
      <c r="P50" s="18">
        <v>110</v>
      </c>
      <c r="Q50" s="18">
        <v>120</v>
      </c>
    </row>
    <row r="51" spans="1:17" x14ac:dyDescent="0.2">
      <c r="A51" s="16" t="s">
        <v>47</v>
      </c>
      <c r="B51" s="17" t="s">
        <v>31</v>
      </c>
      <c r="C51" s="18">
        <v>235</v>
      </c>
      <c r="D51" s="18">
        <v>240</v>
      </c>
      <c r="E51" s="18">
        <v>265</v>
      </c>
      <c r="F51" s="18">
        <v>265</v>
      </c>
      <c r="G51" s="18">
        <v>270</v>
      </c>
      <c r="H51" s="18">
        <v>275</v>
      </c>
      <c r="I51" s="18">
        <v>270</v>
      </c>
      <c r="J51" s="18">
        <v>280</v>
      </c>
      <c r="K51" s="18">
        <v>310</v>
      </c>
      <c r="L51" s="18">
        <v>340</v>
      </c>
      <c r="M51" s="18">
        <v>335</v>
      </c>
      <c r="N51" s="18">
        <v>345</v>
      </c>
      <c r="O51" s="18">
        <v>350</v>
      </c>
      <c r="P51" s="18">
        <v>385</v>
      </c>
      <c r="Q51" s="18">
        <v>370</v>
      </c>
    </row>
    <row r="52" spans="1:17" x14ac:dyDescent="0.2">
      <c r="A52" s="16" t="s">
        <v>47</v>
      </c>
      <c r="B52" s="17" t="s">
        <v>15</v>
      </c>
      <c r="C52" s="18">
        <v>15</v>
      </c>
      <c r="D52" s="18">
        <v>15</v>
      </c>
      <c r="E52" s="18">
        <v>15</v>
      </c>
      <c r="F52" s="18">
        <v>15</v>
      </c>
      <c r="G52" s="18">
        <v>20</v>
      </c>
      <c r="H52" s="18">
        <v>20</v>
      </c>
      <c r="I52" s="18">
        <v>20</v>
      </c>
      <c r="J52" s="18">
        <v>20</v>
      </c>
      <c r="K52" s="18">
        <v>20</v>
      </c>
      <c r="L52" s="18">
        <v>25</v>
      </c>
      <c r="M52" s="18">
        <v>25</v>
      </c>
      <c r="N52" s="18">
        <v>25</v>
      </c>
      <c r="O52" s="18">
        <v>25</v>
      </c>
      <c r="P52" s="18">
        <v>25</v>
      </c>
      <c r="Q52" s="18">
        <v>25</v>
      </c>
    </row>
    <row r="53" spans="1:17" x14ac:dyDescent="0.2">
      <c r="A53" s="16" t="s">
        <v>47</v>
      </c>
      <c r="B53" s="17" t="s">
        <v>16</v>
      </c>
      <c r="C53" s="18">
        <v>115</v>
      </c>
      <c r="D53" s="18">
        <v>115</v>
      </c>
      <c r="E53" s="18">
        <v>120</v>
      </c>
      <c r="F53" s="18">
        <v>120</v>
      </c>
      <c r="G53" s="18">
        <v>120</v>
      </c>
      <c r="H53" s="18">
        <v>125</v>
      </c>
      <c r="I53" s="18">
        <v>135</v>
      </c>
      <c r="J53" s="18">
        <v>140</v>
      </c>
      <c r="K53" s="18">
        <v>165</v>
      </c>
      <c r="L53" s="18">
        <v>180</v>
      </c>
      <c r="M53" s="18">
        <v>190</v>
      </c>
      <c r="N53" s="18">
        <v>195</v>
      </c>
      <c r="O53" s="18">
        <v>195</v>
      </c>
      <c r="P53" s="18">
        <v>205</v>
      </c>
      <c r="Q53" s="18">
        <v>205</v>
      </c>
    </row>
    <row r="54" spans="1:17" x14ac:dyDescent="0.2">
      <c r="A54" s="16" t="s">
        <v>47</v>
      </c>
      <c r="B54" s="17" t="s">
        <v>26</v>
      </c>
      <c r="C54" s="18">
        <v>190</v>
      </c>
      <c r="D54" s="18">
        <v>195</v>
      </c>
      <c r="E54" s="18">
        <v>215</v>
      </c>
      <c r="F54" s="18">
        <v>225</v>
      </c>
      <c r="G54" s="18">
        <v>235</v>
      </c>
      <c r="H54" s="18">
        <v>225</v>
      </c>
      <c r="I54" s="18">
        <v>225</v>
      </c>
      <c r="J54" s="18">
        <v>235</v>
      </c>
      <c r="K54" s="18">
        <v>245</v>
      </c>
      <c r="L54" s="18">
        <v>260</v>
      </c>
      <c r="M54" s="18">
        <v>240</v>
      </c>
      <c r="N54" s="18">
        <v>245</v>
      </c>
      <c r="O54" s="18">
        <v>235</v>
      </c>
      <c r="P54" s="18">
        <v>250</v>
      </c>
      <c r="Q54" s="18">
        <v>255</v>
      </c>
    </row>
    <row r="55" spans="1:17" x14ac:dyDescent="0.2">
      <c r="A55" s="16" t="s">
        <v>47</v>
      </c>
      <c r="B55" s="17" t="s">
        <v>17</v>
      </c>
      <c r="C55" s="18">
        <v>65</v>
      </c>
      <c r="D55" s="18">
        <v>70</v>
      </c>
      <c r="E55" s="18">
        <v>75</v>
      </c>
      <c r="F55" s="18">
        <v>70</v>
      </c>
      <c r="G55" s="18">
        <v>70</v>
      </c>
      <c r="H55" s="18">
        <v>65</v>
      </c>
      <c r="I55" s="18">
        <v>70</v>
      </c>
      <c r="J55" s="18">
        <v>70</v>
      </c>
      <c r="K55" s="18">
        <v>80</v>
      </c>
      <c r="L55" s="18">
        <v>85</v>
      </c>
      <c r="M55" s="18">
        <v>90</v>
      </c>
      <c r="N55" s="18">
        <v>90</v>
      </c>
      <c r="O55" s="18">
        <v>95</v>
      </c>
      <c r="P55" s="18">
        <v>105</v>
      </c>
      <c r="Q55" s="18">
        <v>105</v>
      </c>
    </row>
    <row r="56" spans="1:17" x14ac:dyDescent="0.2">
      <c r="A56" s="16" t="s">
        <v>47</v>
      </c>
      <c r="B56" s="17" t="s">
        <v>18</v>
      </c>
      <c r="C56" s="18">
        <v>25</v>
      </c>
      <c r="D56" s="18">
        <v>20</v>
      </c>
      <c r="E56" s="18">
        <v>20</v>
      </c>
      <c r="F56" s="18">
        <v>20</v>
      </c>
      <c r="G56" s="18">
        <v>25</v>
      </c>
      <c r="H56" s="18">
        <v>25</v>
      </c>
      <c r="I56" s="18">
        <v>25</v>
      </c>
      <c r="J56" s="18">
        <v>25</v>
      </c>
      <c r="K56" s="18">
        <v>25</v>
      </c>
      <c r="L56" s="18">
        <v>25</v>
      </c>
      <c r="M56" s="18">
        <v>35</v>
      </c>
      <c r="N56" s="18">
        <v>35</v>
      </c>
      <c r="O56" s="18">
        <v>35</v>
      </c>
      <c r="P56" s="18">
        <v>30</v>
      </c>
      <c r="Q56" s="18">
        <v>30</v>
      </c>
    </row>
    <row r="57" spans="1:17" x14ac:dyDescent="0.2">
      <c r="A57" s="16" t="s">
        <v>47</v>
      </c>
      <c r="B57" s="17" t="s">
        <v>19</v>
      </c>
      <c r="C57" s="18">
        <v>105</v>
      </c>
      <c r="D57" s="18">
        <v>120</v>
      </c>
      <c r="E57" s="18">
        <v>135</v>
      </c>
      <c r="F57" s="18">
        <v>135</v>
      </c>
      <c r="G57" s="18">
        <v>130</v>
      </c>
      <c r="H57" s="18">
        <v>125</v>
      </c>
      <c r="I57" s="18">
        <v>125</v>
      </c>
      <c r="J57" s="18">
        <v>140</v>
      </c>
      <c r="K57" s="18">
        <v>140</v>
      </c>
      <c r="L57" s="18">
        <v>145</v>
      </c>
      <c r="M57" s="18">
        <v>135</v>
      </c>
      <c r="N57" s="18">
        <v>140</v>
      </c>
      <c r="O57" s="18">
        <v>145</v>
      </c>
      <c r="P57" s="18">
        <v>145</v>
      </c>
      <c r="Q57" s="18">
        <v>140</v>
      </c>
    </row>
    <row r="58" spans="1:17" x14ac:dyDescent="0.2">
      <c r="A58" s="16" t="s">
        <v>47</v>
      </c>
      <c r="B58" s="17" t="s">
        <v>20</v>
      </c>
      <c r="C58" s="18">
        <v>205</v>
      </c>
      <c r="D58" s="18">
        <v>210</v>
      </c>
      <c r="E58" s="18">
        <v>210</v>
      </c>
      <c r="F58" s="18">
        <v>210</v>
      </c>
      <c r="G58" s="18">
        <v>205</v>
      </c>
      <c r="H58" s="18">
        <v>205</v>
      </c>
      <c r="I58" s="18">
        <v>205</v>
      </c>
      <c r="J58" s="18">
        <v>215</v>
      </c>
      <c r="K58" s="18">
        <v>245</v>
      </c>
      <c r="L58" s="18">
        <v>250</v>
      </c>
      <c r="M58" s="18">
        <v>245</v>
      </c>
      <c r="N58" s="18">
        <v>240</v>
      </c>
      <c r="O58" s="18">
        <v>250</v>
      </c>
      <c r="P58" s="18">
        <v>260</v>
      </c>
      <c r="Q58" s="18">
        <v>270</v>
      </c>
    </row>
    <row r="59" spans="1:17" x14ac:dyDescent="0.2">
      <c r="A59" s="16" t="s">
        <v>47</v>
      </c>
      <c r="B59" s="17" t="s">
        <v>21</v>
      </c>
      <c r="C59" s="18">
        <v>110</v>
      </c>
      <c r="D59" s="18">
        <v>115</v>
      </c>
      <c r="E59" s="18">
        <v>120</v>
      </c>
      <c r="F59" s="18">
        <v>125</v>
      </c>
      <c r="G59" s="18">
        <v>125</v>
      </c>
      <c r="H59" s="18">
        <v>130</v>
      </c>
      <c r="I59" s="18">
        <v>120</v>
      </c>
      <c r="J59" s="18">
        <v>130</v>
      </c>
      <c r="K59" s="18">
        <v>140</v>
      </c>
      <c r="L59" s="18">
        <v>155</v>
      </c>
      <c r="M59" s="18">
        <v>150</v>
      </c>
      <c r="N59" s="18">
        <v>150</v>
      </c>
      <c r="O59" s="18">
        <v>140</v>
      </c>
      <c r="P59" s="18">
        <v>155</v>
      </c>
      <c r="Q59" s="18">
        <v>155</v>
      </c>
    </row>
    <row r="60" spans="1:17" x14ac:dyDescent="0.2">
      <c r="A60" s="16" t="s">
        <v>47</v>
      </c>
      <c r="B60" s="17" t="s">
        <v>27</v>
      </c>
      <c r="C60" s="18">
        <v>60</v>
      </c>
      <c r="D60" s="18">
        <v>65</v>
      </c>
      <c r="E60" s="18">
        <v>70</v>
      </c>
      <c r="F60" s="18">
        <v>70</v>
      </c>
      <c r="G60" s="18">
        <v>70</v>
      </c>
      <c r="H60" s="18">
        <v>70</v>
      </c>
      <c r="I60" s="18">
        <v>70</v>
      </c>
      <c r="J60" s="18">
        <v>80</v>
      </c>
      <c r="K60" s="18">
        <v>80</v>
      </c>
      <c r="L60" s="18">
        <v>80</v>
      </c>
      <c r="M60" s="18">
        <v>80</v>
      </c>
      <c r="N60" s="18">
        <v>80</v>
      </c>
      <c r="O60" s="18">
        <v>80</v>
      </c>
      <c r="P60" s="18">
        <v>85</v>
      </c>
      <c r="Q60" s="18">
        <v>85</v>
      </c>
    </row>
    <row r="61" spans="1:17" x14ac:dyDescent="0.2">
      <c r="A61" s="16" t="s">
        <v>47</v>
      </c>
      <c r="B61" s="17" t="s">
        <v>28</v>
      </c>
      <c r="C61" s="18">
        <v>205</v>
      </c>
      <c r="D61" s="18">
        <v>205</v>
      </c>
      <c r="E61" s="18">
        <v>220</v>
      </c>
      <c r="F61" s="18">
        <v>220</v>
      </c>
      <c r="G61" s="18">
        <v>235</v>
      </c>
      <c r="H61" s="18">
        <v>225</v>
      </c>
      <c r="I61" s="18">
        <v>210</v>
      </c>
      <c r="J61" s="18">
        <v>210</v>
      </c>
      <c r="K61" s="18">
        <v>240</v>
      </c>
      <c r="L61" s="18">
        <v>255</v>
      </c>
      <c r="M61" s="18">
        <v>255</v>
      </c>
      <c r="N61" s="18">
        <v>255</v>
      </c>
      <c r="O61" s="18">
        <v>270</v>
      </c>
      <c r="P61" s="18">
        <v>280</v>
      </c>
      <c r="Q61" s="18">
        <v>300</v>
      </c>
    </row>
    <row r="62" spans="1:17" ht="29.1" customHeight="1" x14ac:dyDescent="0.2">
      <c r="A62" s="17" t="s">
        <v>182</v>
      </c>
      <c r="B62" s="17" t="s">
        <v>54</v>
      </c>
      <c r="C62" s="18" t="s">
        <v>190</v>
      </c>
      <c r="D62" s="18" t="s">
        <v>190</v>
      </c>
      <c r="E62" s="18" t="s">
        <v>190</v>
      </c>
      <c r="F62" s="18" t="s">
        <v>190</v>
      </c>
      <c r="G62" s="18" t="s">
        <v>190</v>
      </c>
      <c r="H62" s="18">
        <v>735</v>
      </c>
      <c r="I62" s="18">
        <v>730</v>
      </c>
      <c r="J62" s="18">
        <v>720</v>
      </c>
      <c r="K62" s="18">
        <v>770</v>
      </c>
      <c r="L62" s="18">
        <v>850</v>
      </c>
      <c r="M62" s="18">
        <v>880</v>
      </c>
      <c r="N62" s="18">
        <v>875</v>
      </c>
      <c r="O62" s="18">
        <v>880</v>
      </c>
      <c r="P62" s="18">
        <v>865</v>
      </c>
      <c r="Q62" s="18">
        <v>895</v>
      </c>
    </row>
    <row r="63" spans="1:17" x14ac:dyDescent="0.2">
      <c r="A63" s="16" t="s">
        <v>182</v>
      </c>
      <c r="B63" s="16" t="s">
        <v>55</v>
      </c>
      <c r="C63" s="18" t="s">
        <v>190</v>
      </c>
      <c r="D63" s="18" t="s">
        <v>190</v>
      </c>
      <c r="E63" s="18" t="s">
        <v>190</v>
      </c>
      <c r="F63" s="18" t="s">
        <v>190</v>
      </c>
      <c r="G63" s="18" t="s">
        <v>190</v>
      </c>
      <c r="H63" s="18">
        <v>30</v>
      </c>
      <c r="I63" s="18">
        <v>30</v>
      </c>
      <c r="J63" s="18">
        <v>30</v>
      </c>
      <c r="K63" s="18">
        <v>35</v>
      </c>
      <c r="L63" s="18">
        <v>40</v>
      </c>
      <c r="M63" s="18">
        <v>35</v>
      </c>
      <c r="N63" s="18">
        <v>35</v>
      </c>
      <c r="O63" s="18">
        <v>35</v>
      </c>
      <c r="P63" s="18">
        <v>35</v>
      </c>
      <c r="Q63" s="18">
        <v>35</v>
      </c>
    </row>
    <row r="64" spans="1:17" x14ac:dyDescent="0.2">
      <c r="A64" s="16" t="s">
        <v>182</v>
      </c>
      <c r="B64" s="16" t="s">
        <v>56</v>
      </c>
      <c r="C64" s="18" t="s">
        <v>190</v>
      </c>
      <c r="D64" s="18" t="s">
        <v>190</v>
      </c>
      <c r="E64" s="18" t="s">
        <v>190</v>
      </c>
      <c r="F64" s="18" t="s">
        <v>190</v>
      </c>
      <c r="G64" s="18" t="s">
        <v>190</v>
      </c>
      <c r="H64" s="18">
        <v>50</v>
      </c>
      <c r="I64" s="18">
        <v>50</v>
      </c>
      <c r="J64" s="18">
        <v>50</v>
      </c>
      <c r="K64" s="18">
        <v>50</v>
      </c>
      <c r="L64" s="18">
        <v>55</v>
      </c>
      <c r="M64" s="18">
        <v>55</v>
      </c>
      <c r="N64" s="18">
        <v>55</v>
      </c>
      <c r="O64" s="18">
        <v>60</v>
      </c>
      <c r="P64" s="18">
        <v>65</v>
      </c>
      <c r="Q64" s="18">
        <v>65</v>
      </c>
    </row>
    <row r="65" spans="1:17" x14ac:dyDescent="0.2">
      <c r="A65" s="16" t="s">
        <v>182</v>
      </c>
      <c r="B65" s="16" t="s">
        <v>57</v>
      </c>
      <c r="C65" s="18" t="s">
        <v>190</v>
      </c>
      <c r="D65" s="18" t="s">
        <v>190</v>
      </c>
      <c r="E65" s="18" t="s">
        <v>190</v>
      </c>
      <c r="F65" s="18" t="s">
        <v>190</v>
      </c>
      <c r="G65" s="18" t="s">
        <v>190</v>
      </c>
      <c r="H65" s="18">
        <v>10</v>
      </c>
      <c r="I65" s="18">
        <v>10</v>
      </c>
      <c r="J65" s="18">
        <v>10</v>
      </c>
      <c r="K65" s="18">
        <v>15</v>
      </c>
      <c r="L65" s="18">
        <v>20</v>
      </c>
      <c r="M65" s="18">
        <v>25</v>
      </c>
      <c r="N65" s="18">
        <v>30</v>
      </c>
      <c r="O65" s="18">
        <v>30</v>
      </c>
      <c r="P65" s="18">
        <v>30</v>
      </c>
      <c r="Q65" s="18">
        <v>30</v>
      </c>
    </row>
    <row r="66" spans="1:17" x14ac:dyDescent="0.2">
      <c r="A66" s="16" t="s">
        <v>182</v>
      </c>
      <c r="B66" s="16" t="s">
        <v>58</v>
      </c>
      <c r="C66" s="18" t="s">
        <v>190</v>
      </c>
      <c r="D66" s="18" t="s">
        <v>190</v>
      </c>
      <c r="E66" s="18" t="s">
        <v>190</v>
      </c>
      <c r="F66" s="18" t="s">
        <v>190</v>
      </c>
      <c r="G66" s="18" t="s">
        <v>190</v>
      </c>
      <c r="H66" s="18">
        <v>120</v>
      </c>
      <c r="I66" s="18">
        <v>120</v>
      </c>
      <c r="J66" s="18">
        <v>135</v>
      </c>
      <c r="K66" s="18">
        <v>140</v>
      </c>
      <c r="L66" s="18">
        <v>140</v>
      </c>
      <c r="M66" s="18">
        <v>135</v>
      </c>
      <c r="N66" s="18">
        <v>135</v>
      </c>
      <c r="O66" s="18">
        <v>140</v>
      </c>
      <c r="P66" s="18">
        <v>140</v>
      </c>
      <c r="Q66" s="18">
        <v>140</v>
      </c>
    </row>
    <row r="67" spans="1:17" x14ac:dyDescent="0.2">
      <c r="A67" s="16" t="s">
        <v>182</v>
      </c>
      <c r="B67" s="16" t="s">
        <v>96</v>
      </c>
      <c r="C67" s="18" t="s">
        <v>190</v>
      </c>
      <c r="D67" s="18" t="s">
        <v>190</v>
      </c>
      <c r="E67" s="18" t="s">
        <v>190</v>
      </c>
      <c r="F67" s="18" t="s">
        <v>190</v>
      </c>
      <c r="G67" s="18" t="s">
        <v>190</v>
      </c>
      <c r="H67" s="18">
        <v>10</v>
      </c>
      <c r="I67" s="18">
        <v>5</v>
      </c>
      <c r="J67" s="18">
        <v>5</v>
      </c>
      <c r="K67" s="18">
        <v>10</v>
      </c>
      <c r="L67" s="18">
        <v>10</v>
      </c>
      <c r="M67" s="18">
        <v>10</v>
      </c>
      <c r="N67" s="18">
        <v>10</v>
      </c>
      <c r="O67" s="18">
        <v>10</v>
      </c>
      <c r="P67" s="18">
        <v>15</v>
      </c>
      <c r="Q67" s="18">
        <v>15</v>
      </c>
    </row>
    <row r="68" spans="1:17" x14ac:dyDescent="0.2">
      <c r="A68" s="16" t="s">
        <v>182</v>
      </c>
      <c r="B68" s="16" t="s">
        <v>59</v>
      </c>
      <c r="C68" s="18" t="s">
        <v>190</v>
      </c>
      <c r="D68" s="18" t="s">
        <v>190</v>
      </c>
      <c r="E68" s="18" t="s">
        <v>190</v>
      </c>
      <c r="F68" s="18" t="s">
        <v>190</v>
      </c>
      <c r="G68" s="18" t="s">
        <v>190</v>
      </c>
      <c r="H68" s="18">
        <v>10</v>
      </c>
      <c r="I68" s="18">
        <v>10</v>
      </c>
      <c r="J68" s="18">
        <v>10</v>
      </c>
      <c r="K68" s="18">
        <v>10</v>
      </c>
      <c r="L68" s="18">
        <v>10</v>
      </c>
      <c r="M68" s="18">
        <v>10</v>
      </c>
      <c r="N68" s="18">
        <v>10</v>
      </c>
      <c r="O68" s="18">
        <v>10</v>
      </c>
      <c r="P68" s="18">
        <v>10</v>
      </c>
      <c r="Q68" s="18">
        <v>10</v>
      </c>
    </row>
    <row r="69" spans="1:17" x14ac:dyDescent="0.2">
      <c r="A69" s="16" t="s">
        <v>182</v>
      </c>
      <c r="B69" s="16" t="s">
        <v>60</v>
      </c>
      <c r="C69" s="18" t="s">
        <v>190</v>
      </c>
      <c r="D69" s="18" t="s">
        <v>190</v>
      </c>
      <c r="E69" s="18" t="s">
        <v>190</v>
      </c>
      <c r="F69" s="18" t="s">
        <v>190</v>
      </c>
      <c r="G69" s="18" t="s">
        <v>190</v>
      </c>
      <c r="H69" s="18">
        <v>10</v>
      </c>
      <c r="I69" s="18">
        <v>10</v>
      </c>
      <c r="J69" s="18">
        <v>10</v>
      </c>
      <c r="K69" s="18">
        <v>15</v>
      </c>
      <c r="L69" s="18">
        <v>15</v>
      </c>
      <c r="M69" s="18">
        <v>15</v>
      </c>
      <c r="N69" s="18">
        <v>15</v>
      </c>
      <c r="O69" s="18">
        <v>15</v>
      </c>
      <c r="P69" s="18">
        <v>15</v>
      </c>
      <c r="Q69" s="18">
        <v>15</v>
      </c>
    </row>
    <row r="70" spans="1:17" x14ac:dyDescent="0.2">
      <c r="A70" s="16" t="s">
        <v>182</v>
      </c>
      <c r="B70" s="16" t="s">
        <v>97</v>
      </c>
      <c r="C70" s="18" t="s">
        <v>190</v>
      </c>
      <c r="D70" s="18" t="s">
        <v>190</v>
      </c>
      <c r="E70" s="18" t="s">
        <v>190</v>
      </c>
      <c r="F70" s="18" t="s">
        <v>190</v>
      </c>
      <c r="G70" s="18" t="s">
        <v>190</v>
      </c>
      <c r="H70" s="18">
        <v>15</v>
      </c>
      <c r="I70" s="18">
        <v>15</v>
      </c>
      <c r="J70" s="18">
        <v>15</v>
      </c>
      <c r="K70" s="18">
        <v>15</v>
      </c>
      <c r="L70" s="18">
        <v>20</v>
      </c>
      <c r="M70" s="18">
        <v>20</v>
      </c>
      <c r="N70" s="18">
        <v>20</v>
      </c>
      <c r="O70" s="18">
        <v>20</v>
      </c>
      <c r="P70" s="18">
        <v>20</v>
      </c>
      <c r="Q70" s="18">
        <v>20</v>
      </c>
    </row>
    <row r="71" spans="1:17" x14ac:dyDescent="0.2">
      <c r="A71" s="16" t="s">
        <v>182</v>
      </c>
      <c r="B71" s="16" t="s">
        <v>61</v>
      </c>
      <c r="C71" s="18" t="s">
        <v>190</v>
      </c>
      <c r="D71" s="18" t="s">
        <v>190</v>
      </c>
      <c r="E71" s="18" t="s">
        <v>190</v>
      </c>
      <c r="F71" s="18" t="s">
        <v>190</v>
      </c>
      <c r="G71" s="18" t="s">
        <v>190</v>
      </c>
      <c r="H71" s="18">
        <v>10</v>
      </c>
      <c r="I71" s="18">
        <v>10</v>
      </c>
      <c r="J71" s="18">
        <v>10</v>
      </c>
      <c r="K71" s="18">
        <v>10</v>
      </c>
      <c r="L71" s="18">
        <v>10</v>
      </c>
      <c r="M71" s="18">
        <v>10</v>
      </c>
      <c r="N71" s="18">
        <v>15</v>
      </c>
      <c r="O71" s="18">
        <v>10</v>
      </c>
      <c r="P71" s="18">
        <v>15</v>
      </c>
      <c r="Q71" s="18">
        <v>15</v>
      </c>
    </row>
    <row r="72" spans="1:17" x14ac:dyDescent="0.2">
      <c r="A72" s="16" t="s">
        <v>182</v>
      </c>
      <c r="B72" s="16" t="s">
        <v>62</v>
      </c>
      <c r="C72" s="18" t="s">
        <v>190</v>
      </c>
      <c r="D72" s="18" t="s">
        <v>190</v>
      </c>
      <c r="E72" s="18" t="s">
        <v>190</v>
      </c>
      <c r="F72" s="18" t="s">
        <v>190</v>
      </c>
      <c r="G72" s="18" t="s">
        <v>190</v>
      </c>
      <c r="H72" s="18">
        <v>40</v>
      </c>
      <c r="I72" s="18">
        <v>40</v>
      </c>
      <c r="J72" s="18">
        <v>45</v>
      </c>
      <c r="K72" s="18">
        <v>50</v>
      </c>
      <c r="L72" s="18">
        <v>50</v>
      </c>
      <c r="M72" s="18">
        <v>50</v>
      </c>
      <c r="N72" s="18">
        <v>50</v>
      </c>
      <c r="O72" s="18">
        <v>50</v>
      </c>
      <c r="P72" s="18">
        <v>45</v>
      </c>
      <c r="Q72" s="18">
        <v>50</v>
      </c>
    </row>
    <row r="73" spans="1:17" x14ac:dyDescent="0.2">
      <c r="A73" s="16" t="s">
        <v>182</v>
      </c>
      <c r="B73" s="16" t="s">
        <v>63</v>
      </c>
      <c r="C73" s="18" t="s">
        <v>190</v>
      </c>
      <c r="D73" s="18" t="s">
        <v>190</v>
      </c>
      <c r="E73" s="18" t="s">
        <v>190</v>
      </c>
      <c r="F73" s="18" t="s">
        <v>190</v>
      </c>
      <c r="G73" s="18" t="s">
        <v>190</v>
      </c>
      <c r="H73" s="18">
        <v>85</v>
      </c>
      <c r="I73" s="18">
        <v>85</v>
      </c>
      <c r="J73" s="18">
        <v>90</v>
      </c>
      <c r="K73" s="18">
        <v>100</v>
      </c>
      <c r="L73" s="18">
        <v>105</v>
      </c>
      <c r="M73" s="18">
        <v>110</v>
      </c>
      <c r="N73" s="18">
        <v>110</v>
      </c>
      <c r="O73" s="18">
        <v>110</v>
      </c>
      <c r="P73" s="18">
        <v>115</v>
      </c>
      <c r="Q73" s="18">
        <v>120</v>
      </c>
    </row>
    <row r="74" spans="1:17" x14ac:dyDescent="0.2">
      <c r="A74" s="16" t="s">
        <v>182</v>
      </c>
      <c r="B74" s="16" t="s">
        <v>64</v>
      </c>
      <c r="C74" s="18" t="s">
        <v>190</v>
      </c>
      <c r="D74" s="18" t="s">
        <v>190</v>
      </c>
      <c r="E74" s="18" t="s">
        <v>190</v>
      </c>
      <c r="F74" s="18" t="s">
        <v>190</v>
      </c>
      <c r="G74" s="18" t="s">
        <v>190</v>
      </c>
      <c r="H74" s="18">
        <v>180</v>
      </c>
      <c r="I74" s="18">
        <v>180</v>
      </c>
      <c r="J74" s="18">
        <v>185</v>
      </c>
      <c r="K74" s="18">
        <v>205</v>
      </c>
      <c r="L74" s="18">
        <v>210</v>
      </c>
      <c r="M74" s="18">
        <v>220</v>
      </c>
      <c r="N74" s="18">
        <v>225</v>
      </c>
      <c r="O74" s="18">
        <v>230</v>
      </c>
      <c r="P74" s="18">
        <v>220</v>
      </c>
      <c r="Q74" s="18">
        <v>230</v>
      </c>
    </row>
    <row r="75" spans="1:17" x14ac:dyDescent="0.2">
      <c r="A75" s="16" t="s">
        <v>182</v>
      </c>
      <c r="B75" s="16" t="s">
        <v>65</v>
      </c>
      <c r="C75" s="18" t="s">
        <v>190</v>
      </c>
      <c r="D75" s="18" t="s">
        <v>190</v>
      </c>
      <c r="E75" s="18" t="s">
        <v>190</v>
      </c>
      <c r="F75" s="18" t="s">
        <v>190</v>
      </c>
      <c r="G75" s="18" t="s">
        <v>190</v>
      </c>
      <c r="H75" s="18">
        <v>155</v>
      </c>
      <c r="I75" s="18">
        <v>170</v>
      </c>
      <c r="J75" s="18">
        <v>170</v>
      </c>
      <c r="K75" s="18">
        <v>195</v>
      </c>
      <c r="L75" s="18">
        <v>210</v>
      </c>
      <c r="M75" s="18">
        <v>205</v>
      </c>
      <c r="N75" s="18">
        <v>210</v>
      </c>
      <c r="O75" s="18">
        <v>205</v>
      </c>
      <c r="P75" s="18">
        <v>220</v>
      </c>
      <c r="Q75" s="18">
        <v>220</v>
      </c>
    </row>
    <row r="76" spans="1:17" x14ac:dyDescent="0.2">
      <c r="A76" s="16" t="s">
        <v>182</v>
      </c>
      <c r="B76" s="16" t="s">
        <v>66</v>
      </c>
      <c r="C76" s="18" t="s">
        <v>190</v>
      </c>
      <c r="D76" s="18" t="s">
        <v>190</v>
      </c>
      <c r="E76" s="18" t="s">
        <v>190</v>
      </c>
      <c r="F76" s="18" t="s">
        <v>190</v>
      </c>
      <c r="G76" s="18" t="s">
        <v>190</v>
      </c>
      <c r="H76" s="18">
        <v>10</v>
      </c>
      <c r="I76" s="18">
        <v>10</v>
      </c>
      <c r="J76" s="18">
        <v>10</v>
      </c>
      <c r="K76" s="18">
        <v>10</v>
      </c>
      <c r="L76" s="18">
        <v>10</v>
      </c>
      <c r="M76" s="18">
        <v>10</v>
      </c>
      <c r="N76" s="18">
        <v>10</v>
      </c>
      <c r="O76" s="18">
        <v>15</v>
      </c>
      <c r="P76" s="18">
        <v>15</v>
      </c>
      <c r="Q76" s="18">
        <v>15</v>
      </c>
    </row>
    <row r="77" spans="1:17" x14ac:dyDescent="0.2">
      <c r="A77" s="16" t="s">
        <v>182</v>
      </c>
      <c r="B77" s="16" t="s">
        <v>67</v>
      </c>
      <c r="C77" s="18" t="s">
        <v>190</v>
      </c>
      <c r="D77" s="18" t="s">
        <v>190</v>
      </c>
      <c r="E77" s="18" t="s">
        <v>190</v>
      </c>
      <c r="F77" s="18" t="s">
        <v>190</v>
      </c>
      <c r="G77" s="18" t="s">
        <v>190</v>
      </c>
      <c r="H77" s="18">
        <v>625</v>
      </c>
      <c r="I77" s="18">
        <v>635</v>
      </c>
      <c r="J77" s="18">
        <v>665</v>
      </c>
      <c r="K77" s="18">
        <v>755</v>
      </c>
      <c r="L77" s="18">
        <v>830</v>
      </c>
      <c r="M77" s="18">
        <v>880</v>
      </c>
      <c r="N77" s="18">
        <v>875</v>
      </c>
      <c r="O77" s="18">
        <v>895</v>
      </c>
      <c r="P77" s="18">
        <v>970</v>
      </c>
      <c r="Q77" s="18">
        <v>1035</v>
      </c>
    </row>
    <row r="78" spans="1:17" x14ac:dyDescent="0.2">
      <c r="A78" s="16" t="s">
        <v>182</v>
      </c>
      <c r="B78" s="16" t="s">
        <v>68</v>
      </c>
      <c r="C78" s="18" t="s">
        <v>190</v>
      </c>
      <c r="D78" s="18" t="s">
        <v>190</v>
      </c>
      <c r="E78" s="18" t="s">
        <v>190</v>
      </c>
      <c r="F78" s="18" t="s">
        <v>190</v>
      </c>
      <c r="G78" s="18" t="s">
        <v>190</v>
      </c>
      <c r="H78" s="18">
        <v>70</v>
      </c>
      <c r="I78" s="18">
        <v>75</v>
      </c>
      <c r="J78" s="18">
        <v>85</v>
      </c>
      <c r="K78" s="18">
        <v>80</v>
      </c>
      <c r="L78" s="18">
        <v>90</v>
      </c>
      <c r="M78" s="18">
        <v>95</v>
      </c>
      <c r="N78" s="18">
        <v>95</v>
      </c>
      <c r="O78" s="18">
        <v>100</v>
      </c>
      <c r="P78" s="18">
        <v>100</v>
      </c>
      <c r="Q78" s="18">
        <v>105</v>
      </c>
    </row>
    <row r="79" spans="1:17" x14ac:dyDescent="0.2">
      <c r="A79" s="16" t="s">
        <v>182</v>
      </c>
      <c r="B79" s="16" t="s">
        <v>69</v>
      </c>
      <c r="C79" s="18" t="s">
        <v>190</v>
      </c>
      <c r="D79" s="18" t="s">
        <v>190</v>
      </c>
      <c r="E79" s="18" t="s">
        <v>190</v>
      </c>
      <c r="F79" s="18" t="s">
        <v>190</v>
      </c>
      <c r="G79" s="18" t="s">
        <v>190</v>
      </c>
      <c r="H79" s="18">
        <v>240</v>
      </c>
      <c r="I79" s="18">
        <v>240</v>
      </c>
      <c r="J79" s="18">
        <v>245</v>
      </c>
      <c r="K79" s="18">
        <v>265</v>
      </c>
      <c r="L79" s="18">
        <v>285</v>
      </c>
      <c r="M79" s="18">
        <v>280</v>
      </c>
      <c r="N79" s="18">
        <v>280</v>
      </c>
      <c r="O79" s="18">
        <v>275</v>
      </c>
      <c r="P79" s="18">
        <v>300</v>
      </c>
      <c r="Q79" s="18">
        <v>310</v>
      </c>
    </row>
    <row r="80" spans="1:17" x14ac:dyDescent="0.2">
      <c r="A80" s="16" t="s">
        <v>182</v>
      </c>
      <c r="B80" s="16" t="s">
        <v>70</v>
      </c>
      <c r="C80" s="18" t="s">
        <v>190</v>
      </c>
      <c r="D80" s="18" t="s">
        <v>190</v>
      </c>
      <c r="E80" s="18" t="s">
        <v>190</v>
      </c>
      <c r="F80" s="18" t="s">
        <v>190</v>
      </c>
      <c r="G80" s="18" t="s">
        <v>190</v>
      </c>
      <c r="H80" s="18">
        <v>25</v>
      </c>
      <c r="I80" s="18">
        <v>25</v>
      </c>
      <c r="J80" s="18">
        <v>30</v>
      </c>
      <c r="K80" s="18">
        <v>35</v>
      </c>
      <c r="L80" s="18">
        <v>45</v>
      </c>
      <c r="M80" s="18">
        <v>50</v>
      </c>
      <c r="N80" s="18">
        <v>50</v>
      </c>
      <c r="O80" s="18">
        <v>50</v>
      </c>
      <c r="P80" s="18">
        <v>45</v>
      </c>
      <c r="Q80" s="18">
        <v>50</v>
      </c>
    </row>
    <row r="81" spans="1:17" x14ac:dyDescent="0.2">
      <c r="A81" s="16" t="s">
        <v>182</v>
      </c>
      <c r="B81" s="16" t="s">
        <v>71</v>
      </c>
      <c r="C81" s="18" t="s">
        <v>190</v>
      </c>
      <c r="D81" s="18" t="s">
        <v>190</v>
      </c>
      <c r="E81" s="18" t="s">
        <v>190</v>
      </c>
      <c r="F81" s="18" t="s">
        <v>190</v>
      </c>
      <c r="G81" s="18" t="s">
        <v>190</v>
      </c>
      <c r="H81" s="18">
        <v>15</v>
      </c>
      <c r="I81" s="18">
        <v>15</v>
      </c>
      <c r="J81" s="18">
        <v>15</v>
      </c>
      <c r="K81" s="18">
        <v>10</v>
      </c>
      <c r="L81" s="18">
        <v>15</v>
      </c>
      <c r="M81" s="18">
        <v>10</v>
      </c>
      <c r="N81" s="18">
        <v>10</v>
      </c>
      <c r="O81" s="18">
        <v>10</v>
      </c>
      <c r="P81" s="18">
        <v>15</v>
      </c>
      <c r="Q81" s="18">
        <v>20</v>
      </c>
    </row>
    <row r="82" spans="1:17" x14ac:dyDescent="0.2">
      <c r="A82" s="16" t="s">
        <v>182</v>
      </c>
      <c r="B82" s="16" t="s">
        <v>72</v>
      </c>
      <c r="C82" s="18" t="s">
        <v>190</v>
      </c>
      <c r="D82" s="18" t="s">
        <v>190</v>
      </c>
      <c r="E82" s="18" t="s">
        <v>190</v>
      </c>
      <c r="F82" s="18" t="s">
        <v>190</v>
      </c>
      <c r="G82" s="18" t="s">
        <v>190</v>
      </c>
      <c r="H82" s="18">
        <v>45</v>
      </c>
      <c r="I82" s="18">
        <v>50</v>
      </c>
      <c r="J82" s="18">
        <v>55</v>
      </c>
      <c r="K82" s="18">
        <v>65</v>
      </c>
      <c r="L82" s="18">
        <v>65</v>
      </c>
      <c r="M82" s="18">
        <v>70</v>
      </c>
      <c r="N82" s="18">
        <v>65</v>
      </c>
      <c r="O82" s="18">
        <v>70</v>
      </c>
      <c r="P82" s="18">
        <v>75</v>
      </c>
      <c r="Q82" s="18">
        <v>80</v>
      </c>
    </row>
    <row r="83" spans="1:17" x14ac:dyDescent="0.2">
      <c r="A83" s="16" t="s">
        <v>182</v>
      </c>
      <c r="B83" s="16" t="s">
        <v>73</v>
      </c>
      <c r="C83" s="18" t="s">
        <v>190</v>
      </c>
      <c r="D83" s="18" t="s">
        <v>190</v>
      </c>
      <c r="E83" s="18" t="s">
        <v>190</v>
      </c>
      <c r="F83" s="18" t="s">
        <v>190</v>
      </c>
      <c r="G83" s="18" t="s">
        <v>190</v>
      </c>
      <c r="H83" s="18">
        <v>15</v>
      </c>
      <c r="I83" s="18">
        <v>15</v>
      </c>
      <c r="J83" s="18">
        <v>15</v>
      </c>
      <c r="K83" s="18">
        <v>15</v>
      </c>
      <c r="L83" s="18">
        <v>15</v>
      </c>
      <c r="M83" s="18">
        <v>15</v>
      </c>
      <c r="N83" s="18">
        <v>15</v>
      </c>
      <c r="O83" s="18">
        <v>15</v>
      </c>
      <c r="P83" s="18">
        <v>15</v>
      </c>
      <c r="Q83" s="18">
        <v>10</v>
      </c>
    </row>
    <row r="84" spans="1:17" x14ac:dyDescent="0.2">
      <c r="A84" s="16" t="s">
        <v>182</v>
      </c>
      <c r="B84" s="16" t="s">
        <v>53</v>
      </c>
      <c r="C84" s="18" t="s">
        <v>190</v>
      </c>
      <c r="D84" s="18" t="s">
        <v>190</v>
      </c>
      <c r="E84" s="18" t="s">
        <v>190</v>
      </c>
      <c r="F84" s="18" t="s">
        <v>190</v>
      </c>
      <c r="G84" s="18" t="s">
        <v>190</v>
      </c>
      <c r="H84" s="18">
        <v>880</v>
      </c>
      <c r="I84" s="18">
        <v>880</v>
      </c>
      <c r="J84" s="18">
        <v>915</v>
      </c>
      <c r="K84" s="18">
        <v>965</v>
      </c>
      <c r="L84" s="18">
        <v>1010</v>
      </c>
      <c r="M84" s="18">
        <v>1005</v>
      </c>
      <c r="N84" s="18">
        <v>1025</v>
      </c>
      <c r="O84" s="18">
        <v>1065</v>
      </c>
      <c r="P84" s="18">
        <v>1110</v>
      </c>
      <c r="Q84" s="18">
        <v>1170</v>
      </c>
    </row>
    <row r="85" spans="1:17" x14ac:dyDescent="0.2">
      <c r="A85" s="16" t="s">
        <v>182</v>
      </c>
      <c r="B85" s="16" t="s">
        <v>74</v>
      </c>
      <c r="C85" s="18" t="s">
        <v>190</v>
      </c>
      <c r="D85" s="18" t="s">
        <v>190</v>
      </c>
      <c r="E85" s="18" t="s">
        <v>190</v>
      </c>
      <c r="F85" s="18" t="s">
        <v>190</v>
      </c>
      <c r="G85" s="18" t="s">
        <v>190</v>
      </c>
      <c r="H85" s="18">
        <v>5</v>
      </c>
      <c r="I85" s="18">
        <v>5</v>
      </c>
      <c r="J85" s="18">
        <v>5</v>
      </c>
      <c r="K85" s="18">
        <v>10</v>
      </c>
      <c r="L85" s="18">
        <v>5</v>
      </c>
      <c r="M85" s="18">
        <v>5</v>
      </c>
      <c r="N85" s="18">
        <v>5</v>
      </c>
      <c r="O85" s="18">
        <v>5</v>
      </c>
      <c r="P85" s="18">
        <v>5</v>
      </c>
      <c r="Q85" s="18">
        <v>5</v>
      </c>
    </row>
    <row r="86" spans="1:17" x14ac:dyDescent="0.2">
      <c r="A86" s="16" t="s">
        <v>182</v>
      </c>
      <c r="B86" s="16" t="s">
        <v>75</v>
      </c>
      <c r="C86" s="18" t="s">
        <v>190</v>
      </c>
      <c r="D86" s="18" t="s">
        <v>190</v>
      </c>
      <c r="E86" s="18" t="s">
        <v>190</v>
      </c>
      <c r="F86" s="18" t="s">
        <v>190</v>
      </c>
      <c r="G86" s="18" t="s">
        <v>190</v>
      </c>
      <c r="H86" s="18">
        <v>70</v>
      </c>
      <c r="I86" s="18">
        <v>70</v>
      </c>
      <c r="J86" s="18">
        <v>65</v>
      </c>
      <c r="K86" s="18">
        <v>70</v>
      </c>
      <c r="L86" s="18">
        <v>65</v>
      </c>
      <c r="M86" s="18">
        <v>65</v>
      </c>
      <c r="N86" s="18">
        <v>65</v>
      </c>
      <c r="O86" s="18">
        <v>70</v>
      </c>
      <c r="P86" s="18">
        <v>75</v>
      </c>
      <c r="Q86" s="18">
        <v>75</v>
      </c>
    </row>
    <row r="87" spans="1:17" x14ac:dyDescent="0.2">
      <c r="A87" s="16" t="s">
        <v>182</v>
      </c>
      <c r="B87" s="16" t="s">
        <v>76</v>
      </c>
      <c r="C87" s="18" t="s">
        <v>190</v>
      </c>
      <c r="D87" s="18" t="s">
        <v>190</v>
      </c>
      <c r="E87" s="18" t="s">
        <v>190</v>
      </c>
      <c r="F87" s="18" t="s">
        <v>190</v>
      </c>
      <c r="G87" s="18" t="s">
        <v>190</v>
      </c>
      <c r="H87" s="18">
        <v>20</v>
      </c>
      <c r="I87" s="18">
        <v>20</v>
      </c>
      <c r="J87" s="18">
        <v>20</v>
      </c>
      <c r="K87" s="18">
        <v>20</v>
      </c>
      <c r="L87" s="18">
        <v>25</v>
      </c>
      <c r="M87" s="18">
        <v>30</v>
      </c>
      <c r="N87" s="18">
        <v>30</v>
      </c>
      <c r="O87" s="18">
        <v>30</v>
      </c>
      <c r="P87" s="18">
        <v>30</v>
      </c>
      <c r="Q87" s="18">
        <v>30</v>
      </c>
    </row>
    <row r="88" spans="1:17" x14ac:dyDescent="0.2">
      <c r="A88" s="16" t="s">
        <v>182</v>
      </c>
      <c r="B88" s="16" t="s">
        <v>77</v>
      </c>
      <c r="C88" s="18" t="s">
        <v>190</v>
      </c>
      <c r="D88" s="18" t="s">
        <v>190</v>
      </c>
      <c r="E88" s="18" t="s">
        <v>190</v>
      </c>
      <c r="F88" s="18" t="s">
        <v>190</v>
      </c>
      <c r="G88" s="18" t="s">
        <v>190</v>
      </c>
      <c r="H88" s="18">
        <v>170</v>
      </c>
      <c r="I88" s="18">
        <v>170</v>
      </c>
      <c r="J88" s="18">
        <v>190</v>
      </c>
      <c r="K88" s="18">
        <v>205</v>
      </c>
      <c r="L88" s="18">
        <v>205</v>
      </c>
      <c r="M88" s="18">
        <v>205</v>
      </c>
      <c r="N88" s="18">
        <v>210</v>
      </c>
      <c r="O88" s="18">
        <v>210</v>
      </c>
      <c r="P88" s="18">
        <v>210</v>
      </c>
      <c r="Q88" s="18">
        <v>225</v>
      </c>
    </row>
    <row r="89" spans="1:17" x14ac:dyDescent="0.2">
      <c r="A89" s="16" t="s">
        <v>182</v>
      </c>
      <c r="B89" s="16" t="s">
        <v>78</v>
      </c>
      <c r="C89" s="18" t="s">
        <v>190</v>
      </c>
      <c r="D89" s="18" t="s">
        <v>190</v>
      </c>
      <c r="E89" s="18" t="s">
        <v>190</v>
      </c>
      <c r="F89" s="18" t="s">
        <v>190</v>
      </c>
      <c r="G89" s="18" t="s">
        <v>190</v>
      </c>
      <c r="H89" s="18">
        <v>120</v>
      </c>
      <c r="I89" s="18">
        <v>120</v>
      </c>
      <c r="J89" s="18">
        <v>120</v>
      </c>
      <c r="K89" s="18">
        <v>130</v>
      </c>
      <c r="L89" s="18">
        <v>140</v>
      </c>
      <c r="M89" s="18">
        <v>140</v>
      </c>
      <c r="N89" s="18">
        <v>140</v>
      </c>
      <c r="O89" s="18">
        <v>145</v>
      </c>
      <c r="P89" s="18">
        <v>150</v>
      </c>
      <c r="Q89" s="18">
        <v>160</v>
      </c>
    </row>
    <row r="90" spans="1:17" x14ac:dyDescent="0.2">
      <c r="A90" s="16" t="s">
        <v>182</v>
      </c>
      <c r="B90" s="16" t="s">
        <v>79</v>
      </c>
      <c r="C90" s="18" t="s">
        <v>190</v>
      </c>
      <c r="D90" s="18" t="s">
        <v>190</v>
      </c>
      <c r="E90" s="18" t="s">
        <v>190</v>
      </c>
      <c r="F90" s="18" t="s">
        <v>190</v>
      </c>
      <c r="G90" s="18" t="s">
        <v>190</v>
      </c>
      <c r="H90" s="18">
        <v>230</v>
      </c>
      <c r="I90" s="18">
        <v>220</v>
      </c>
      <c r="J90" s="18">
        <v>215</v>
      </c>
      <c r="K90" s="18">
        <v>245</v>
      </c>
      <c r="L90" s="18">
        <v>260</v>
      </c>
      <c r="M90" s="18">
        <v>265</v>
      </c>
      <c r="N90" s="18">
        <v>265</v>
      </c>
      <c r="O90" s="18">
        <v>280</v>
      </c>
      <c r="P90" s="18">
        <v>290</v>
      </c>
      <c r="Q90" s="18">
        <v>310</v>
      </c>
    </row>
    <row r="91" spans="1:17" x14ac:dyDescent="0.2">
      <c r="A91" s="16" t="s">
        <v>182</v>
      </c>
      <c r="B91" s="16" t="s">
        <v>80</v>
      </c>
      <c r="C91" s="18" t="s">
        <v>190</v>
      </c>
      <c r="D91" s="18" t="s">
        <v>190</v>
      </c>
      <c r="E91" s="18" t="s">
        <v>190</v>
      </c>
      <c r="F91" s="18" t="s">
        <v>190</v>
      </c>
      <c r="G91" s="18" t="s">
        <v>190</v>
      </c>
      <c r="H91" s="18">
        <v>10</v>
      </c>
      <c r="I91" s="18">
        <v>10</v>
      </c>
      <c r="J91" s="18">
        <v>10</v>
      </c>
      <c r="K91" s="18">
        <v>10</v>
      </c>
      <c r="L91" s="18">
        <v>10</v>
      </c>
      <c r="M91" s="18">
        <v>10</v>
      </c>
      <c r="N91" s="18">
        <v>10</v>
      </c>
      <c r="O91" s="18">
        <v>10</v>
      </c>
      <c r="P91" s="18">
        <v>10</v>
      </c>
      <c r="Q91" s="18">
        <v>5</v>
      </c>
    </row>
    <row r="92" spans="1:17" x14ac:dyDescent="0.2">
      <c r="A92" s="16" t="s">
        <v>182</v>
      </c>
      <c r="B92" s="16" t="s">
        <v>81</v>
      </c>
      <c r="C92" s="18" t="s">
        <v>190</v>
      </c>
      <c r="D92" s="18" t="s">
        <v>190</v>
      </c>
      <c r="E92" s="18" t="s">
        <v>190</v>
      </c>
      <c r="F92" s="18" t="s">
        <v>190</v>
      </c>
      <c r="G92" s="18" t="s">
        <v>190</v>
      </c>
      <c r="H92" s="18">
        <v>265</v>
      </c>
      <c r="I92" s="18">
        <v>260</v>
      </c>
      <c r="J92" s="18">
        <v>270</v>
      </c>
      <c r="K92" s="18">
        <v>310</v>
      </c>
      <c r="L92" s="18">
        <v>325</v>
      </c>
      <c r="M92" s="18">
        <v>320</v>
      </c>
      <c r="N92" s="18">
        <v>325</v>
      </c>
      <c r="O92" s="18">
        <v>325</v>
      </c>
      <c r="P92" s="18">
        <v>370</v>
      </c>
      <c r="Q92" s="18">
        <v>360</v>
      </c>
    </row>
    <row r="93" spans="1:17" x14ac:dyDescent="0.2">
      <c r="A93" s="16" t="s">
        <v>182</v>
      </c>
      <c r="B93" s="16" t="s">
        <v>82</v>
      </c>
      <c r="C93" s="18" t="s">
        <v>190</v>
      </c>
      <c r="D93" s="18" t="s">
        <v>190</v>
      </c>
      <c r="E93" s="18" t="s">
        <v>190</v>
      </c>
      <c r="F93" s="18" t="s">
        <v>190</v>
      </c>
      <c r="G93" s="18" t="s">
        <v>190</v>
      </c>
      <c r="H93" s="18">
        <v>5</v>
      </c>
      <c r="I93" s="18">
        <v>10</v>
      </c>
      <c r="J93" s="18">
        <v>10</v>
      </c>
      <c r="K93" s="18">
        <v>10</v>
      </c>
      <c r="L93" s="18">
        <v>10</v>
      </c>
      <c r="M93" s="18">
        <v>10</v>
      </c>
      <c r="N93" s="18">
        <v>10</v>
      </c>
      <c r="O93" s="18">
        <v>10</v>
      </c>
      <c r="P93" s="18">
        <v>10</v>
      </c>
      <c r="Q93" s="18">
        <v>10</v>
      </c>
    </row>
    <row r="94" spans="1:17" x14ac:dyDescent="0.2">
      <c r="A94" s="16" t="s">
        <v>182</v>
      </c>
      <c r="B94" s="16" t="s">
        <v>83</v>
      </c>
      <c r="C94" s="18" t="s">
        <v>190</v>
      </c>
      <c r="D94" s="18" t="s">
        <v>190</v>
      </c>
      <c r="E94" s="18" t="s">
        <v>190</v>
      </c>
      <c r="F94" s="18" t="s">
        <v>190</v>
      </c>
      <c r="G94" s="18" t="s">
        <v>190</v>
      </c>
      <c r="H94" s="18">
        <v>5</v>
      </c>
      <c r="I94" s="18">
        <v>5</v>
      </c>
      <c r="J94" s="18">
        <v>5</v>
      </c>
      <c r="K94" s="18">
        <v>5</v>
      </c>
      <c r="L94" s="18">
        <v>10</v>
      </c>
      <c r="M94" s="18">
        <v>10</v>
      </c>
      <c r="N94" s="18">
        <v>10</v>
      </c>
      <c r="O94" s="18">
        <v>10</v>
      </c>
      <c r="P94" s="18">
        <v>10</v>
      </c>
      <c r="Q94" s="18">
        <v>10</v>
      </c>
    </row>
    <row r="95" spans="1:17" x14ac:dyDescent="0.2">
      <c r="A95" s="16" t="s">
        <v>182</v>
      </c>
      <c r="B95" s="16" t="s">
        <v>84</v>
      </c>
      <c r="C95" s="18" t="s">
        <v>190</v>
      </c>
      <c r="D95" s="18" t="s">
        <v>190</v>
      </c>
      <c r="E95" s="18" t="s">
        <v>190</v>
      </c>
      <c r="F95" s="18" t="s">
        <v>190</v>
      </c>
      <c r="G95" s="18" t="s">
        <v>190</v>
      </c>
      <c r="H95" s="18">
        <v>25</v>
      </c>
      <c r="I95" s="18">
        <v>20</v>
      </c>
      <c r="J95" s="18">
        <v>25</v>
      </c>
      <c r="K95" s="18">
        <v>30</v>
      </c>
      <c r="L95" s="18">
        <v>35</v>
      </c>
      <c r="M95" s="18">
        <v>35</v>
      </c>
      <c r="N95" s="18">
        <v>40</v>
      </c>
      <c r="O95" s="18">
        <v>40</v>
      </c>
      <c r="P95" s="18">
        <v>40</v>
      </c>
      <c r="Q95" s="18">
        <v>40</v>
      </c>
    </row>
    <row r="96" spans="1:17" x14ac:dyDescent="0.2">
      <c r="A96" s="16" t="s">
        <v>182</v>
      </c>
      <c r="B96" s="16" t="s">
        <v>15</v>
      </c>
      <c r="C96" s="18" t="s">
        <v>190</v>
      </c>
      <c r="D96" s="18" t="s">
        <v>190</v>
      </c>
      <c r="E96" s="18" t="s">
        <v>190</v>
      </c>
      <c r="F96" s="18" t="s">
        <v>190</v>
      </c>
      <c r="G96" s="18" t="s">
        <v>190</v>
      </c>
      <c r="H96" s="18">
        <v>20</v>
      </c>
      <c r="I96" s="18">
        <v>20</v>
      </c>
      <c r="J96" s="18">
        <v>20</v>
      </c>
      <c r="K96" s="18">
        <v>20</v>
      </c>
      <c r="L96" s="18">
        <v>25</v>
      </c>
      <c r="M96" s="18">
        <v>25</v>
      </c>
      <c r="N96" s="18">
        <v>25</v>
      </c>
      <c r="O96" s="18">
        <v>25</v>
      </c>
      <c r="P96" s="18">
        <v>25</v>
      </c>
      <c r="Q96" s="18">
        <v>25</v>
      </c>
    </row>
    <row r="97" spans="1:17" x14ac:dyDescent="0.2">
      <c r="A97" s="16" t="s">
        <v>182</v>
      </c>
      <c r="B97" s="16" t="s">
        <v>85</v>
      </c>
      <c r="C97" s="18" t="s">
        <v>190</v>
      </c>
      <c r="D97" s="18" t="s">
        <v>190</v>
      </c>
      <c r="E97" s="18" t="s">
        <v>190</v>
      </c>
      <c r="F97" s="18" t="s">
        <v>190</v>
      </c>
      <c r="G97" s="18" t="s">
        <v>190</v>
      </c>
      <c r="H97" s="18">
        <v>115</v>
      </c>
      <c r="I97" s="18">
        <v>125</v>
      </c>
      <c r="J97" s="18">
        <v>130</v>
      </c>
      <c r="K97" s="18">
        <v>155</v>
      </c>
      <c r="L97" s="18">
        <v>165</v>
      </c>
      <c r="M97" s="18">
        <v>175</v>
      </c>
      <c r="N97" s="18">
        <v>185</v>
      </c>
      <c r="O97" s="18">
        <v>180</v>
      </c>
      <c r="P97" s="18">
        <v>190</v>
      </c>
      <c r="Q97" s="18">
        <v>185</v>
      </c>
    </row>
    <row r="98" spans="1:17" x14ac:dyDescent="0.2">
      <c r="A98" s="16" t="s">
        <v>182</v>
      </c>
      <c r="B98" s="16" t="s">
        <v>86</v>
      </c>
      <c r="C98" s="18" t="s">
        <v>190</v>
      </c>
      <c r="D98" s="18" t="s">
        <v>190</v>
      </c>
      <c r="E98" s="18" t="s">
        <v>190</v>
      </c>
      <c r="F98" s="18" t="s">
        <v>190</v>
      </c>
      <c r="G98" s="18" t="s">
        <v>190</v>
      </c>
      <c r="H98" s="18">
        <v>35</v>
      </c>
      <c r="I98" s="18">
        <v>35</v>
      </c>
      <c r="J98" s="18">
        <v>40</v>
      </c>
      <c r="K98" s="18">
        <v>40</v>
      </c>
      <c r="L98" s="18">
        <v>50</v>
      </c>
      <c r="M98" s="18">
        <v>50</v>
      </c>
      <c r="N98" s="18">
        <v>45</v>
      </c>
      <c r="O98" s="18">
        <v>45</v>
      </c>
      <c r="P98" s="18">
        <v>45</v>
      </c>
      <c r="Q98" s="18">
        <v>50</v>
      </c>
    </row>
    <row r="99" spans="1:17" x14ac:dyDescent="0.2">
      <c r="A99" s="16" t="s">
        <v>182</v>
      </c>
      <c r="B99" s="16" t="s">
        <v>87</v>
      </c>
      <c r="C99" s="18" t="s">
        <v>190</v>
      </c>
      <c r="D99" s="18" t="s">
        <v>190</v>
      </c>
      <c r="E99" s="18" t="s">
        <v>190</v>
      </c>
      <c r="F99" s="18" t="s">
        <v>190</v>
      </c>
      <c r="G99" s="18" t="s">
        <v>190</v>
      </c>
      <c r="H99" s="18">
        <v>10</v>
      </c>
      <c r="I99" s="18">
        <v>10</v>
      </c>
      <c r="J99" s="18">
        <v>10</v>
      </c>
      <c r="K99" s="18">
        <v>10</v>
      </c>
      <c r="L99" s="18">
        <v>15</v>
      </c>
      <c r="M99" s="18">
        <v>15</v>
      </c>
      <c r="N99" s="18">
        <v>15</v>
      </c>
      <c r="O99" s="18">
        <v>10</v>
      </c>
      <c r="P99" s="18">
        <v>15</v>
      </c>
      <c r="Q99" s="18">
        <v>15</v>
      </c>
    </row>
    <row r="100" spans="1:17" x14ac:dyDescent="0.2">
      <c r="A100" s="16" t="s">
        <v>182</v>
      </c>
      <c r="B100" s="16" t="s">
        <v>88</v>
      </c>
      <c r="C100" s="18" t="s">
        <v>190</v>
      </c>
      <c r="D100" s="18" t="s">
        <v>190</v>
      </c>
      <c r="E100" s="18" t="s">
        <v>190</v>
      </c>
      <c r="F100" s="18" t="s">
        <v>190</v>
      </c>
      <c r="G100" s="18" t="s">
        <v>190</v>
      </c>
      <c r="H100" s="18">
        <v>10</v>
      </c>
      <c r="I100" s="18">
        <v>10</v>
      </c>
      <c r="J100" s="18">
        <v>10</v>
      </c>
      <c r="K100" s="18">
        <v>10</v>
      </c>
      <c r="L100" s="18">
        <v>10</v>
      </c>
      <c r="M100" s="18">
        <v>10</v>
      </c>
      <c r="N100" s="18">
        <v>10</v>
      </c>
      <c r="O100" s="18">
        <v>10</v>
      </c>
      <c r="P100" s="18">
        <v>10</v>
      </c>
      <c r="Q100" s="18">
        <v>10</v>
      </c>
    </row>
    <row r="101" spans="1:17" x14ac:dyDescent="0.2">
      <c r="A101" s="16" t="s">
        <v>182</v>
      </c>
      <c r="B101" s="16" t="s">
        <v>18</v>
      </c>
      <c r="C101" s="18" t="s">
        <v>190</v>
      </c>
      <c r="D101" s="18" t="s">
        <v>190</v>
      </c>
      <c r="E101" s="18" t="s">
        <v>190</v>
      </c>
      <c r="F101" s="18" t="s">
        <v>190</v>
      </c>
      <c r="G101" s="18" t="s">
        <v>190</v>
      </c>
      <c r="H101" s="18">
        <v>25</v>
      </c>
      <c r="I101" s="18">
        <v>25</v>
      </c>
      <c r="J101" s="18">
        <v>25</v>
      </c>
      <c r="K101" s="18">
        <v>25</v>
      </c>
      <c r="L101" s="18">
        <v>25</v>
      </c>
      <c r="M101" s="18">
        <v>35</v>
      </c>
      <c r="N101" s="18">
        <v>35</v>
      </c>
      <c r="O101" s="18">
        <v>35</v>
      </c>
      <c r="P101" s="18">
        <v>30</v>
      </c>
      <c r="Q101" s="18">
        <v>30</v>
      </c>
    </row>
    <row r="102" spans="1:17" x14ac:dyDescent="0.2">
      <c r="A102" s="16" t="s">
        <v>182</v>
      </c>
      <c r="B102" s="16" t="s">
        <v>89</v>
      </c>
      <c r="C102" s="18" t="s">
        <v>190</v>
      </c>
      <c r="D102" s="18" t="s">
        <v>190</v>
      </c>
      <c r="E102" s="18" t="s">
        <v>190</v>
      </c>
      <c r="F102" s="18" t="s">
        <v>190</v>
      </c>
      <c r="G102" s="18" t="s">
        <v>190</v>
      </c>
      <c r="H102" s="18">
        <v>40</v>
      </c>
      <c r="I102" s="18">
        <v>40</v>
      </c>
      <c r="J102" s="18">
        <v>45</v>
      </c>
      <c r="K102" s="18">
        <v>55</v>
      </c>
      <c r="L102" s="18">
        <v>55</v>
      </c>
      <c r="M102" s="18">
        <v>55</v>
      </c>
      <c r="N102" s="18">
        <v>55</v>
      </c>
      <c r="O102" s="18">
        <v>55</v>
      </c>
      <c r="P102" s="18">
        <v>60</v>
      </c>
      <c r="Q102" s="18">
        <v>60</v>
      </c>
    </row>
    <row r="103" spans="1:17" x14ac:dyDescent="0.2">
      <c r="A103" s="16" t="s">
        <v>182</v>
      </c>
      <c r="B103" s="16" t="s">
        <v>90</v>
      </c>
      <c r="C103" s="18" t="s">
        <v>190</v>
      </c>
      <c r="D103" s="18" t="s">
        <v>190</v>
      </c>
      <c r="E103" s="18" t="s">
        <v>190</v>
      </c>
      <c r="F103" s="18" t="s">
        <v>190</v>
      </c>
      <c r="G103" s="18" t="s">
        <v>190</v>
      </c>
      <c r="H103" s="18">
        <v>25</v>
      </c>
      <c r="I103" s="18">
        <v>25</v>
      </c>
      <c r="J103" s="18">
        <v>25</v>
      </c>
      <c r="K103" s="18">
        <v>25</v>
      </c>
      <c r="L103" s="18">
        <v>30</v>
      </c>
      <c r="M103" s="18">
        <v>30</v>
      </c>
      <c r="N103" s="18">
        <v>30</v>
      </c>
      <c r="O103" s="18">
        <v>30</v>
      </c>
      <c r="P103" s="18">
        <v>30</v>
      </c>
      <c r="Q103" s="18">
        <v>25</v>
      </c>
    </row>
    <row r="104" spans="1:17" x14ac:dyDescent="0.2">
      <c r="A104" s="16" t="s">
        <v>182</v>
      </c>
      <c r="B104" s="16" t="s">
        <v>91</v>
      </c>
      <c r="C104" s="18" t="s">
        <v>190</v>
      </c>
      <c r="D104" s="18" t="s">
        <v>190</v>
      </c>
      <c r="E104" s="18" t="s">
        <v>190</v>
      </c>
      <c r="F104" s="18" t="s">
        <v>190</v>
      </c>
      <c r="G104" s="18" t="s">
        <v>190</v>
      </c>
      <c r="H104" s="18">
        <v>20</v>
      </c>
      <c r="I104" s="18">
        <v>20</v>
      </c>
      <c r="J104" s="18">
        <v>25</v>
      </c>
      <c r="K104" s="18">
        <v>20</v>
      </c>
      <c r="L104" s="18">
        <v>25</v>
      </c>
      <c r="M104" s="18">
        <v>20</v>
      </c>
      <c r="N104" s="18">
        <v>20</v>
      </c>
      <c r="O104" s="18">
        <v>20</v>
      </c>
      <c r="P104" s="18">
        <v>20</v>
      </c>
      <c r="Q104" s="18">
        <v>20</v>
      </c>
    </row>
    <row r="105" spans="1:17" x14ac:dyDescent="0.2">
      <c r="A105" s="16" t="s">
        <v>182</v>
      </c>
      <c r="B105" s="16" t="s">
        <v>92</v>
      </c>
      <c r="C105" s="18" t="s">
        <v>190</v>
      </c>
      <c r="D105" s="18" t="s">
        <v>190</v>
      </c>
      <c r="E105" s="18" t="s">
        <v>190</v>
      </c>
      <c r="F105" s="18" t="s">
        <v>190</v>
      </c>
      <c r="G105" s="18" t="s">
        <v>190</v>
      </c>
      <c r="H105" s="18">
        <v>15</v>
      </c>
      <c r="I105" s="18">
        <v>20</v>
      </c>
      <c r="J105" s="18">
        <v>20</v>
      </c>
      <c r="K105" s="18">
        <v>25</v>
      </c>
      <c r="L105" s="18">
        <v>20</v>
      </c>
      <c r="M105" s="18">
        <v>20</v>
      </c>
      <c r="N105" s="18">
        <v>25</v>
      </c>
      <c r="O105" s="18">
        <v>20</v>
      </c>
      <c r="P105" s="18">
        <v>25</v>
      </c>
      <c r="Q105" s="18">
        <v>20</v>
      </c>
    </row>
    <row r="106" spans="1:17" x14ac:dyDescent="0.2">
      <c r="A106" s="16" t="s">
        <v>182</v>
      </c>
      <c r="B106" s="16" t="s">
        <v>93</v>
      </c>
      <c r="C106" s="18" t="s">
        <v>190</v>
      </c>
      <c r="D106" s="18" t="s">
        <v>190</v>
      </c>
      <c r="E106" s="18" t="s">
        <v>190</v>
      </c>
      <c r="F106" s="18" t="s">
        <v>190</v>
      </c>
      <c r="G106" s="18" t="s">
        <v>190</v>
      </c>
      <c r="H106" s="18">
        <v>10</v>
      </c>
      <c r="I106" s="18">
        <v>10</v>
      </c>
      <c r="J106" s="18">
        <v>10</v>
      </c>
      <c r="K106" s="18">
        <v>10</v>
      </c>
      <c r="L106" s="18">
        <v>10</v>
      </c>
      <c r="M106" s="18">
        <v>10</v>
      </c>
      <c r="N106" s="18">
        <v>5</v>
      </c>
      <c r="O106" s="18">
        <v>5</v>
      </c>
      <c r="P106" s="18">
        <v>10</v>
      </c>
      <c r="Q106" s="18">
        <v>15</v>
      </c>
    </row>
    <row r="107" spans="1:17" x14ac:dyDescent="0.2">
      <c r="A107" s="16" t="s">
        <v>182</v>
      </c>
      <c r="B107" s="16" t="s">
        <v>94</v>
      </c>
      <c r="C107" s="18" t="s">
        <v>190</v>
      </c>
      <c r="D107" s="18" t="s">
        <v>190</v>
      </c>
      <c r="E107" s="18" t="s">
        <v>190</v>
      </c>
      <c r="F107" s="18" t="s">
        <v>190</v>
      </c>
      <c r="G107" s="18" t="s">
        <v>190</v>
      </c>
      <c r="H107" s="18">
        <v>15</v>
      </c>
      <c r="I107" s="18">
        <v>20</v>
      </c>
      <c r="J107" s="18">
        <v>15</v>
      </c>
      <c r="K107" s="18">
        <v>20</v>
      </c>
      <c r="L107" s="18">
        <v>20</v>
      </c>
      <c r="M107" s="18">
        <v>20</v>
      </c>
      <c r="N107" s="18">
        <v>25</v>
      </c>
      <c r="O107" s="18">
        <v>20</v>
      </c>
      <c r="P107" s="18">
        <v>20</v>
      </c>
      <c r="Q107" s="18">
        <v>25</v>
      </c>
    </row>
    <row r="108" spans="1:17" x14ac:dyDescent="0.2">
      <c r="A108" s="16" t="s">
        <v>182</v>
      </c>
      <c r="B108" s="16" t="s">
        <v>95</v>
      </c>
      <c r="C108" s="18" t="s">
        <v>190</v>
      </c>
      <c r="D108" s="18" t="s">
        <v>190</v>
      </c>
      <c r="E108" s="18" t="s">
        <v>190</v>
      </c>
      <c r="F108" s="18" t="s">
        <v>190</v>
      </c>
      <c r="G108" s="18" t="s">
        <v>190</v>
      </c>
      <c r="H108" s="18">
        <v>15</v>
      </c>
      <c r="I108" s="18">
        <v>15</v>
      </c>
      <c r="J108" s="18">
        <v>20</v>
      </c>
      <c r="K108" s="18">
        <v>15</v>
      </c>
      <c r="L108" s="18">
        <v>15</v>
      </c>
      <c r="M108" s="18">
        <v>20</v>
      </c>
      <c r="N108" s="18">
        <v>20</v>
      </c>
      <c r="O108" s="18">
        <v>15</v>
      </c>
      <c r="P108" s="18">
        <v>15</v>
      </c>
      <c r="Q108" s="18">
        <v>15</v>
      </c>
    </row>
    <row r="109" spans="1:17" ht="27" customHeight="1" x14ac:dyDescent="0.2">
      <c r="A109" s="17" t="s">
        <v>183</v>
      </c>
      <c r="B109" s="9" t="s">
        <v>112</v>
      </c>
      <c r="C109" s="18" t="s">
        <v>190</v>
      </c>
      <c r="D109" s="18" t="s">
        <v>190</v>
      </c>
      <c r="E109" s="18" t="s">
        <v>190</v>
      </c>
      <c r="F109" s="18" t="s">
        <v>190</v>
      </c>
      <c r="G109" s="18" t="s">
        <v>190</v>
      </c>
      <c r="H109" s="18">
        <v>45</v>
      </c>
      <c r="I109" s="18">
        <v>40</v>
      </c>
      <c r="J109" s="18">
        <v>40</v>
      </c>
      <c r="K109" s="18">
        <v>50</v>
      </c>
      <c r="L109" s="18">
        <v>55</v>
      </c>
      <c r="M109" s="18">
        <v>60</v>
      </c>
      <c r="N109" s="18">
        <v>65</v>
      </c>
      <c r="O109" s="18">
        <v>65</v>
      </c>
      <c r="P109" s="18">
        <v>65</v>
      </c>
      <c r="Q109" s="18">
        <v>70</v>
      </c>
    </row>
    <row r="110" spans="1:17" x14ac:dyDescent="0.2">
      <c r="A110" s="16" t="s">
        <v>183</v>
      </c>
      <c r="B110" s="9" t="s">
        <v>113</v>
      </c>
      <c r="C110" s="18" t="s">
        <v>190</v>
      </c>
      <c r="D110" s="18" t="s">
        <v>190</v>
      </c>
      <c r="E110" s="18" t="s">
        <v>190</v>
      </c>
      <c r="F110" s="18" t="s">
        <v>190</v>
      </c>
      <c r="G110" s="18" t="s">
        <v>190</v>
      </c>
      <c r="H110" s="18">
        <v>30</v>
      </c>
      <c r="I110" s="18">
        <v>35</v>
      </c>
      <c r="J110" s="18">
        <v>40</v>
      </c>
      <c r="K110" s="18">
        <v>40</v>
      </c>
      <c r="L110" s="18">
        <v>40</v>
      </c>
      <c r="M110" s="18">
        <v>40</v>
      </c>
      <c r="N110" s="18">
        <v>40</v>
      </c>
      <c r="O110" s="18">
        <v>40</v>
      </c>
      <c r="P110" s="18">
        <v>40</v>
      </c>
      <c r="Q110" s="18">
        <v>35</v>
      </c>
    </row>
    <row r="111" spans="1:17" x14ac:dyDescent="0.2">
      <c r="A111" s="16" t="s">
        <v>183</v>
      </c>
      <c r="B111" s="9" t="s">
        <v>114</v>
      </c>
      <c r="C111" s="18" t="s">
        <v>190</v>
      </c>
      <c r="D111" s="18" t="s">
        <v>190</v>
      </c>
      <c r="E111" s="18" t="s">
        <v>190</v>
      </c>
      <c r="F111" s="18" t="s">
        <v>190</v>
      </c>
      <c r="G111" s="18" t="s">
        <v>190</v>
      </c>
      <c r="H111" s="18">
        <v>195</v>
      </c>
      <c r="I111" s="18">
        <v>195</v>
      </c>
      <c r="J111" s="18">
        <v>215</v>
      </c>
      <c r="K111" s="18">
        <v>240</v>
      </c>
      <c r="L111" s="18">
        <v>245</v>
      </c>
      <c r="M111" s="18">
        <v>245</v>
      </c>
      <c r="N111" s="18">
        <v>250</v>
      </c>
      <c r="O111" s="18">
        <v>255</v>
      </c>
      <c r="P111" s="18">
        <v>255</v>
      </c>
      <c r="Q111" s="18">
        <v>270</v>
      </c>
    </row>
    <row r="112" spans="1:17" x14ac:dyDescent="0.2">
      <c r="A112" s="16" t="s">
        <v>183</v>
      </c>
      <c r="B112" s="9" t="s">
        <v>115</v>
      </c>
      <c r="C112" s="18" t="s">
        <v>190</v>
      </c>
      <c r="D112" s="18" t="s">
        <v>190</v>
      </c>
      <c r="E112" s="18" t="s">
        <v>190</v>
      </c>
      <c r="F112" s="18" t="s">
        <v>190</v>
      </c>
      <c r="G112" s="18" t="s">
        <v>190</v>
      </c>
      <c r="H112" s="18">
        <v>35</v>
      </c>
      <c r="I112" s="18">
        <v>35</v>
      </c>
      <c r="J112" s="18">
        <v>35</v>
      </c>
      <c r="K112" s="18">
        <v>45</v>
      </c>
      <c r="L112" s="18">
        <v>55</v>
      </c>
      <c r="M112" s="18">
        <v>60</v>
      </c>
      <c r="N112" s="18">
        <v>60</v>
      </c>
      <c r="O112" s="18">
        <v>60</v>
      </c>
      <c r="P112" s="18">
        <v>55</v>
      </c>
      <c r="Q112" s="18">
        <v>65</v>
      </c>
    </row>
    <row r="113" spans="1:17" x14ac:dyDescent="0.2">
      <c r="A113" s="16" t="s">
        <v>183</v>
      </c>
      <c r="B113" s="9" t="s">
        <v>13</v>
      </c>
      <c r="C113" s="18" t="s">
        <v>190</v>
      </c>
      <c r="D113" s="18" t="s">
        <v>190</v>
      </c>
      <c r="E113" s="18" t="s">
        <v>190</v>
      </c>
      <c r="F113" s="18" t="s">
        <v>190</v>
      </c>
      <c r="G113" s="18" t="s">
        <v>190</v>
      </c>
      <c r="H113" s="18">
        <v>70</v>
      </c>
      <c r="I113" s="18">
        <v>70</v>
      </c>
      <c r="J113" s="18">
        <v>80</v>
      </c>
      <c r="K113" s="18">
        <v>80</v>
      </c>
      <c r="L113" s="18">
        <v>85</v>
      </c>
      <c r="M113" s="18">
        <v>90</v>
      </c>
      <c r="N113" s="18">
        <v>90</v>
      </c>
      <c r="O113" s="18">
        <v>95</v>
      </c>
      <c r="P113" s="18">
        <v>95</v>
      </c>
      <c r="Q113" s="18">
        <v>95</v>
      </c>
    </row>
    <row r="114" spans="1:17" x14ac:dyDescent="0.2">
      <c r="A114" s="16" t="s">
        <v>183</v>
      </c>
      <c r="B114" s="9" t="s">
        <v>116</v>
      </c>
      <c r="C114" s="18" t="s">
        <v>190</v>
      </c>
      <c r="D114" s="18" t="s">
        <v>190</v>
      </c>
      <c r="E114" s="18" t="s">
        <v>190</v>
      </c>
      <c r="F114" s="18" t="s">
        <v>190</v>
      </c>
      <c r="G114" s="18" t="s">
        <v>190</v>
      </c>
      <c r="H114" s="18">
        <v>20</v>
      </c>
      <c r="I114" s="18">
        <v>20</v>
      </c>
      <c r="J114" s="18">
        <v>20</v>
      </c>
      <c r="K114" s="18">
        <v>20</v>
      </c>
      <c r="L114" s="18">
        <v>25</v>
      </c>
      <c r="M114" s="18">
        <v>25</v>
      </c>
      <c r="N114" s="18">
        <v>25</v>
      </c>
      <c r="O114" s="18">
        <v>25</v>
      </c>
      <c r="P114" s="18">
        <v>25</v>
      </c>
      <c r="Q114" s="18">
        <v>25</v>
      </c>
    </row>
    <row r="115" spans="1:17" x14ac:dyDescent="0.2">
      <c r="A115" s="16" t="s">
        <v>183</v>
      </c>
      <c r="B115" s="9" t="s">
        <v>117</v>
      </c>
      <c r="C115" s="18" t="s">
        <v>190</v>
      </c>
      <c r="D115" s="18" t="s">
        <v>190</v>
      </c>
      <c r="E115" s="18" t="s">
        <v>190</v>
      </c>
      <c r="F115" s="18" t="s">
        <v>190</v>
      </c>
      <c r="G115" s="18" t="s">
        <v>190</v>
      </c>
      <c r="H115" s="18">
        <v>15</v>
      </c>
      <c r="I115" s="18">
        <v>20</v>
      </c>
      <c r="J115" s="18">
        <v>15</v>
      </c>
      <c r="K115" s="18">
        <v>20</v>
      </c>
      <c r="L115" s="18">
        <v>20</v>
      </c>
      <c r="M115" s="18">
        <v>20</v>
      </c>
      <c r="N115" s="18">
        <v>25</v>
      </c>
      <c r="O115" s="18">
        <v>20</v>
      </c>
      <c r="P115" s="18">
        <v>20</v>
      </c>
      <c r="Q115" s="18">
        <v>25</v>
      </c>
    </row>
    <row r="116" spans="1:17" x14ac:dyDescent="0.2">
      <c r="A116" s="16" t="s">
        <v>183</v>
      </c>
      <c r="B116" s="9" t="s">
        <v>118</v>
      </c>
      <c r="C116" s="18" t="s">
        <v>190</v>
      </c>
      <c r="D116" s="18" t="s">
        <v>190</v>
      </c>
      <c r="E116" s="18" t="s">
        <v>190</v>
      </c>
      <c r="F116" s="18" t="s">
        <v>190</v>
      </c>
      <c r="G116" s="18" t="s">
        <v>190</v>
      </c>
      <c r="H116" s="18">
        <v>25</v>
      </c>
      <c r="I116" s="18">
        <v>25</v>
      </c>
      <c r="J116" s="18">
        <v>25</v>
      </c>
      <c r="K116" s="18">
        <v>25</v>
      </c>
      <c r="L116" s="18">
        <v>25</v>
      </c>
      <c r="M116" s="18">
        <v>35</v>
      </c>
      <c r="N116" s="18">
        <v>35</v>
      </c>
      <c r="O116" s="18">
        <v>35</v>
      </c>
      <c r="P116" s="18">
        <v>30</v>
      </c>
      <c r="Q116" s="18">
        <v>30</v>
      </c>
    </row>
    <row r="117" spans="1:17" x14ac:dyDescent="0.2">
      <c r="A117" s="16" t="s">
        <v>183</v>
      </c>
      <c r="B117" s="9" t="s">
        <v>184</v>
      </c>
      <c r="C117" s="18" t="s">
        <v>190</v>
      </c>
      <c r="D117" s="18" t="s">
        <v>190</v>
      </c>
      <c r="E117" s="18" t="s">
        <v>190</v>
      </c>
      <c r="F117" s="18" t="s">
        <v>190</v>
      </c>
      <c r="G117" s="18" t="s">
        <v>190</v>
      </c>
      <c r="H117" s="18">
        <v>285</v>
      </c>
      <c r="I117" s="18">
        <v>285</v>
      </c>
      <c r="J117" s="18">
        <v>300</v>
      </c>
      <c r="K117" s="18">
        <v>340</v>
      </c>
      <c r="L117" s="18">
        <v>355</v>
      </c>
      <c r="M117" s="18">
        <v>370</v>
      </c>
      <c r="N117" s="18">
        <v>375</v>
      </c>
      <c r="O117" s="18">
        <v>385</v>
      </c>
      <c r="P117" s="18">
        <v>390</v>
      </c>
      <c r="Q117" s="18">
        <v>415</v>
      </c>
    </row>
    <row r="118" spans="1:17" ht="28.5" customHeight="1" x14ac:dyDescent="0.2">
      <c r="A118" s="17" t="s">
        <v>185</v>
      </c>
      <c r="B118" s="17" t="s">
        <v>111</v>
      </c>
      <c r="C118" s="18" t="s">
        <v>190</v>
      </c>
      <c r="D118" s="18" t="s">
        <v>190</v>
      </c>
      <c r="E118" s="18" t="s">
        <v>190</v>
      </c>
      <c r="F118" s="18" t="s">
        <v>190</v>
      </c>
      <c r="G118" s="18" t="s">
        <v>190</v>
      </c>
      <c r="H118" s="18">
        <v>35</v>
      </c>
      <c r="I118" s="18">
        <v>40</v>
      </c>
      <c r="J118" s="18">
        <v>35</v>
      </c>
      <c r="K118" s="18">
        <v>45</v>
      </c>
      <c r="L118" s="18">
        <v>50</v>
      </c>
      <c r="M118" s="18">
        <v>45</v>
      </c>
      <c r="N118" s="18">
        <v>45</v>
      </c>
      <c r="O118" s="18">
        <v>55</v>
      </c>
      <c r="P118" s="18">
        <v>55</v>
      </c>
      <c r="Q118" s="18">
        <v>60</v>
      </c>
    </row>
    <row r="119" spans="1:17" x14ac:dyDescent="0.2">
      <c r="A119" s="17" t="s">
        <v>185</v>
      </c>
      <c r="B119" s="9" t="s">
        <v>186</v>
      </c>
      <c r="C119" s="18" t="s">
        <v>190</v>
      </c>
      <c r="D119" s="18" t="s">
        <v>190</v>
      </c>
      <c r="E119" s="18" t="s">
        <v>190</v>
      </c>
      <c r="F119" s="18" t="s">
        <v>190</v>
      </c>
      <c r="G119" s="18" t="s">
        <v>190</v>
      </c>
      <c r="H119" s="18">
        <v>595</v>
      </c>
      <c r="I119" s="18">
        <v>595</v>
      </c>
      <c r="J119" s="18">
        <v>620</v>
      </c>
      <c r="K119" s="18">
        <v>650</v>
      </c>
      <c r="L119" s="18">
        <v>685</v>
      </c>
      <c r="M119" s="18">
        <v>675</v>
      </c>
      <c r="N119" s="18">
        <v>700</v>
      </c>
      <c r="O119" s="18">
        <v>715</v>
      </c>
      <c r="P119" s="18">
        <v>740</v>
      </c>
      <c r="Q119" s="18">
        <v>775</v>
      </c>
    </row>
    <row r="120" spans="1:17" x14ac:dyDescent="0.2">
      <c r="A120" s="17" t="s">
        <v>185</v>
      </c>
      <c r="B120" s="9" t="s">
        <v>151</v>
      </c>
      <c r="C120" s="18" t="s">
        <v>190</v>
      </c>
      <c r="D120" s="18" t="s">
        <v>190</v>
      </c>
      <c r="E120" s="18" t="s">
        <v>190</v>
      </c>
      <c r="F120" s="18" t="s">
        <v>190</v>
      </c>
      <c r="G120" s="18" t="s">
        <v>190</v>
      </c>
      <c r="H120" s="18">
        <v>765</v>
      </c>
      <c r="I120" s="18">
        <v>755</v>
      </c>
      <c r="J120" s="18">
        <v>775</v>
      </c>
      <c r="K120" s="18">
        <v>825</v>
      </c>
      <c r="L120" s="18">
        <v>875</v>
      </c>
      <c r="M120" s="18">
        <v>880</v>
      </c>
      <c r="N120" s="18">
        <v>895</v>
      </c>
      <c r="O120" s="18">
        <v>915</v>
      </c>
      <c r="P120" s="18">
        <v>970</v>
      </c>
      <c r="Q120" s="18">
        <v>1020</v>
      </c>
    </row>
    <row r="121" spans="1:17" ht="28.5" customHeight="1" x14ac:dyDescent="0.2">
      <c r="A121" s="91" t="s">
        <v>270</v>
      </c>
      <c r="B121" s="92" t="s">
        <v>271</v>
      </c>
      <c r="C121" s="61" t="s">
        <v>190</v>
      </c>
      <c r="D121" s="61" t="s">
        <v>190</v>
      </c>
      <c r="E121" s="61" t="s">
        <v>190</v>
      </c>
      <c r="F121" s="61" t="s">
        <v>190</v>
      </c>
      <c r="G121" s="61" t="s">
        <v>190</v>
      </c>
      <c r="H121" s="61">
        <v>5</v>
      </c>
      <c r="I121" s="61">
        <v>10</v>
      </c>
      <c r="J121" s="61">
        <v>10</v>
      </c>
      <c r="K121" s="61">
        <v>10</v>
      </c>
      <c r="L121" s="61">
        <v>10</v>
      </c>
      <c r="M121" s="61">
        <v>10</v>
      </c>
      <c r="N121" s="18">
        <v>10</v>
      </c>
      <c r="O121" s="18">
        <v>10</v>
      </c>
      <c r="P121" s="18">
        <v>10</v>
      </c>
      <c r="Q121" s="18">
        <v>10</v>
      </c>
    </row>
    <row r="122" spans="1:17" x14ac:dyDescent="0.2">
      <c r="A122" s="91" t="s">
        <v>270</v>
      </c>
      <c r="B122" s="92" t="s">
        <v>272</v>
      </c>
      <c r="C122" s="61" t="s">
        <v>190</v>
      </c>
      <c r="D122" s="61" t="s">
        <v>190</v>
      </c>
      <c r="E122" s="61" t="s">
        <v>190</v>
      </c>
      <c r="F122" s="61" t="s">
        <v>190</v>
      </c>
      <c r="G122" s="61" t="s">
        <v>190</v>
      </c>
      <c r="H122" s="61">
        <v>10</v>
      </c>
      <c r="I122" s="61">
        <v>5</v>
      </c>
      <c r="J122" s="61">
        <v>10</v>
      </c>
      <c r="K122" s="61">
        <v>10</v>
      </c>
      <c r="L122" s="61">
        <v>10</v>
      </c>
      <c r="M122" s="61">
        <v>10</v>
      </c>
      <c r="N122" s="18">
        <v>10</v>
      </c>
      <c r="O122" s="18">
        <v>10</v>
      </c>
      <c r="P122" s="18">
        <v>10</v>
      </c>
      <c r="Q122" s="18">
        <v>10</v>
      </c>
    </row>
    <row r="123" spans="1:17" x14ac:dyDescent="0.2">
      <c r="A123" s="91" t="s">
        <v>270</v>
      </c>
      <c r="B123" s="92" t="s">
        <v>273</v>
      </c>
      <c r="C123" s="61" t="s">
        <v>190</v>
      </c>
      <c r="D123" s="61" t="s">
        <v>190</v>
      </c>
      <c r="E123" s="61" t="s">
        <v>190</v>
      </c>
      <c r="F123" s="61" t="s">
        <v>190</v>
      </c>
      <c r="G123" s="61" t="s">
        <v>190</v>
      </c>
      <c r="H123" s="61">
        <v>10</v>
      </c>
      <c r="I123" s="61">
        <v>10</v>
      </c>
      <c r="J123" s="61">
        <v>10</v>
      </c>
      <c r="K123" s="61">
        <v>10</v>
      </c>
      <c r="L123" s="61">
        <v>10</v>
      </c>
      <c r="M123" s="61">
        <v>10</v>
      </c>
      <c r="N123" s="18">
        <v>10</v>
      </c>
      <c r="O123" s="18">
        <v>10</v>
      </c>
      <c r="P123" s="18">
        <v>10</v>
      </c>
      <c r="Q123" s="18">
        <v>10</v>
      </c>
    </row>
    <row r="124" spans="1:17" x14ac:dyDescent="0.2">
      <c r="A124" s="91" t="s">
        <v>270</v>
      </c>
      <c r="B124" s="92" t="s">
        <v>274</v>
      </c>
      <c r="C124" s="61" t="s">
        <v>190</v>
      </c>
      <c r="D124" s="61" t="s">
        <v>190</v>
      </c>
      <c r="E124" s="61" t="s">
        <v>190</v>
      </c>
      <c r="F124" s="61" t="s">
        <v>190</v>
      </c>
      <c r="G124" s="61" t="s">
        <v>190</v>
      </c>
      <c r="H124" s="61">
        <v>15</v>
      </c>
      <c r="I124" s="61">
        <v>20</v>
      </c>
      <c r="J124" s="61">
        <v>15</v>
      </c>
      <c r="K124" s="61">
        <v>20</v>
      </c>
      <c r="L124" s="61">
        <v>20</v>
      </c>
      <c r="M124" s="61">
        <v>20</v>
      </c>
      <c r="N124" s="18">
        <v>20</v>
      </c>
      <c r="O124" s="18">
        <v>20</v>
      </c>
      <c r="P124" s="18">
        <v>20</v>
      </c>
      <c r="Q124" s="18">
        <v>25</v>
      </c>
    </row>
    <row r="125" spans="1:17" x14ac:dyDescent="0.2">
      <c r="A125" s="91" t="s">
        <v>270</v>
      </c>
      <c r="B125" s="92" t="s">
        <v>275</v>
      </c>
      <c r="C125" s="61" t="s">
        <v>190</v>
      </c>
      <c r="D125" s="61" t="s">
        <v>190</v>
      </c>
      <c r="E125" s="61" t="s">
        <v>190</v>
      </c>
      <c r="F125" s="61" t="s">
        <v>190</v>
      </c>
      <c r="G125" s="61" t="s">
        <v>190</v>
      </c>
      <c r="H125" s="61">
        <v>15</v>
      </c>
      <c r="I125" s="61">
        <v>15</v>
      </c>
      <c r="J125" s="61">
        <v>15</v>
      </c>
      <c r="K125" s="61">
        <v>15</v>
      </c>
      <c r="L125" s="61">
        <v>20</v>
      </c>
      <c r="M125" s="61">
        <v>20</v>
      </c>
      <c r="N125" s="18">
        <v>25</v>
      </c>
      <c r="O125" s="18">
        <v>25</v>
      </c>
      <c r="P125" s="18">
        <v>20</v>
      </c>
      <c r="Q125" s="18">
        <v>25</v>
      </c>
    </row>
    <row r="126" spans="1:17" x14ac:dyDescent="0.2">
      <c r="A126" s="91" t="s">
        <v>270</v>
      </c>
      <c r="B126" s="92" t="s">
        <v>276</v>
      </c>
      <c r="C126" s="61" t="s">
        <v>190</v>
      </c>
      <c r="D126" s="61" t="s">
        <v>190</v>
      </c>
      <c r="E126" s="61" t="s">
        <v>190</v>
      </c>
      <c r="F126" s="61" t="s">
        <v>190</v>
      </c>
      <c r="G126" s="61" t="s">
        <v>190</v>
      </c>
      <c r="H126" s="61">
        <v>5</v>
      </c>
      <c r="I126" s="61">
        <v>5</v>
      </c>
      <c r="J126" s="61">
        <v>5</v>
      </c>
      <c r="K126" s="61">
        <v>5</v>
      </c>
      <c r="L126" s="61">
        <v>5</v>
      </c>
      <c r="M126" s="61">
        <v>5</v>
      </c>
      <c r="N126" s="18">
        <v>5</v>
      </c>
      <c r="O126" s="18">
        <v>5</v>
      </c>
      <c r="P126" s="18">
        <v>0</v>
      </c>
      <c r="Q126" s="18">
        <v>0</v>
      </c>
    </row>
    <row r="127" spans="1:17" x14ac:dyDescent="0.2">
      <c r="A127" s="91" t="s">
        <v>270</v>
      </c>
      <c r="B127" s="92" t="s">
        <v>277</v>
      </c>
      <c r="C127" s="61" t="s">
        <v>190</v>
      </c>
      <c r="D127" s="61" t="s">
        <v>190</v>
      </c>
      <c r="E127" s="61" t="s">
        <v>190</v>
      </c>
      <c r="F127" s="61" t="s">
        <v>190</v>
      </c>
      <c r="G127" s="61" t="s">
        <v>190</v>
      </c>
      <c r="H127" s="61">
        <v>25</v>
      </c>
      <c r="I127" s="61">
        <v>25</v>
      </c>
      <c r="J127" s="61">
        <v>25</v>
      </c>
      <c r="K127" s="61">
        <v>20</v>
      </c>
      <c r="L127" s="61">
        <v>25</v>
      </c>
      <c r="M127" s="61">
        <v>30</v>
      </c>
      <c r="N127" s="18">
        <v>35</v>
      </c>
      <c r="O127" s="18">
        <v>30</v>
      </c>
      <c r="P127" s="18">
        <v>30</v>
      </c>
      <c r="Q127" s="18">
        <v>30</v>
      </c>
    </row>
    <row r="128" spans="1:17" x14ac:dyDescent="0.2">
      <c r="A128" s="91" t="s">
        <v>270</v>
      </c>
      <c r="B128" s="92" t="s">
        <v>278</v>
      </c>
      <c r="C128" s="61" t="s">
        <v>190</v>
      </c>
      <c r="D128" s="61" t="s">
        <v>190</v>
      </c>
      <c r="E128" s="61" t="s">
        <v>190</v>
      </c>
      <c r="F128" s="61" t="s">
        <v>190</v>
      </c>
      <c r="G128" s="61" t="s">
        <v>190</v>
      </c>
      <c r="H128" s="61">
        <v>0</v>
      </c>
      <c r="I128" s="61">
        <v>0</v>
      </c>
      <c r="J128" s="61">
        <v>0</v>
      </c>
      <c r="K128" s="61">
        <v>0</v>
      </c>
      <c r="L128" s="61">
        <v>0</v>
      </c>
      <c r="M128" s="61">
        <v>0</v>
      </c>
      <c r="N128" s="18">
        <v>0</v>
      </c>
      <c r="O128" s="18">
        <v>0</v>
      </c>
      <c r="P128" s="18">
        <v>0</v>
      </c>
      <c r="Q128" s="18">
        <v>0</v>
      </c>
    </row>
    <row r="129" spans="1:17" x14ac:dyDescent="0.2">
      <c r="A129" s="91" t="s">
        <v>270</v>
      </c>
      <c r="B129" s="92" t="s">
        <v>279</v>
      </c>
      <c r="C129" s="61" t="s">
        <v>190</v>
      </c>
      <c r="D129" s="61" t="s">
        <v>190</v>
      </c>
      <c r="E129" s="61" t="s">
        <v>190</v>
      </c>
      <c r="F129" s="61" t="s">
        <v>190</v>
      </c>
      <c r="G129" s="61" t="s">
        <v>190</v>
      </c>
      <c r="H129" s="61">
        <v>5</v>
      </c>
      <c r="I129" s="61">
        <v>5</v>
      </c>
      <c r="J129" s="61">
        <v>5</v>
      </c>
      <c r="K129" s="61">
        <v>5</v>
      </c>
      <c r="L129" s="61">
        <v>5</v>
      </c>
      <c r="M129" s="61">
        <v>5</v>
      </c>
      <c r="N129" s="18">
        <v>5</v>
      </c>
      <c r="O129" s="18">
        <v>5</v>
      </c>
      <c r="P129" s="18">
        <v>5</v>
      </c>
      <c r="Q129" s="18">
        <v>5</v>
      </c>
    </row>
    <row r="130" spans="1:17" ht="28.5" customHeight="1" x14ac:dyDescent="0.2">
      <c r="A130" s="91" t="s">
        <v>263</v>
      </c>
      <c r="B130" s="92" t="s">
        <v>280</v>
      </c>
      <c r="C130" s="61" t="s">
        <v>190</v>
      </c>
      <c r="D130" s="61" t="s">
        <v>190</v>
      </c>
      <c r="E130" s="61" t="s">
        <v>190</v>
      </c>
      <c r="F130" s="61" t="s">
        <v>190</v>
      </c>
      <c r="G130" s="61" t="s">
        <v>190</v>
      </c>
      <c r="H130" s="61">
        <v>460</v>
      </c>
      <c r="I130" s="61">
        <v>460</v>
      </c>
      <c r="J130" s="61">
        <v>470</v>
      </c>
      <c r="K130" s="61">
        <v>490</v>
      </c>
      <c r="L130" s="61">
        <v>520</v>
      </c>
      <c r="M130" s="61">
        <v>515</v>
      </c>
      <c r="N130" s="18">
        <v>525</v>
      </c>
      <c r="O130" s="18">
        <v>555</v>
      </c>
      <c r="P130" s="18">
        <v>590</v>
      </c>
      <c r="Q130" s="18">
        <v>600</v>
      </c>
    </row>
    <row r="131" spans="1:17" x14ac:dyDescent="0.2">
      <c r="A131" s="91" t="s">
        <v>263</v>
      </c>
      <c r="B131" s="92" t="s">
        <v>264</v>
      </c>
      <c r="C131" s="61" t="s">
        <v>190</v>
      </c>
      <c r="D131" s="61" t="s">
        <v>190</v>
      </c>
      <c r="E131" s="61" t="s">
        <v>190</v>
      </c>
      <c r="F131" s="61" t="s">
        <v>190</v>
      </c>
      <c r="G131" s="61" t="s">
        <v>190</v>
      </c>
      <c r="H131" s="61">
        <v>710</v>
      </c>
      <c r="I131" s="61">
        <v>690</v>
      </c>
      <c r="J131" s="61">
        <v>665</v>
      </c>
      <c r="K131" s="61">
        <v>730</v>
      </c>
      <c r="L131" s="61">
        <v>765</v>
      </c>
      <c r="M131" s="61">
        <v>770</v>
      </c>
      <c r="N131" s="18">
        <v>780</v>
      </c>
      <c r="O131" s="18">
        <v>810</v>
      </c>
      <c r="P131" s="18">
        <v>830</v>
      </c>
      <c r="Q131" s="18">
        <v>865</v>
      </c>
    </row>
    <row r="132" spans="1:17" x14ac:dyDescent="0.2">
      <c r="A132" s="91" t="s">
        <v>263</v>
      </c>
      <c r="B132" s="92" t="s">
        <v>265</v>
      </c>
      <c r="C132" s="61" t="s">
        <v>190</v>
      </c>
      <c r="D132" s="61" t="s">
        <v>190</v>
      </c>
      <c r="E132" s="61" t="s">
        <v>190</v>
      </c>
      <c r="F132" s="61" t="s">
        <v>190</v>
      </c>
      <c r="G132" s="61" t="s">
        <v>190</v>
      </c>
      <c r="H132" s="61">
        <v>730</v>
      </c>
      <c r="I132" s="61">
        <v>745</v>
      </c>
      <c r="J132" s="61">
        <v>750</v>
      </c>
      <c r="K132" s="61">
        <v>825</v>
      </c>
      <c r="L132" s="61">
        <v>885</v>
      </c>
      <c r="M132" s="61">
        <v>925</v>
      </c>
      <c r="N132" s="18">
        <v>910</v>
      </c>
      <c r="O132" s="18">
        <v>920</v>
      </c>
      <c r="P132" s="18">
        <v>1005</v>
      </c>
      <c r="Q132" s="18">
        <v>1120</v>
      </c>
    </row>
    <row r="133" spans="1:17" x14ac:dyDescent="0.2">
      <c r="A133" s="91" t="s">
        <v>263</v>
      </c>
      <c r="B133" s="92" t="s">
        <v>266</v>
      </c>
      <c r="C133" s="61" t="s">
        <v>190</v>
      </c>
      <c r="D133" s="61" t="s">
        <v>190</v>
      </c>
      <c r="E133" s="61" t="s">
        <v>190</v>
      </c>
      <c r="F133" s="61" t="s">
        <v>190</v>
      </c>
      <c r="G133" s="61" t="s">
        <v>190</v>
      </c>
      <c r="H133" s="61">
        <v>975</v>
      </c>
      <c r="I133" s="61">
        <v>985</v>
      </c>
      <c r="J133" s="61">
        <v>1025</v>
      </c>
      <c r="K133" s="61">
        <v>1150</v>
      </c>
      <c r="L133" s="61">
        <v>1235</v>
      </c>
      <c r="M133" s="61">
        <v>1290</v>
      </c>
      <c r="N133" s="18">
        <v>1340</v>
      </c>
      <c r="O133" s="18">
        <v>1375</v>
      </c>
      <c r="P133" s="18">
        <v>1430</v>
      </c>
      <c r="Q133" s="18">
        <v>1505</v>
      </c>
    </row>
    <row r="134" spans="1:17" x14ac:dyDescent="0.2">
      <c r="A134" s="91" t="s">
        <v>263</v>
      </c>
      <c r="B134" s="92" t="s">
        <v>281</v>
      </c>
      <c r="C134" s="61" t="s">
        <v>190</v>
      </c>
      <c r="D134" s="61" t="s">
        <v>190</v>
      </c>
      <c r="E134" s="61" t="s">
        <v>190</v>
      </c>
      <c r="F134" s="61" t="s">
        <v>190</v>
      </c>
      <c r="G134" s="61" t="s">
        <v>190</v>
      </c>
      <c r="H134" s="61">
        <v>665</v>
      </c>
      <c r="I134" s="61">
        <v>645</v>
      </c>
      <c r="J134" s="61">
        <v>665</v>
      </c>
      <c r="K134" s="61">
        <v>765</v>
      </c>
      <c r="L134" s="61">
        <v>860</v>
      </c>
      <c r="M134" s="61">
        <v>890</v>
      </c>
      <c r="N134" s="18">
        <v>880</v>
      </c>
      <c r="O134" s="18">
        <v>885</v>
      </c>
      <c r="P134" s="18">
        <v>900</v>
      </c>
      <c r="Q134" s="18">
        <v>925</v>
      </c>
    </row>
  </sheetData>
  <phoneticPr fontId="44" type="noConversion"/>
  <hyperlinks>
    <hyperlink ref="A11" location="Contents!A1" display="This cell contains a hyperlink to the Table of Contents" xr:uid="{00000000-0004-0000-0600-000000000000}"/>
    <hyperlink ref="A8" r:id="rId1" xr:uid="{1CAD9790-91FF-4271-AEE5-7D21AB3492A1}"/>
    <hyperlink ref="A9" r:id="rId2" xr:uid="{B7A8B5A4-5C9A-407A-AF31-330EFA5C828E}"/>
  </hyperlinks>
  <pageMargins left="0.7" right="0.7" top="0.75" bottom="0.75" header="0.3" footer="0.3"/>
  <pageSetup paperSize="9" scale="30" orientation="portrait"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134"/>
  <sheetViews>
    <sheetView showGridLines="0" zoomScaleNormal="100" workbookViewId="0"/>
  </sheetViews>
  <sheetFormatPr defaultColWidth="9.140625" defaultRowHeight="15" x14ac:dyDescent="0.2"/>
  <cols>
    <col min="1" max="1" width="61.42578125" style="13" customWidth="1"/>
    <col min="2" max="2" width="54.42578125" style="9" customWidth="1"/>
    <col min="3" max="12" width="11.42578125" style="14" bestFit="1" customWidth="1"/>
    <col min="13" max="17" width="11.42578125" style="13" customWidth="1"/>
    <col min="18" max="16384" width="9.140625" style="13"/>
  </cols>
  <sheetData>
    <row r="1" spans="1:17" ht="20.25" x14ac:dyDescent="0.3">
      <c r="A1" s="22" t="s">
        <v>295</v>
      </c>
      <c r="B1" s="13"/>
      <c r="I1" s="14" t="s">
        <v>0</v>
      </c>
    </row>
    <row r="2" spans="1:17" x14ac:dyDescent="0.2">
      <c r="A2" s="9" t="s">
        <v>152</v>
      </c>
      <c r="B2" s="13"/>
    </row>
    <row r="3" spans="1:17" x14ac:dyDescent="0.2">
      <c r="A3" s="9" t="s">
        <v>233</v>
      </c>
      <c r="B3" s="13"/>
    </row>
    <row r="4" spans="1:17" x14ac:dyDescent="0.2">
      <c r="A4" s="9" t="s">
        <v>297</v>
      </c>
      <c r="B4" s="13"/>
    </row>
    <row r="5" spans="1:17" x14ac:dyDescent="0.2">
      <c r="A5" s="9" t="s">
        <v>302</v>
      </c>
      <c r="B5" s="13"/>
    </row>
    <row r="6" spans="1:17" x14ac:dyDescent="0.2">
      <c r="A6" s="9" t="s">
        <v>191</v>
      </c>
      <c r="B6" s="13"/>
    </row>
    <row r="7" spans="1:17" ht="15" customHeight="1" x14ac:dyDescent="0.2">
      <c r="A7" s="9" t="s">
        <v>339</v>
      </c>
      <c r="B7" s="13"/>
    </row>
    <row r="8" spans="1:17" x14ac:dyDescent="0.2">
      <c r="A8" s="3" t="s">
        <v>340</v>
      </c>
      <c r="B8" s="13"/>
    </row>
    <row r="9" spans="1:17" x14ac:dyDescent="0.2">
      <c r="A9" s="3" t="s">
        <v>341</v>
      </c>
      <c r="B9" s="13"/>
    </row>
    <row r="10" spans="1:17" s="27" customFormat="1" x14ac:dyDescent="0.25">
      <c r="A10" s="26" t="s">
        <v>338</v>
      </c>
      <c r="C10" s="28"/>
      <c r="D10" s="28"/>
      <c r="E10" s="28"/>
      <c r="F10" s="28"/>
      <c r="G10" s="28"/>
      <c r="H10" s="28"/>
      <c r="I10" s="28"/>
      <c r="J10" s="28"/>
      <c r="K10" s="28"/>
      <c r="L10" s="28"/>
    </row>
    <row r="11" spans="1:17" s="27" customFormat="1" ht="30" customHeight="1" x14ac:dyDescent="0.25">
      <c r="A11" s="35" t="s">
        <v>232</v>
      </c>
      <c r="C11" s="28"/>
      <c r="D11" s="28"/>
      <c r="E11" s="28"/>
      <c r="F11" s="28"/>
      <c r="G11" s="28"/>
      <c r="H11" s="28"/>
      <c r="I11" s="28"/>
      <c r="J11" s="28"/>
      <c r="K11" s="28"/>
      <c r="L11" s="28"/>
    </row>
    <row r="12" spans="1:17" ht="15.75" customHeight="1" x14ac:dyDescent="0.2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80" t="s">
        <v>257</v>
      </c>
      <c r="P12" s="80" t="s">
        <v>316</v>
      </c>
      <c r="Q12" s="80" t="s">
        <v>337</v>
      </c>
    </row>
    <row r="13" spans="1:17" x14ac:dyDescent="0.2">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18" t="s">
        <v>190</v>
      </c>
      <c r="P13" s="18" t="s">
        <v>190</v>
      </c>
      <c r="Q13" s="18" t="s">
        <v>190</v>
      </c>
    </row>
    <row r="14" spans="1:17" x14ac:dyDescent="0.2">
      <c r="A14" s="16" t="s">
        <v>178</v>
      </c>
      <c r="B14" s="17" t="s">
        <v>1</v>
      </c>
      <c r="C14" s="18">
        <v>800</v>
      </c>
      <c r="D14" s="18">
        <v>820</v>
      </c>
      <c r="E14" s="18">
        <v>860</v>
      </c>
      <c r="F14" s="18">
        <v>890</v>
      </c>
      <c r="G14" s="18">
        <v>920</v>
      </c>
      <c r="H14" s="18">
        <v>970</v>
      </c>
      <c r="I14" s="18">
        <v>1000</v>
      </c>
      <c r="J14" s="18">
        <v>1040</v>
      </c>
      <c r="K14" s="18">
        <v>1100</v>
      </c>
      <c r="L14" s="18">
        <v>1225</v>
      </c>
      <c r="M14" s="18">
        <v>1265</v>
      </c>
      <c r="N14" s="18">
        <v>1260</v>
      </c>
      <c r="O14" s="18">
        <v>1295</v>
      </c>
      <c r="P14" s="18">
        <v>1355</v>
      </c>
      <c r="Q14" s="18">
        <v>1415</v>
      </c>
    </row>
    <row r="15" spans="1:17" ht="35.450000000000003" customHeight="1" x14ac:dyDescent="0.2">
      <c r="A15" s="17" t="s">
        <v>179</v>
      </c>
      <c r="B15" s="17" t="s">
        <v>35</v>
      </c>
      <c r="C15" s="18">
        <v>190</v>
      </c>
      <c r="D15" s="18">
        <v>205</v>
      </c>
      <c r="E15" s="18">
        <v>225</v>
      </c>
      <c r="F15" s="18">
        <v>245</v>
      </c>
      <c r="G15" s="18">
        <v>255</v>
      </c>
      <c r="H15" s="18">
        <v>265</v>
      </c>
      <c r="I15" s="18">
        <v>295</v>
      </c>
      <c r="J15" s="18">
        <v>300</v>
      </c>
      <c r="K15" s="18">
        <v>285</v>
      </c>
      <c r="L15" s="18">
        <v>340</v>
      </c>
      <c r="M15" s="18">
        <v>360</v>
      </c>
      <c r="N15" s="18">
        <v>340</v>
      </c>
      <c r="O15" s="81">
        <v>350</v>
      </c>
      <c r="P15" s="81">
        <v>345</v>
      </c>
      <c r="Q15" s="81">
        <v>365</v>
      </c>
    </row>
    <row r="16" spans="1:17" x14ac:dyDescent="0.2">
      <c r="A16" s="16" t="s">
        <v>179</v>
      </c>
      <c r="B16" s="17" t="s">
        <v>36</v>
      </c>
      <c r="C16" s="18">
        <v>410</v>
      </c>
      <c r="D16" s="18">
        <v>430</v>
      </c>
      <c r="E16" s="18">
        <v>435</v>
      </c>
      <c r="F16" s="18">
        <v>450</v>
      </c>
      <c r="G16" s="18">
        <v>460</v>
      </c>
      <c r="H16" s="18">
        <v>475</v>
      </c>
      <c r="I16" s="18">
        <v>480</v>
      </c>
      <c r="J16" s="18">
        <v>490</v>
      </c>
      <c r="K16" s="18">
        <v>500</v>
      </c>
      <c r="L16" s="18">
        <v>530</v>
      </c>
      <c r="M16" s="18">
        <v>515</v>
      </c>
      <c r="N16" s="18">
        <v>515</v>
      </c>
      <c r="O16" s="81">
        <v>535</v>
      </c>
      <c r="P16" s="81">
        <v>570</v>
      </c>
      <c r="Q16" s="81">
        <v>585</v>
      </c>
    </row>
    <row r="17" spans="1:17" x14ac:dyDescent="0.2">
      <c r="A17" s="16" t="s">
        <v>179</v>
      </c>
      <c r="B17" s="17" t="s">
        <v>37</v>
      </c>
      <c r="C17" s="18">
        <v>325</v>
      </c>
      <c r="D17" s="18">
        <v>330</v>
      </c>
      <c r="E17" s="18">
        <v>340</v>
      </c>
      <c r="F17" s="18">
        <v>345</v>
      </c>
      <c r="G17" s="18">
        <v>355</v>
      </c>
      <c r="H17" s="18">
        <v>360</v>
      </c>
      <c r="I17" s="18">
        <v>375</v>
      </c>
      <c r="J17" s="18">
        <v>375</v>
      </c>
      <c r="K17" s="18">
        <v>425</v>
      </c>
      <c r="L17" s="18">
        <v>460</v>
      </c>
      <c r="M17" s="18">
        <v>470</v>
      </c>
      <c r="N17" s="18">
        <v>465</v>
      </c>
      <c r="O17" s="81">
        <v>485</v>
      </c>
      <c r="P17" s="81">
        <v>535</v>
      </c>
      <c r="Q17" s="81">
        <v>550</v>
      </c>
    </row>
    <row r="18" spans="1:17" x14ac:dyDescent="0.2">
      <c r="A18" s="16" t="s">
        <v>179</v>
      </c>
      <c r="B18" s="17" t="s">
        <v>236</v>
      </c>
      <c r="C18" s="18">
        <v>105</v>
      </c>
      <c r="D18" s="18">
        <v>100</v>
      </c>
      <c r="E18" s="18">
        <v>95</v>
      </c>
      <c r="F18" s="18">
        <v>105</v>
      </c>
      <c r="G18" s="18">
        <v>105</v>
      </c>
      <c r="H18" s="18">
        <v>110</v>
      </c>
      <c r="I18" s="18">
        <v>110</v>
      </c>
      <c r="J18" s="18">
        <v>110</v>
      </c>
      <c r="K18" s="18">
        <v>115</v>
      </c>
      <c r="L18" s="18">
        <v>135</v>
      </c>
      <c r="M18" s="18">
        <v>125</v>
      </c>
      <c r="N18" s="18">
        <v>130</v>
      </c>
      <c r="O18" s="81">
        <v>125</v>
      </c>
      <c r="P18" s="81">
        <v>140</v>
      </c>
      <c r="Q18" s="81">
        <v>145</v>
      </c>
    </row>
    <row r="19" spans="1:17" x14ac:dyDescent="0.2">
      <c r="A19" s="16" t="s">
        <v>179</v>
      </c>
      <c r="B19" s="17" t="s">
        <v>38</v>
      </c>
      <c r="C19" s="18">
        <v>135</v>
      </c>
      <c r="D19" s="18">
        <v>130</v>
      </c>
      <c r="E19" s="18">
        <v>130</v>
      </c>
      <c r="F19" s="18">
        <v>140</v>
      </c>
      <c r="G19" s="18">
        <v>140</v>
      </c>
      <c r="H19" s="18">
        <v>140</v>
      </c>
      <c r="I19" s="18">
        <v>160</v>
      </c>
      <c r="J19" s="18">
        <v>165</v>
      </c>
      <c r="K19" s="18">
        <v>180</v>
      </c>
      <c r="L19" s="18">
        <v>195</v>
      </c>
      <c r="M19" s="18">
        <v>205</v>
      </c>
      <c r="N19" s="18">
        <v>210</v>
      </c>
      <c r="O19" s="81">
        <v>205</v>
      </c>
      <c r="P19" s="81">
        <v>215</v>
      </c>
      <c r="Q19" s="81">
        <v>210</v>
      </c>
    </row>
    <row r="20" spans="1:17" x14ac:dyDescent="0.2">
      <c r="A20" s="16" t="s">
        <v>179</v>
      </c>
      <c r="B20" s="17" t="s">
        <v>121</v>
      </c>
      <c r="C20" s="18">
        <v>105</v>
      </c>
      <c r="D20" s="18">
        <v>100</v>
      </c>
      <c r="E20" s="18">
        <v>105</v>
      </c>
      <c r="F20" s="18">
        <v>115</v>
      </c>
      <c r="G20" s="18">
        <v>105</v>
      </c>
      <c r="H20" s="18">
        <v>115</v>
      </c>
      <c r="I20" s="18">
        <v>120</v>
      </c>
      <c r="J20" s="18">
        <v>130</v>
      </c>
      <c r="K20" s="18">
        <v>145</v>
      </c>
      <c r="L20" s="18">
        <v>165</v>
      </c>
      <c r="M20" s="18">
        <v>170</v>
      </c>
      <c r="N20" s="18">
        <v>170</v>
      </c>
      <c r="O20" s="81">
        <v>170</v>
      </c>
      <c r="P20" s="81">
        <v>170</v>
      </c>
      <c r="Q20" s="81">
        <v>175</v>
      </c>
    </row>
    <row r="21" spans="1:17" x14ac:dyDescent="0.2">
      <c r="A21" s="16" t="s">
        <v>179</v>
      </c>
      <c r="B21" s="17" t="s">
        <v>39</v>
      </c>
      <c r="C21" s="18">
        <v>75</v>
      </c>
      <c r="D21" s="18">
        <v>80</v>
      </c>
      <c r="E21" s="18">
        <v>85</v>
      </c>
      <c r="F21" s="18">
        <v>85</v>
      </c>
      <c r="G21" s="18">
        <v>85</v>
      </c>
      <c r="H21" s="18">
        <v>85</v>
      </c>
      <c r="I21" s="18">
        <v>90</v>
      </c>
      <c r="J21" s="18">
        <v>90</v>
      </c>
      <c r="K21" s="18">
        <v>100</v>
      </c>
      <c r="L21" s="18">
        <v>105</v>
      </c>
      <c r="M21" s="18">
        <v>95</v>
      </c>
      <c r="N21" s="18">
        <v>100</v>
      </c>
      <c r="O21" s="81">
        <v>105</v>
      </c>
      <c r="P21" s="81">
        <v>115</v>
      </c>
      <c r="Q21" s="81">
        <v>110</v>
      </c>
    </row>
    <row r="22" spans="1:17" x14ac:dyDescent="0.2">
      <c r="A22" s="16" t="s">
        <v>179</v>
      </c>
      <c r="B22" s="17" t="s">
        <v>40</v>
      </c>
      <c r="C22" s="18">
        <v>55</v>
      </c>
      <c r="D22" s="18">
        <v>50</v>
      </c>
      <c r="E22" s="18">
        <v>55</v>
      </c>
      <c r="F22" s="18">
        <v>60</v>
      </c>
      <c r="G22" s="18">
        <v>60</v>
      </c>
      <c r="H22" s="18">
        <v>65</v>
      </c>
      <c r="I22" s="18">
        <v>65</v>
      </c>
      <c r="J22" s="18">
        <v>60</v>
      </c>
      <c r="K22" s="18">
        <v>65</v>
      </c>
      <c r="L22" s="18">
        <v>70</v>
      </c>
      <c r="M22" s="18">
        <v>75</v>
      </c>
      <c r="N22" s="18">
        <v>75</v>
      </c>
      <c r="O22" s="81">
        <v>80</v>
      </c>
      <c r="P22" s="81">
        <v>90</v>
      </c>
      <c r="Q22" s="81">
        <v>95</v>
      </c>
    </row>
    <row r="23" spans="1:17" ht="36.6" customHeight="1" x14ac:dyDescent="0.2">
      <c r="A23" s="17" t="s">
        <v>180</v>
      </c>
      <c r="B23" s="17" t="s">
        <v>41</v>
      </c>
      <c r="C23" s="18">
        <v>30</v>
      </c>
      <c r="D23" s="18">
        <v>30</v>
      </c>
      <c r="E23" s="18">
        <v>30</v>
      </c>
      <c r="F23" s="18">
        <v>30</v>
      </c>
      <c r="G23" s="18">
        <v>30</v>
      </c>
      <c r="H23" s="18">
        <v>35</v>
      </c>
      <c r="I23" s="18">
        <v>35</v>
      </c>
      <c r="J23" s="18">
        <v>30</v>
      </c>
      <c r="K23" s="18">
        <v>45</v>
      </c>
      <c r="L23" s="18">
        <v>45</v>
      </c>
      <c r="M23" s="18">
        <v>50</v>
      </c>
      <c r="N23" s="18">
        <v>45</v>
      </c>
      <c r="O23" s="81">
        <v>50</v>
      </c>
      <c r="P23" s="81">
        <v>50</v>
      </c>
      <c r="Q23" s="81">
        <v>50</v>
      </c>
    </row>
    <row r="24" spans="1:17" x14ac:dyDescent="0.2">
      <c r="A24" s="16" t="s">
        <v>180</v>
      </c>
      <c r="B24" s="17" t="s">
        <v>42</v>
      </c>
      <c r="C24" s="18">
        <v>195</v>
      </c>
      <c r="D24" s="18">
        <v>190</v>
      </c>
      <c r="E24" s="18">
        <v>220</v>
      </c>
      <c r="F24" s="18">
        <v>240</v>
      </c>
      <c r="G24" s="18">
        <v>230</v>
      </c>
      <c r="H24" s="18">
        <v>250</v>
      </c>
      <c r="I24" s="18">
        <v>265</v>
      </c>
      <c r="J24" s="18">
        <v>280</v>
      </c>
      <c r="K24" s="18">
        <v>300</v>
      </c>
      <c r="L24" s="18">
        <v>345</v>
      </c>
      <c r="M24" s="18">
        <v>350</v>
      </c>
      <c r="N24" s="18">
        <v>365</v>
      </c>
      <c r="O24" s="81">
        <v>355</v>
      </c>
      <c r="P24" s="81">
        <v>375</v>
      </c>
      <c r="Q24" s="81">
        <v>400</v>
      </c>
    </row>
    <row r="25" spans="1:17" x14ac:dyDescent="0.2">
      <c r="A25" s="16" t="s">
        <v>180</v>
      </c>
      <c r="B25" s="17" t="s">
        <v>43</v>
      </c>
      <c r="C25" s="18">
        <v>375</v>
      </c>
      <c r="D25" s="18">
        <v>385</v>
      </c>
      <c r="E25" s="18">
        <v>385</v>
      </c>
      <c r="F25" s="18">
        <v>410</v>
      </c>
      <c r="G25" s="18">
        <v>420</v>
      </c>
      <c r="H25" s="18">
        <v>430</v>
      </c>
      <c r="I25" s="18">
        <v>430</v>
      </c>
      <c r="J25" s="18">
        <v>440</v>
      </c>
      <c r="K25" s="18">
        <v>465</v>
      </c>
      <c r="L25" s="18">
        <v>510</v>
      </c>
      <c r="M25" s="18">
        <v>495</v>
      </c>
      <c r="N25" s="18">
        <v>500</v>
      </c>
      <c r="O25" s="81">
        <v>520</v>
      </c>
      <c r="P25" s="81">
        <v>545</v>
      </c>
      <c r="Q25" s="81">
        <v>550</v>
      </c>
    </row>
    <row r="26" spans="1:17" x14ac:dyDescent="0.2">
      <c r="A26" s="16" t="s">
        <v>180</v>
      </c>
      <c r="B26" s="17" t="s">
        <v>44</v>
      </c>
      <c r="C26" s="18">
        <v>460</v>
      </c>
      <c r="D26" s="18">
        <v>480</v>
      </c>
      <c r="E26" s="18">
        <v>495</v>
      </c>
      <c r="F26" s="18">
        <v>490</v>
      </c>
      <c r="G26" s="18">
        <v>525</v>
      </c>
      <c r="H26" s="18">
        <v>545</v>
      </c>
      <c r="I26" s="18">
        <v>570</v>
      </c>
      <c r="J26" s="18">
        <v>590</v>
      </c>
      <c r="K26" s="18">
        <v>625</v>
      </c>
      <c r="L26" s="18">
        <v>685</v>
      </c>
      <c r="M26" s="18">
        <v>715</v>
      </c>
      <c r="N26" s="18">
        <v>690</v>
      </c>
      <c r="O26" s="81">
        <v>715</v>
      </c>
      <c r="P26" s="81">
        <v>760</v>
      </c>
      <c r="Q26" s="81">
        <v>780</v>
      </c>
    </row>
    <row r="27" spans="1:17" ht="28.5" customHeight="1" x14ac:dyDescent="0.2">
      <c r="A27" s="17" t="s">
        <v>181</v>
      </c>
      <c r="B27" s="17" t="s">
        <v>45</v>
      </c>
      <c r="C27" s="18">
        <v>105</v>
      </c>
      <c r="D27" s="18">
        <v>100</v>
      </c>
      <c r="E27" s="18">
        <v>105</v>
      </c>
      <c r="F27" s="18">
        <v>115</v>
      </c>
      <c r="G27" s="18">
        <v>105</v>
      </c>
      <c r="H27" s="18">
        <v>115</v>
      </c>
      <c r="I27" s="18">
        <v>120</v>
      </c>
      <c r="J27" s="18">
        <v>130</v>
      </c>
      <c r="K27" s="18">
        <v>145</v>
      </c>
      <c r="L27" s="18">
        <v>165</v>
      </c>
      <c r="M27" s="18">
        <v>170</v>
      </c>
      <c r="N27" s="18">
        <v>170</v>
      </c>
      <c r="O27" s="81">
        <v>170</v>
      </c>
      <c r="P27" s="81">
        <v>170</v>
      </c>
      <c r="Q27" s="81">
        <v>175</v>
      </c>
    </row>
    <row r="28" spans="1:17" x14ac:dyDescent="0.2">
      <c r="A28" s="16" t="s">
        <v>181</v>
      </c>
      <c r="B28" s="17" t="s">
        <v>120</v>
      </c>
      <c r="C28" s="18">
        <v>55</v>
      </c>
      <c r="D28" s="18">
        <v>50</v>
      </c>
      <c r="E28" s="18">
        <v>55</v>
      </c>
      <c r="F28" s="18">
        <v>60</v>
      </c>
      <c r="G28" s="18">
        <v>60</v>
      </c>
      <c r="H28" s="18">
        <v>65</v>
      </c>
      <c r="I28" s="18">
        <v>65</v>
      </c>
      <c r="J28" s="18">
        <v>60</v>
      </c>
      <c r="K28" s="18">
        <v>65</v>
      </c>
      <c r="L28" s="18">
        <v>70</v>
      </c>
      <c r="M28" s="18">
        <v>75</v>
      </c>
      <c r="N28" s="18">
        <v>75</v>
      </c>
      <c r="O28" s="81">
        <v>80</v>
      </c>
      <c r="P28" s="81">
        <v>90</v>
      </c>
      <c r="Q28" s="81">
        <v>95</v>
      </c>
    </row>
    <row r="29" spans="1:17" x14ac:dyDescent="0.2">
      <c r="A29" s="16" t="s">
        <v>181</v>
      </c>
      <c r="B29" s="17" t="s">
        <v>46</v>
      </c>
      <c r="C29" s="18">
        <v>755</v>
      </c>
      <c r="D29" s="18">
        <v>780</v>
      </c>
      <c r="E29" s="18">
        <v>815</v>
      </c>
      <c r="F29" s="18">
        <v>835</v>
      </c>
      <c r="G29" s="18">
        <v>880</v>
      </c>
      <c r="H29" s="18">
        <v>915</v>
      </c>
      <c r="I29" s="18">
        <v>945</v>
      </c>
      <c r="J29" s="18">
        <v>975</v>
      </c>
      <c r="K29" s="18">
        <v>1030</v>
      </c>
      <c r="L29" s="18">
        <v>1145</v>
      </c>
      <c r="M29" s="18">
        <v>1175</v>
      </c>
      <c r="N29" s="18">
        <v>1165</v>
      </c>
      <c r="O29" s="18">
        <v>1205</v>
      </c>
      <c r="P29" s="18">
        <v>1260</v>
      </c>
      <c r="Q29" s="18">
        <v>1310</v>
      </c>
    </row>
    <row r="30" spans="1:17" ht="30" customHeight="1" x14ac:dyDescent="0.2">
      <c r="A30" s="17" t="s">
        <v>47</v>
      </c>
      <c r="B30" s="17" t="s">
        <v>22</v>
      </c>
      <c r="C30" s="21">
        <v>175</v>
      </c>
      <c r="D30" s="21">
        <v>185</v>
      </c>
      <c r="E30" s="21">
        <v>190</v>
      </c>
      <c r="F30" s="21">
        <v>205</v>
      </c>
      <c r="G30" s="21">
        <v>215</v>
      </c>
      <c r="H30" s="21">
        <v>220</v>
      </c>
      <c r="I30" s="21">
        <v>250</v>
      </c>
      <c r="J30" s="21">
        <v>250</v>
      </c>
      <c r="K30" s="21">
        <v>240</v>
      </c>
      <c r="L30" s="21">
        <v>280</v>
      </c>
      <c r="M30" s="18">
        <v>295</v>
      </c>
      <c r="N30" s="18">
        <v>275</v>
      </c>
      <c r="O30" s="81">
        <v>285</v>
      </c>
      <c r="P30" s="81">
        <v>275</v>
      </c>
      <c r="Q30" s="81">
        <v>275</v>
      </c>
    </row>
    <row r="31" spans="1:17" x14ac:dyDescent="0.2">
      <c r="A31" s="16" t="s">
        <v>47</v>
      </c>
      <c r="B31" s="17" t="s">
        <v>23</v>
      </c>
      <c r="C31" s="21">
        <v>40</v>
      </c>
      <c r="D31" s="21">
        <v>40</v>
      </c>
      <c r="E31" s="21">
        <v>55</v>
      </c>
      <c r="F31" s="21">
        <v>65</v>
      </c>
      <c r="G31" s="21">
        <v>60</v>
      </c>
      <c r="H31" s="21">
        <v>65</v>
      </c>
      <c r="I31" s="21">
        <v>80</v>
      </c>
      <c r="J31" s="21">
        <v>75</v>
      </c>
      <c r="K31" s="21">
        <v>75</v>
      </c>
      <c r="L31" s="21">
        <v>90</v>
      </c>
      <c r="M31" s="18">
        <v>95</v>
      </c>
      <c r="N31" s="18">
        <v>90</v>
      </c>
      <c r="O31" s="81">
        <v>95</v>
      </c>
      <c r="P31" s="81">
        <v>105</v>
      </c>
      <c r="Q31" s="81">
        <v>120</v>
      </c>
    </row>
    <row r="32" spans="1:17" x14ac:dyDescent="0.2">
      <c r="A32" s="16" t="s">
        <v>47</v>
      </c>
      <c r="B32" s="17" t="s">
        <v>29</v>
      </c>
      <c r="C32" s="21">
        <v>25</v>
      </c>
      <c r="D32" s="21">
        <v>25</v>
      </c>
      <c r="E32" s="21">
        <v>30</v>
      </c>
      <c r="F32" s="21">
        <v>30</v>
      </c>
      <c r="G32" s="21">
        <v>30</v>
      </c>
      <c r="H32" s="21">
        <v>30</v>
      </c>
      <c r="I32" s="21">
        <v>35</v>
      </c>
      <c r="J32" s="21">
        <v>35</v>
      </c>
      <c r="K32" s="21">
        <v>35</v>
      </c>
      <c r="L32" s="21">
        <v>35</v>
      </c>
      <c r="M32" s="18">
        <v>35</v>
      </c>
      <c r="N32" s="18">
        <v>40</v>
      </c>
      <c r="O32" s="81">
        <v>40</v>
      </c>
      <c r="P32" s="81">
        <v>40</v>
      </c>
      <c r="Q32" s="81">
        <v>45</v>
      </c>
    </row>
    <row r="33" spans="1:17" x14ac:dyDescent="0.2">
      <c r="A33" s="16" t="s">
        <v>47</v>
      </c>
      <c r="B33" s="17" t="s">
        <v>24</v>
      </c>
      <c r="C33" s="21">
        <v>20</v>
      </c>
      <c r="D33" s="21">
        <v>20</v>
      </c>
      <c r="E33" s="21">
        <v>20</v>
      </c>
      <c r="F33" s="21">
        <v>20</v>
      </c>
      <c r="G33" s="21">
        <v>20</v>
      </c>
      <c r="H33" s="21">
        <v>20</v>
      </c>
      <c r="I33" s="21">
        <v>20</v>
      </c>
      <c r="J33" s="21">
        <v>20</v>
      </c>
      <c r="K33" s="21">
        <v>25</v>
      </c>
      <c r="L33" s="21">
        <v>25</v>
      </c>
      <c r="M33" s="18">
        <v>25</v>
      </c>
      <c r="N33" s="18">
        <v>25</v>
      </c>
      <c r="O33" s="81">
        <v>25</v>
      </c>
      <c r="P33" s="81">
        <v>25</v>
      </c>
      <c r="Q33" s="81">
        <v>25</v>
      </c>
    </row>
    <row r="34" spans="1:17" x14ac:dyDescent="0.2">
      <c r="A34" s="16" t="s">
        <v>47</v>
      </c>
      <c r="B34" s="17" t="s">
        <v>25</v>
      </c>
      <c r="C34" s="21">
        <v>210</v>
      </c>
      <c r="D34" s="21">
        <v>210</v>
      </c>
      <c r="E34" s="21">
        <v>215</v>
      </c>
      <c r="F34" s="21">
        <v>215</v>
      </c>
      <c r="G34" s="21">
        <v>230</v>
      </c>
      <c r="H34" s="21">
        <v>235</v>
      </c>
      <c r="I34" s="21">
        <v>250</v>
      </c>
      <c r="J34" s="21">
        <v>260</v>
      </c>
      <c r="K34" s="21">
        <v>295</v>
      </c>
      <c r="L34" s="21">
        <v>315</v>
      </c>
      <c r="M34" s="18">
        <v>325</v>
      </c>
      <c r="N34" s="18">
        <v>315</v>
      </c>
      <c r="O34" s="81">
        <v>330</v>
      </c>
      <c r="P34" s="81">
        <v>370</v>
      </c>
      <c r="Q34" s="81">
        <v>375</v>
      </c>
    </row>
    <row r="35" spans="1:17" x14ac:dyDescent="0.2">
      <c r="A35" s="16" t="s">
        <v>47</v>
      </c>
      <c r="B35" s="17" t="s">
        <v>2</v>
      </c>
      <c r="C35" s="21">
        <v>15</v>
      </c>
      <c r="D35" s="21">
        <v>15</v>
      </c>
      <c r="E35" s="21">
        <v>15</v>
      </c>
      <c r="F35" s="21">
        <v>15</v>
      </c>
      <c r="G35" s="21">
        <v>15</v>
      </c>
      <c r="H35" s="21">
        <v>15</v>
      </c>
      <c r="I35" s="21">
        <v>20</v>
      </c>
      <c r="J35" s="21">
        <v>20</v>
      </c>
      <c r="K35" s="21">
        <v>20</v>
      </c>
      <c r="L35" s="21">
        <v>20</v>
      </c>
      <c r="M35" s="18">
        <v>20</v>
      </c>
      <c r="N35" s="18">
        <v>20</v>
      </c>
      <c r="O35" s="81">
        <v>15</v>
      </c>
      <c r="P35" s="81">
        <v>20</v>
      </c>
      <c r="Q35" s="81">
        <v>20</v>
      </c>
    </row>
    <row r="36" spans="1:17" x14ac:dyDescent="0.2">
      <c r="A36" s="16" t="s">
        <v>47</v>
      </c>
      <c r="B36" s="17" t="s">
        <v>3</v>
      </c>
      <c r="C36" s="21">
        <v>40</v>
      </c>
      <c r="D36" s="21">
        <v>35</v>
      </c>
      <c r="E36" s="21">
        <v>35</v>
      </c>
      <c r="F36" s="21">
        <v>40</v>
      </c>
      <c r="G36" s="21">
        <v>45</v>
      </c>
      <c r="H36" s="21">
        <v>45</v>
      </c>
      <c r="I36" s="21">
        <v>50</v>
      </c>
      <c r="J36" s="21">
        <v>45</v>
      </c>
      <c r="K36" s="21">
        <v>50</v>
      </c>
      <c r="L36" s="21">
        <v>55</v>
      </c>
      <c r="M36" s="18">
        <v>60</v>
      </c>
      <c r="N36" s="18">
        <v>55</v>
      </c>
      <c r="O36" s="81">
        <v>60</v>
      </c>
      <c r="P36" s="81">
        <v>60</v>
      </c>
      <c r="Q36" s="81">
        <v>60</v>
      </c>
    </row>
    <row r="37" spans="1:17" x14ac:dyDescent="0.2">
      <c r="A37" s="16" t="s">
        <v>47</v>
      </c>
      <c r="B37" s="17" t="s">
        <v>30</v>
      </c>
      <c r="C37" s="21">
        <v>65</v>
      </c>
      <c r="D37" s="21">
        <v>55</v>
      </c>
      <c r="E37" s="21">
        <v>55</v>
      </c>
      <c r="F37" s="21">
        <v>55</v>
      </c>
      <c r="G37" s="21">
        <v>60</v>
      </c>
      <c r="H37" s="21">
        <v>60</v>
      </c>
      <c r="I37" s="21">
        <v>70</v>
      </c>
      <c r="J37" s="21">
        <v>70</v>
      </c>
      <c r="K37" s="21">
        <v>75</v>
      </c>
      <c r="L37" s="21">
        <v>80</v>
      </c>
      <c r="M37" s="18">
        <v>85</v>
      </c>
      <c r="N37" s="18">
        <v>80</v>
      </c>
      <c r="O37" s="81">
        <v>80</v>
      </c>
      <c r="P37" s="81">
        <v>80</v>
      </c>
      <c r="Q37" s="81">
        <v>80</v>
      </c>
    </row>
    <row r="38" spans="1:17" x14ac:dyDescent="0.2">
      <c r="A38" s="16" t="s">
        <v>47</v>
      </c>
      <c r="B38" s="17" t="s">
        <v>4</v>
      </c>
      <c r="C38" s="21">
        <v>30</v>
      </c>
      <c r="D38" s="21">
        <v>25</v>
      </c>
      <c r="E38" s="21">
        <v>30</v>
      </c>
      <c r="F38" s="21">
        <v>30</v>
      </c>
      <c r="G38" s="21">
        <v>35</v>
      </c>
      <c r="H38" s="21">
        <v>35</v>
      </c>
      <c r="I38" s="21">
        <v>30</v>
      </c>
      <c r="J38" s="21">
        <v>35</v>
      </c>
      <c r="K38" s="21">
        <v>45</v>
      </c>
      <c r="L38" s="21">
        <v>50</v>
      </c>
      <c r="M38" s="18">
        <v>40</v>
      </c>
      <c r="N38" s="18">
        <v>40</v>
      </c>
      <c r="O38" s="81">
        <v>40</v>
      </c>
      <c r="P38" s="81">
        <v>45</v>
      </c>
      <c r="Q38" s="81">
        <v>45</v>
      </c>
    </row>
    <row r="39" spans="1:17" x14ac:dyDescent="0.2">
      <c r="A39" s="16" t="s">
        <v>47</v>
      </c>
      <c r="B39" s="17" t="s">
        <v>32</v>
      </c>
      <c r="C39" s="21">
        <v>20</v>
      </c>
      <c r="D39" s="21">
        <v>15</v>
      </c>
      <c r="E39" s="21">
        <v>15</v>
      </c>
      <c r="F39" s="21">
        <v>20</v>
      </c>
      <c r="G39" s="21">
        <v>15</v>
      </c>
      <c r="H39" s="21">
        <v>20</v>
      </c>
      <c r="I39" s="21">
        <v>20</v>
      </c>
      <c r="J39" s="21">
        <v>20</v>
      </c>
      <c r="K39" s="21">
        <v>20</v>
      </c>
      <c r="L39" s="21">
        <v>25</v>
      </c>
      <c r="M39" s="18">
        <v>20</v>
      </c>
      <c r="N39" s="18">
        <v>15</v>
      </c>
      <c r="O39" s="81">
        <v>20</v>
      </c>
      <c r="P39" s="81">
        <v>20</v>
      </c>
      <c r="Q39" s="81">
        <v>15</v>
      </c>
    </row>
    <row r="40" spans="1:17" x14ac:dyDescent="0.2">
      <c r="A40" s="16" t="s">
        <v>47</v>
      </c>
      <c r="B40" s="17" t="s">
        <v>5</v>
      </c>
      <c r="C40" s="21">
        <v>25</v>
      </c>
      <c r="D40" s="21">
        <v>20</v>
      </c>
      <c r="E40" s="21">
        <v>25</v>
      </c>
      <c r="F40" s="21">
        <v>25</v>
      </c>
      <c r="G40" s="21">
        <v>25</v>
      </c>
      <c r="H40" s="21">
        <v>25</v>
      </c>
      <c r="I40" s="21">
        <v>25</v>
      </c>
      <c r="J40" s="21">
        <v>25</v>
      </c>
      <c r="K40" s="21">
        <v>35</v>
      </c>
      <c r="L40" s="21">
        <v>35</v>
      </c>
      <c r="M40" s="18">
        <v>30</v>
      </c>
      <c r="N40" s="18">
        <v>30</v>
      </c>
      <c r="O40" s="81">
        <v>30</v>
      </c>
      <c r="P40" s="81">
        <v>35</v>
      </c>
      <c r="Q40" s="81">
        <v>35</v>
      </c>
    </row>
    <row r="41" spans="1:17" x14ac:dyDescent="0.2">
      <c r="A41" s="16" t="s">
        <v>47</v>
      </c>
      <c r="B41" s="17" t="s">
        <v>6</v>
      </c>
      <c r="C41" s="21">
        <v>15</v>
      </c>
      <c r="D41" s="21">
        <v>15</v>
      </c>
      <c r="E41" s="21">
        <v>15</v>
      </c>
      <c r="F41" s="21">
        <v>15</v>
      </c>
      <c r="G41" s="21">
        <v>15</v>
      </c>
      <c r="H41" s="21">
        <v>15</v>
      </c>
      <c r="I41" s="21">
        <v>15</v>
      </c>
      <c r="J41" s="21">
        <v>15</v>
      </c>
      <c r="K41" s="21">
        <v>20</v>
      </c>
      <c r="L41" s="21">
        <v>20</v>
      </c>
      <c r="M41" s="18">
        <v>20</v>
      </c>
      <c r="N41" s="18">
        <v>20</v>
      </c>
      <c r="O41" s="81">
        <v>15</v>
      </c>
      <c r="P41" s="81">
        <v>20</v>
      </c>
      <c r="Q41" s="81">
        <v>15</v>
      </c>
    </row>
    <row r="42" spans="1:17" x14ac:dyDescent="0.2">
      <c r="A42" s="16" t="s">
        <v>47</v>
      </c>
      <c r="B42" s="17" t="s">
        <v>8</v>
      </c>
      <c r="C42" s="21">
        <v>65</v>
      </c>
      <c r="D42" s="21">
        <v>60</v>
      </c>
      <c r="E42" s="21">
        <v>65</v>
      </c>
      <c r="F42" s="21">
        <v>70</v>
      </c>
      <c r="G42" s="21">
        <v>70</v>
      </c>
      <c r="H42" s="21">
        <v>70</v>
      </c>
      <c r="I42" s="21">
        <v>70</v>
      </c>
      <c r="J42" s="21">
        <v>70</v>
      </c>
      <c r="K42" s="21">
        <v>75</v>
      </c>
      <c r="L42" s="21">
        <v>85</v>
      </c>
      <c r="M42" s="18">
        <v>75</v>
      </c>
      <c r="N42" s="18">
        <v>80</v>
      </c>
      <c r="O42" s="81">
        <v>85</v>
      </c>
      <c r="P42" s="81">
        <v>90</v>
      </c>
      <c r="Q42" s="81">
        <v>90</v>
      </c>
    </row>
    <row r="43" spans="1:17" x14ac:dyDescent="0.2">
      <c r="A43" s="16" t="s">
        <v>47</v>
      </c>
      <c r="B43" s="17" t="s">
        <v>9</v>
      </c>
      <c r="C43" s="21">
        <v>60</v>
      </c>
      <c r="D43" s="21">
        <v>65</v>
      </c>
      <c r="E43" s="21">
        <v>70</v>
      </c>
      <c r="F43" s="21">
        <v>75</v>
      </c>
      <c r="G43" s="21">
        <v>75</v>
      </c>
      <c r="H43" s="21">
        <v>70</v>
      </c>
      <c r="I43" s="21">
        <v>80</v>
      </c>
      <c r="J43" s="21">
        <v>80</v>
      </c>
      <c r="K43" s="21">
        <v>90</v>
      </c>
      <c r="L43" s="21">
        <v>100</v>
      </c>
      <c r="M43" s="18">
        <v>95</v>
      </c>
      <c r="N43" s="18">
        <v>95</v>
      </c>
      <c r="O43" s="81">
        <v>95</v>
      </c>
      <c r="P43" s="81">
        <v>105</v>
      </c>
      <c r="Q43" s="81">
        <v>100</v>
      </c>
    </row>
    <row r="44" spans="1:17" x14ac:dyDescent="0.2">
      <c r="A44" s="16" t="s">
        <v>47</v>
      </c>
      <c r="B44" s="17" t="s">
        <v>33</v>
      </c>
      <c r="C44" s="21">
        <v>225</v>
      </c>
      <c r="D44" s="21">
        <v>235</v>
      </c>
      <c r="E44" s="21">
        <v>240</v>
      </c>
      <c r="F44" s="21">
        <v>250</v>
      </c>
      <c r="G44" s="21">
        <v>255</v>
      </c>
      <c r="H44" s="21">
        <v>255</v>
      </c>
      <c r="I44" s="21">
        <v>265</v>
      </c>
      <c r="J44" s="21">
        <v>265</v>
      </c>
      <c r="K44" s="21">
        <v>270</v>
      </c>
      <c r="L44" s="21">
        <v>295</v>
      </c>
      <c r="M44" s="18">
        <v>290</v>
      </c>
      <c r="N44" s="18">
        <v>285</v>
      </c>
      <c r="O44" s="81">
        <v>285</v>
      </c>
      <c r="P44" s="81">
        <v>320</v>
      </c>
      <c r="Q44" s="81">
        <v>340</v>
      </c>
    </row>
    <row r="45" spans="1:17" x14ac:dyDescent="0.2">
      <c r="A45" s="16" t="s">
        <v>47</v>
      </c>
      <c r="B45" s="17" t="s">
        <v>10</v>
      </c>
      <c r="C45" s="21">
        <v>80</v>
      </c>
      <c r="D45" s="21">
        <v>75</v>
      </c>
      <c r="E45" s="21">
        <v>80</v>
      </c>
      <c r="F45" s="21">
        <v>90</v>
      </c>
      <c r="G45" s="21">
        <v>85</v>
      </c>
      <c r="H45" s="21">
        <v>95</v>
      </c>
      <c r="I45" s="21">
        <v>95</v>
      </c>
      <c r="J45" s="21">
        <v>110</v>
      </c>
      <c r="K45" s="21">
        <v>115</v>
      </c>
      <c r="L45" s="21">
        <v>130</v>
      </c>
      <c r="M45" s="18">
        <v>130</v>
      </c>
      <c r="N45" s="18">
        <v>135</v>
      </c>
      <c r="O45" s="81">
        <v>135</v>
      </c>
      <c r="P45" s="81">
        <v>135</v>
      </c>
      <c r="Q45" s="81">
        <v>135</v>
      </c>
    </row>
    <row r="46" spans="1:17" x14ac:dyDescent="0.2">
      <c r="A46" s="16" t="s">
        <v>47</v>
      </c>
      <c r="B46" s="17" t="s">
        <v>11</v>
      </c>
      <c r="C46" s="21">
        <v>15</v>
      </c>
      <c r="D46" s="21">
        <v>15</v>
      </c>
      <c r="E46" s="21">
        <v>15</v>
      </c>
      <c r="F46" s="21">
        <v>15</v>
      </c>
      <c r="G46" s="21">
        <v>20</v>
      </c>
      <c r="H46" s="21">
        <v>20</v>
      </c>
      <c r="I46" s="21">
        <v>25</v>
      </c>
      <c r="J46" s="21">
        <v>25</v>
      </c>
      <c r="K46" s="21">
        <v>25</v>
      </c>
      <c r="L46" s="21">
        <v>20</v>
      </c>
      <c r="M46" s="18">
        <v>20</v>
      </c>
      <c r="N46" s="18">
        <v>20</v>
      </c>
      <c r="O46" s="81">
        <v>20</v>
      </c>
      <c r="P46" s="81">
        <v>25</v>
      </c>
      <c r="Q46" s="81">
        <v>25</v>
      </c>
    </row>
    <row r="47" spans="1:17" x14ac:dyDescent="0.2">
      <c r="A47" s="16" t="s">
        <v>47</v>
      </c>
      <c r="B47" s="17" t="s">
        <v>12</v>
      </c>
      <c r="C47" s="21">
        <v>25</v>
      </c>
      <c r="D47" s="21">
        <v>20</v>
      </c>
      <c r="E47" s="21">
        <v>20</v>
      </c>
      <c r="F47" s="21">
        <v>20</v>
      </c>
      <c r="G47" s="21">
        <v>25</v>
      </c>
      <c r="H47" s="21">
        <v>25</v>
      </c>
      <c r="I47" s="21">
        <v>30</v>
      </c>
      <c r="J47" s="21">
        <v>30</v>
      </c>
      <c r="K47" s="21">
        <v>30</v>
      </c>
      <c r="L47" s="21">
        <v>35</v>
      </c>
      <c r="M47" s="18">
        <v>30</v>
      </c>
      <c r="N47" s="18">
        <v>30</v>
      </c>
      <c r="O47" s="81">
        <v>30</v>
      </c>
      <c r="P47" s="81">
        <v>35</v>
      </c>
      <c r="Q47" s="81">
        <v>40</v>
      </c>
    </row>
    <row r="48" spans="1:17" x14ac:dyDescent="0.2">
      <c r="A48" s="16" t="s">
        <v>47</v>
      </c>
      <c r="B48" s="17" t="s">
        <v>13</v>
      </c>
      <c r="C48" s="21">
        <v>30</v>
      </c>
      <c r="D48" s="21">
        <v>25</v>
      </c>
      <c r="E48" s="21">
        <v>25</v>
      </c>
      <c r="F48" s="21">
        <v>30</v>
      </c>
      <c r="G48" s="21">
        <v>25</v>
      </c>
      <c r="H48" s="21">
        <v>30</v>
      </c>
      <c r="I48" s="21">
        <v>35</v>
      </c>
      <c r="J48" s="21">
        <v>35</v>
      </c>
      <c r="K48" s="21">
        <v>35</v>
      </c>
      <c r="L48" s="21">
        <v>35</v>
      </c>
      <c r="M48" s="18">
        <v>35</v>
      </c>
      <c r="N48" s="18">
        <v>30</v>
      </c>
      <c r="O48" s="81">
        <v>35</v>
      </c>
      <c r="P48" s="81">
        <v>35</v>
      </c>
      <c r="Q48" s="81">
        <v>35</v>
      </c>
    </row>
    <row r="49" spans="1:17" x14ac:dyDescent="0.2">
      <c r="A49" s="16" t="s">
        <v>47</v>
      </c>
      <c r="B49" s="17" t="s">
        <v>7</v>
      </c>
      <c r="C49" s="21">
        <v>0</v>
      </c>
      <c r="D49" s="21">
        <v>5</v>
      </c>
      <c r="E49" s="21">
        <v>5</v>
      </c>
      <c r="F49" s="21">
        <v>5</v>
      </c>
      <c r="G49" s="21">
        <v>5</v>
      </c>
      <c r="H49" s="21">
        <v>5</v>
      </c>
      <c r="I49" s="21">
        <v>10</v>
      </c>
      <c r="J49" s="21">
        <v>10</v>
      </c>
      <c r="K49" s="21">
        <v>10</v>
      </c>
      <c r="L49" s="21">
        <v>10</v>
      </c>
      <c r="M49" s="18">
        <v>10</v>
      </c>
      <c r="N49" s="18">
        <v>10</v>
      </c>
      <c r="O49" s="81">
        <v>10</v>
      </c>
      <c r="P49" s="81">
        <v>10</v>
      </c>
      <c r="Q49" s="81">
        <v>10</v>
      </c>
    </row>
    <row r="50" spans="1:17" x14ac:dyDescent="0.2">
      <c r="A50" s="16" t="s">
        <v>47</v>
      </c>
      <c r="B50" s="17" t="s">
        <v>14</v>
      </c>
      <c r="C50" s="21">
        <v>40</v>
      </c>
      <c r="D50" s="21">
        <v>40</v>
      </c>
      <c r="E50" s="21">
        <v>40</v>
      </c>
      <c r="F50" s="21">
        <v>40</v>
      </c>
      <c r="G50" s="21">
        <v>45</v>
      </c>
      <c r="H50" s="21">
        <v>40</v>
      </c>
      <c r="I50" s="21">
        <v>45</v>
      </c>
      <c r="J50" s="21">
        <v>40</v>
      </c>
      <c r="K50" s="21">
        <v>40</v>
      </c>
      <c r="L50" s="21">
        <v>45</v>
      </c>
      <c r="M50" s="18">
        <v>40</v>
      </c>
      <c r="N50" s="18">
        <v>40</v>
      </c>
      <c r="O50" s="81">
        <v>45</v>
      </c>
      <c r="P50" s="81">
        <v>55</v>
      </c>
      <c r="Q50" s="81">
        <v>55</v>
      </c>
    </row>
    <row r="51" spans="1:17" x14ac:dyDescent="0.2">
      <c r="A51" s="16" t="s">
        <v>47</v>
      </c>
      <c r="B51" s="17" t="s">
        <v>31</v>
      </c>
      <c r="C51" s="21">
        <v>105</v>
      </c>
      <c r="D51" s="21">
        <v>105</v>
      </c>
      <c r="E51" s="21">
        <v>110</v>
      </c>
      <c r="F51" s="21">
        <v>120</v>
      </c>
      <c r="G51" s="21">
        <v>125</v>
      </c>
      <c r="H51" s="21">
        <v>130</v>
      </c>
      <c r="I51" s="21">
        <v>130</v>
      </c>
      <c r="J51" s="21">
        <v>145</v>
      </c>
      <c r="K51" s="21">
        <v>150</v>
      </c>
      <c r="L51" s="21">
        <v>170</v>
      </c>
      <c r="M51" s="18">
        <v>160</v>
      </c>
      <c r="N51" s="18">
        <v>160</v>
      </c>
      <c r="O51" s="81">
        <v>175</v>
      </c>
      <c r="P51" s="81">
        <v>180</v>
      </c>
      <c r="Q51" s="81">
        <v>165</v>
      </c>
    </row>
    <row r="52" spans="1:17" x14ac:dyDescent="0.2">
      <c r="A52" s="16" t="s">
        <v>47</v>
      </c>
      <c r="B52" s="17" t="s">
        <v>15</v>
      </c>
      <c r="C52" s="21">
        <v>5</v>
      </c>
      <c r="D52" s="21">
        <v>10</v>
      </c>
      <c r="E52" s="21">
        <v>10</v>
      </c>
      <c r="F52" s="21">
        <v>10</v>
      </c>
      <c r="G52" s="21">
        <v>10</v>
      </c>
      <c r="H52" s="21">
        <v>10</v>
      </c>
      <c r="I52" s="21">
        <v>10</v>
      </c>
      <c r="J52" s="21">
        <v>10</v>
      </c>
      <c r="K52" s="21">
        <v>10</v>
      </c>
      <c r="L52" s="21">
        <v>15</v>
      </c>
      <c r="M52" s="18">
        <v>15</v>
      </c>
      <c r="N52" s="18">
        <v>15</v>
      </c>
      <c r="O52" s="81">
        <v>15</v>
      </c>
      <c r="P52" s="81">
        <v>15</v>
      </c>
      <c r="Q52" s="81">
        <v>15</v>
      </c>
    </row>
    <row r="53" spans="1:17" x14ac:dyDescent="0.2">
      <c r="A53" s="16" t="s">
        <v>47</v>
      </c>
      <c r="B53" s="17" t="s">
        <v>16</v>
      </c>
      <c r="C53" s="21">
        <v>50</v>
      </c>
      <c r="D53" s="21">
        <v>45</v>
      </c>
      <c r="E53" s="21">
        <v>45</v>
      </c>
      <c r="F53" s="21">
        <v>50</v>
      </c>
      <c r="G53" s="21">
        <v>50</v>
      </c>
      <c r="H53" s="21">
        <v>55</v>
      </c>
      <c r="I53" s="21">
        <v>55</v>
      </c>
      <c r="J53" s="21">
        <v>70</v>
      </c>
      <c r="K53" s="21">
        <v>65</v>
      </c>
      <c r="L53" s="21">
        <v>75</v>
      </c>
      <c r="M53" s="18">
        <v>80</v>
      </c>
      <c r="N53" s="18">
        <v>80</v>
      </c>
      <c r="O53" s="81">
        <v>75</v>
      </c>
      <c r="P53" s="81">
        <v>80</v>
      </c>
      <c r="Q53" s="81">
        <v>75</v>
      </c>
    </row>
    <row r="54" spans="1:17" x14ac:dyDescent="0.2">
      <c r="A54" s="16" t="s">
        <v>47</v>
      </c>
      <c r="B54" s="17" t="s">
        <v>26</v>
      </c>
      <c r="C54" s="21">
        <v>85</v>
      </c>
      <c r="D54" s="21">
        <v>80</v>
      </c>
      <c r="E54" s="21">
        <v>85</v>
      </c>
      <c r="F54" s="21">
        <v>90</v>
      </c>
      <c r="G54" s="21">
        <v>100</v>
      </c>
      <c r="H54" s="21">
        <v>100</v>
      </c>
      <c r="I54" s="21">
        <v>105</v>
      </c>
      <c r="J54" s="21">
        <v>100</v>
      </c>
      <c r="K54" s="21">
        <v>100</v>
      </c>
      <c r="L54" s="21">
        <v>110</v>
      </c>
      <c r="M54" s="18">
        <v>95</v>
      </c>
      <c r="N54" s="18">
        <v>95</v>
      </c>
      <c r="O54" s="81">
        <v>95</v>
      </c>
      <c r="P54" s="81">
        <v>100</v>
      </c>
      <c r="Q54" s="81">
        <v>95</v>
      </c>
    </row>
    <row r="55" spans="1:17" x14ac:dyDescent="0.2">
      <c r="A55" s="16" t="s">
        <v>47</v>
      </c>
      <c r="B55" s="17" t="s">
        <v>17</v>
      </c>
      <c r="C55" s="21">
        <v>35</v>
      </c>
      <c r="D55" s="21">
        <v>35</v>
      </c>
      <c r="E55" s="21">
        <v>35</v>
      </c>
      <c r="F55" s="21">
        <v>35</v>
      </c>
      <c r="G55" s="21">
        <v>35</v>
      </c>
      <c r="H55" s="21">
        <v>35</v>
      </c>
      <c r="I55" s="21">
        <v>35</v>
      </c>
      <c r="J55" s="21">
        <v>30</v>
      </c>
      <c r="K55" s="21">
        <v>30</v>
      </c>
      <c r="L55" s="21">
        <v>35</v>
      </c>
      <c r="M55" s="18">
        <v>35</v>
      </c>
      <c r="N55" s="18">
        <v>40</v>
      </c>
      <c r="O55" s="81">
        <v>40</v>
      </c>
      <c r="P55" s="81">
        <v>50</v>
      </c>
      <c r="Q55" s="81">
        <v>55</v>
      </c>
    </row>
    <row r="56" spans="1:17" x14ac:dyDescent="0.2">
      <c r="A56" s="16" t="s">
        <v>47</v>
      </c>
      <c r="B56" s="17" t="s">
        <v>18</v>
      </c>
      <c r="C56" s="21">
        <v>15</v>
      </c>
      <c r="D56" s="21">
        <v>10</v>
      </c>
      <c r="E56" s="21">
        <v>10</v>
      </c>
      <c r="F56" s="21">
        <v>15</v>
      </c>
      <c r="G56" s="21">
        <v>10</v>
      </c>
      <c r="H56" s="21">
        <v>10</v>
      </c>
      <c r="I56" s="21">
        <v>15</v>
      </c>
      <c r="J56" s="21">
        <v>10</v>
      </c>
      <c r="K56" s="21">
        <v>15</v>
      </c>
      <c r="L56" s="21">
        <v>15</v>
      </c>
      <c r="M56" s="18">
        <v>20</v>
      </c>
      <c r="N56" s="18">
        <v>20</v>
      </c>
      <c r="O56" s="81">
        <v>20</v>
      </c>
      <c r="P56" s="81">
        <v>15</v>
      </c>
      <c r="Q56" s="81">
        <v>15</v>
      </c>
    </row>
    <row r="57" spans="1:17" x14ac:dyDescent="0.2">
      <c r="A57" s="16" t="s">
        <v>47</v>
      </c>
      <c r="B57" s="17" t="s">
        <v>19</v>
      </c>
      <c r="C57" s="21">
        <v>40</v>
      </c>
      <c r="D57" s="21">
        <v>50</v>
      </c>
      <c r="E57" s="21">
        <v>50</v>
      </c>
      <c r="F57" s="21">
        <v>55</v>
      </c>
      <c r="G57" s="21">
        <v>50</v>
      </c>
      <c r="H57" s="21">
        <v>50</v>
      </c>
      <c r="I57" s="21">
        <v>55</v>
      </c>
      <c r="J57" s="21">
        <v>60</v>
      </c>
      <c r="K57" s="21">
        <v>55</v>
      </c>
      <c r="L57" s="21">
        <v>60</v>
      </c>
      <c r="M57" s="18">
        <v>50</v>
      </c>
      <c r="N57" s="18">
        <v>50</v>
      </c>
      <c r="O57" s="81">
        <v>55</v>
      </c>
      <c r="P57" s="81">
        <v>60</v>
      </c>
      <c r="Q57" s="81">
        <v>60</v>
      </c>
    </row>
    <row r="58" spans="1:17" x14ac:dyDescent="0.2">
      <c r="A58" s="16" t="s">
        <v>47</v>
      </c>
      <c r="B58" s="17" t="s">
        <v>20</v>
      </c>
      <c r="C58" s="21">
        <v>85</v>
      </c>
      <c r="D58" s="21">
        <v>90</v>
      </c>
      <c r="E58" s="21">
        <v>85</v>
      </c>
      <c r="F58" s="21">
        <v>85</v>
      </c>
      <c r="G58" s="21">
        <v>90</v>
      </c>
      <c r="H58" s="21">
        <v>90</v>
      </c>
      <c r="I58" s="21">
        <v>95</v>
      </c>
      <c r="J58" s="21">
        <v>100</v>
      </c>
      <c r="K58" s="21">
        <v>105</v>
      </c>
      <c r="L58" s="21">
        <v>120</v>
      </c>
      <c r="M58" s="18">
        <v>105</v>
      </c>
      <c r="N58" s="18">
        <v>105</v>
      </c>
      <c r="O58" s="81">
        <v>115</v>
      </c>
      <c r="P58" s="81">
        <v>120</v>
      </c>
      <c r="Q58" s="81">
        <v>115</v>
      </c>
    </row>
    <row r="59" spans="1:17" x14ac:dyDescent="0.2">
      <c r="A59" s="16" t="s">
        <v>47</v>
      </c>
      <c r="B59" s="17" t="s">
        <v>21</v>
      </c>
      <c r="C59" s="21">
        <v>50</v>
      </c>
      <c r="D59" s="21">
        <v>50</v>
      </c>
      <c r="E59" s="21">
        <v>40</v>
      </c>
      <c r="F59" s="21">
        <v>45</v>
      </c>
      <c r="G59" s="21">
        <v>50</v>
      </c>
      <c r="H59" s="21">
        <v>55</v>
      </c>
      <c r="I59" s="21">
        <v>55</v>
      </c>
      <c r="J59" s="21">
        <v>55</v>
      </c>
      <c r="K59" s="21">
        <v>60</v>
      </c>
      <c r="L59" s="21">
        <v>65</v>
      </c>
      <c r="M59" s="18">
        <v>65</v>
      </c>
      <c r="N59" s="18">
        <v>60</v>
      </c>
      <c r="O59" s="81">
        <v>55</v>
      </c>
      <c r="P59" s="81">
        <v>60</v>
      </c>
      <c r="Q59" s="81">
        <v>65</v>
      </c>
    </row>
    <row r="60" spans="1:17" x14ac:dyDescent="0.2">
      <c r="A60" s="16" t="s">
        <v>47</v>
      </c>
      <c r="B60" s="17" t="s">
        <v>27</v>
      </c>
      <c r="C60" s="21">
        <v>30</v>
      </c>
      <c r="D60" s="21">
        <v>30</v>
      </c>
      <c r="E60" s="21">
        <v>25</v>
      </c>
      <c r="F60" s="21">
        <v>25</v>
      </c>
      <c r="G60" s="21">
        <v>25</v>
      </c>
      <c r="H60" s="21">
        <v>25</v>
      </c>
      <c r="I60" s="21">
        <v>30</v>
      </c>
      <c r="J60" s="21">
        <v>35</v>
      </c>
      <c r="K60" s="21">
        <v>30</v>
      </c>
      <c r="L60" s="21">
        <v>30</v>
      </c>
      <c r="M60" s="18">
        <v>30</v>
      </c>
      <c r="N60" s="18">
        <v>30</v>
      </c>
      <c r="O60" s="81">
        <v>30</v>
      </c>
      <c r="P60" s="81">
        <v>30</v>
      </c>
      <c r="Q60" s="81">
        <v>35</v>
      </c>
    </row>
    <row r="61" spans="1:17" x14ac:dyDescent="0.2">
      <c r="A61" s="16" t="s">
        <v>47</v>
      </c>
      <c r="B61" s="17" t="s">
        <v>28</v>
      </c>
      <c r="C61" s="21">
        <v>90</v>
      </c>
      <c r="D61" s="21">
        <v>85</v>
      </c>
      <c r="E61" s="21">
        <v>90</v>
      </c>
      <c r="F61" s="21">
        <v>95</v>
      </c>
      <c r="G61" s="21">
        <v>95</v>
      </c>
      <c r="H61" s="21">
        <v>85</v>
      </c>
      <c r="I61" s="21">
        <v>85</v>
      </c>
      <c r="J61" s="21">
        <v>90</v>
      </c>
      <c r="K61" s="21">
        <v>95</v>
      </c>
      <c r="L61" s="21">
        <v>105</v>
      </c>
      <c r="M61" s="18">
        <v>100</v>
      </c>
      <c r="N61" s="18">
        <v>95</v>
      </c>
      <c r="O61" s="81">
        <v>100</v>
      </c>
      <c r="P61" s="81">
        <v>115</v>
      </c>
      <c r="Q61" s="81">
        <v>120</v>
      </c>
    </row>
    <row r="62" spans="1:17" ht="29.1" customHeight="1" x14ac:dyDescent="0.2">
      <c r="A62" s="17" t="s">
        <v>182</v>
      </c>
      <c r="B62" s="17" t="s">
        <v>54</v>
      </c>
      <c r="C62" s="21" t="s">
        <v>190</v>
      </c>
      <c r="D62" s="21" t="s">
        <v>190</v>
      </c>
      <c r="E62" s="21" t="s">
        <v>190</v>
      </c>
      <c r="F62" s="21" t="s">
        <v>190</v>
      </c>
      <c r="G62" s="21" t="s">
        <v>190</v>
      </c>
      <c r="H62" s="21">
        <v>255</v>
      </c>
      <c r="I62" s="21">
        <v>290</v>
      </c>
      <c r="J62" s="21">
        <v>290</v>
      </c>
      <c r="K62" s="21">
        <v>280</v>
      </c>
      <c r="L62" s="21">
        <v>325</v>
      </c>
      <c r="M62" s="18">
        <v>345</v>
      </c>
      <c r="N62" s="18">
        <v>330</v>
      </c>
      <c r="O62" s="81">
        <v>340</v>
      </c>
      <c r="P62" s="81">
        <v>335</v>
      </c>
      <c r="Q62" s="81">
        <v>350</v>
      </c>
    </row>
    <row r="63" spans="1:17" x14ac:dyDescent="0.2">
      <c r="A63" s="16" t="s">
        <v>182</v>
      </c>
      <c r="B63" s="16" t="s">
        <v>55</v>
      </c>
      <c r="C63" s="21" t="s">
        <v>190</v>
      </c>
      <c r="D63" s="21" t="s">
        <v>190</v>
      </c>
      <c r="E63" s="21" t="s">
        <v>190</v>
      </c>
      <c r="F63" s="21" t="s">
        <v>190</v>
      </c>
      <c r="G63" s="21" t="s">
        <v>190</v>
      </c>
      <c r="H63" s="21">
        <v>10</v>
      </c>
      <c r="I63" s="21">
        <v>10</v>
      </c>
      <c r="J63" s="21">
        <v>10</v>
      </c>
      <c r="K63" s="21">
        <v>10</v>
      </c>
      <c r="L63" s="21">
        <v>15</v>
      </c>
      <c r="M63" s="18">
        <v>10</v>
      </c>
      <c r="N63" s="18">
        <v>10</v>
      </c>
      <c r="O63" s="81">
        <v>10</v>
      </c>
      <c r="P63" s="81">
        <v>10</v>
      </c>
      <c r="Q63" s="81">
        <v>15</v>
      </c>
    </row>
    <row r="64" spans="1:17" x14ac:dyDescent="0.2">
      <c r="A64" s="16" t="s">
        <v>182</v>
      </c>
      <c r="B64" s="16" t="s">
        <v>56</v>
      </c>
      <c r="C64" s="21" t="s">
        <v>190</v>
      </c>
      <c r="D64" s="21" t="s">
        <v>190</v>
      </c>
      <c r="E64" s="21" t="s">
        <v>190</v>
      </c>
      <c r="F64" s="21" t="s">
        <v>190</v>
      </c>
      <c r="G64" s="21" t="s">
        <v>190</v>
      </c>
      <c r="H64" s="21">
        <v>20</v>
      </c>
      <c r="I64" s="21">
        <v>20</v>
      </c>
      <c r="J64" s="21">
        <v>25</v>
      </c>
      <c r="K64" s="21">
        <v>20</v>
      </c>
      <c r="L64" s="21">
        <v>25</v>
      </c>
      <c r="M64" s="18">
        <v>25</v>
      </c>
      <c r="N64" s="18">
        <v>25</v>
      </c>
      <c r="O64" s="81">
        <v>25</v>
      </c>
      <c r="P64" s="81">
        <v>30</v>
      </c>
      <c r="Q64" s="81">
        <v>30</v>
      </c>
    </row>
    <row r="65" spans="1:17" x14ac:dyDescent="0.2">
      <c r="A65" s="16" t="s">
        <v>182</v>
      </c>
      <c r="B65" s="16" t="s">
        <v>57</v>
      </c>
      <c r="C65" s="21" t="s">
        <v>190</v>
      </c>
      <c r="D65" s="21" t="s">
        <v>190</v>
      </c>
      <c r="E65" s="21" t="s">
        <v>190</v>
      </c>
      <c r="F65" s="21" t="s">
        <v>190</v>
      </c>
      <c r="G65" s="21" t="s">
        <v>190</v>
      </c>
      <c r="H65" s="21">
        <v>5</v>
      </c>
      <c r="I65" s="21">
        <v>5</v>
      </c>
      <c r="J65" s="21">
        <v>5</v>
      </c>
      <c r="K65" s="21">
        <v>10</v>
      </c>
      <c r="L65" s="21">
        <v>15</v>
      </c>
      <c r="M65" s="18">
        <v>15</v>
      </c>
      <c r="N65" s="18">
        <v>15</v>
      </c>
      <c r="O65" s="81">
        <v>15</v>
      </c>
      <c r="P65" s="81">
        <v>15</v>
      </c>
      <c r="Q65" s="81">
        <v>10</v>
      </c>
    </row>
    <row r="66" spans="1:17" x14ac:dyDescent="0.2">
      <c r="A66" s="16" t="s">
        <v>182</v>
      </c>
      <c r="B66" s="16" t="s">
        <v>58</v>
      </c>
      <c r="C66" s="21" t="s">
        <v>190</v>
      </c>
      <c r="D66" s="21" t="s">
        <v>190</v>
      </c>
      <c r="E66" s="21" t="s">
        <v>190</v>
      </c>
      <c r="F66" s="21" t="s">
        <v>190</v>
      </c>
      <c r="G66" s="21" t="s">
        <v>190</v>
      </c>
      <c r="H66" s="21">
        <v>50</v>
      </c>
      <c r="I66" s="21">
        <v>55</v>
      </c>
      <c r="J66" s="21">
        <v>60</v>
      </c>
      <c r="K66" s="21">
        <v>55</v>
      </c>
      <c r="L66" s="21">
        <v>60</v>
      </c>
      <c r="M66" s="18">
        <v>50</v>
      </c>
      <c r="N66" s="18">
        <v>55</v>
      </c>
      <c r="O66" s="81">
        <v>55</v>
      </c>
      <c r="P66" s="81">
        <v>60</v>
      </c>
      <c r="Q66" s="81">
        <v>60</v>
      </c>
    </row>
    <row r="67" spans="1:17" x14ac:dyDescent="0.2">
      <c r="A67" s="16" t="s">
        <v>182</v>
      </c>
      <c r="B67" s="16" t="s">
        <v>96</v>
      </c>
      <c r="C67" s="21" t="s">
        <v>190</v>
      </c>
      <c r="D67" s="21" t="s">
        <v>190</v>
      </c>
      <c r="E67" s="21" t="s">
        <v>190</v>
      </c>
      <c r="F67" s="21" t="s">
        <v>190</v>
      </c>
      <c r="G67" s="21" t="s">
        <v>190</v>
      </c>
      <c r="H67" s="21">
        <v>5</v>
      </c>
      <c r="I67" s="21">
        <v>5</v>
      </c>
      <c r="J67" s="21">
        <v>5</v>
      </c>
      <c r="K67" s="21">
        <v>5</v>
      </c>
      <c r="L67" s="21">
        <v>5</v>
      </c>
      <c r="M67" s="18">
        <v>5</v>
      </c>
      <c r="N67" s="18">
        <v>5</v>
      </c>
      <c r="O67" s="81">
        <v>5</v>
      </c>
      <c r="P67" s="81">
        <v>10</v>
      </c>
      <c r="Q67" s="81">
        <v>10</v>
      </c>
    </row>
    <row r="68" spans="1:17" x14ac:dyDescent="0.2">
      <c r="A68" s="16" t="s">
        <v>182</v>
      </c>
      <c r="B68" s="16" t="s">
        <v>59</v>
      </c>
      <c r="C68" s="21" t="s">
        <v>190</v>
      </c>
      <c r="D68" s="21" t="s">
        <v>190</v>
      </c>
      <c r="E68" s="21" t="s">
        <v>190</v>
      </c>
      <c r="F68" s="21" t="s">
        <v>190</v>
      </c>
      <c r="G68" s="21" t="s">
        <v>190</v>
      </c>
      <c r="H68" s="21">
        <v>0</v>
      </c>
      <c r="I68" s="21">
        <v>0</v>
      </c>
      <c r="J68" s="21">
        <v>0</v>
      </c>
      <c r="K68" s="21">
        <v>5</v>
      </c>
      <c r="L68" s="21">
        <v>5</v>
      </c>
      <c r="M68" s="18">
        <v>5</v>
      </c>
      <c r="N68" s="18">
        <v>5</v>
      </c>
      <c r="O68" s="81">
        <v>5</v>
      </c>
      <c r="P68" s="81">
        <v>0</v>
      </c>
      <c r="Q68" s="81">
        <v>0</v>
      </c>
    </row>
    <row r="69" spans="1:17" x14ac:dyDescent="0.2">
      <c r="A69" s="16" t="s">
        <v>182</v>
      </c>
      <c r="B69" s="16" t="s">
        <v>60</v>
      </c>
      <c r="C69" s="21" t="s">
        <v>190</v>
      </c>
      <c r="D69" s="21" t="s">
        <v>190</v>
      </c>
      <c r="E69" s="21" t="s">
        <v>190</v>
      </c>
      <c r="F69" s="21" t="s">
        <v>190</v>
      </c>
      <c r="G69" s="21" t="s">
        <v>190</v>
      </c>
      <c r="H69" s="21">
        <v>5</v>
      </c>
      <c r="I69" s="21">
        <v>5</v>
      </c>
      <c r="J69" s="21">
        <v>5</v>
      </c>
      <c r="K69" s="21">
        <v>5</v>
      </c>
      <c r="L69" s="21">
        <v>5</v>
      </c>
      <c r="M69" s="18">
        <v>5</v>
      </c>
      <c r="N69" s="18">
        <v>5</v>
      </c>
      <c r="O69" s="81">
        <v>5</v>
      </c>
      <c r="P69" s="81">
        <v>5</v>
      </c>
      <c r="Q69" s="81">
        <v>5</v>
      </c>
    </row>
    <row r="70" spans="1:17" x14ac:dyDescent="0.2">
      <c r="A70" s="16" t="s">
        <v>182</v>
      </c>
      <c r="B70" s="16" t="s">
        <v>97</v>
      </c>
      <c r="C70" s="21" t="s">
        <v>190</v>
      </c>
      <c r="D70" s="21" t="s">
        <v>190</v>
      </c>
      <c r="E70" s="21" t="s">
        <v>190</v>
      </c>
      <c r="F70" s="21" t="s">
        <v>190</v>
      </c>
      <c r="G70" s="21" t="s">
        <v>190</v>
      </c>
      <c r="H70" s="21">
        <v>5</v>
      </c>
      <c r="I70" s="21">
        <v>5</v>
      </c>
      <c r="J70" s="21">
        <v>5</v>
      </c>
      <c r="K70" s="21">
        <v>5</v>
      </c>
      <c r="L70" s="21">
        <v>5</v>
      </c>
      <c r="M70" s="18">
        <v>5</v>
      </c>
      <c r="N70" s="18">
        <v>5</v>
      </c>
      <c r="O70" s="81">
        <v>5</v>
      </c>
      <c r="P70" s="81">
        <v>5</v>
      </c>
      <c r="Q70" s="81">
        <v>5</v>
      </c>
    </row>
    <row r="71" spans="1:17" x14ac:dyDescent="0.2">
      <c r="A71" s="16" t="s">
        <v>182</v>
      </c>
      <c r="B71" s="16" t="s">
        <v>61</v>
      </c>
      <c r="C71" s="21" t="s">
        <v>190</v>
      </c>
      <c r="D71" s="21" t="s">
        <v>190</v>
      </c>
      <c r="E71" s="21" t="s">
        <v>190</v>
      </c>
      <c r="F71" s="21" t="s">
        <v>190</v>
      </c>
      <c r="G71" s="21" t="s">
        <v>190</v>
      </c>
      <c r="H71" s="21">
        <v>5</v>
      </c>
      <c r="I71" s="21">
        <v>5</v>
      </c>
      <c r="J71" s="21">
        <v>5</v>
      </c>
      <c r="K71" s="21">
        <v>5</v>
      </c>
      <c r="L71" s="21">
        <v>5</v>
      </c>
      <c r="M71" s="18">
        <v>5</v>
      </c>
      <c r="N71" s="18">
        <v>5</v>
      </c>
      <c r="O71" s="81">
        <v>5</v>
      </c>
      <c r="P71" s="81">
        <v>5</v>
      </c>
      <c r="Q71" s="81">
        <v>5</v>
      </c>
    </row>
    <row r="72" spans="1:17" x14ac:dyDescent="0.2">
      <c r="A72" s="16" t="s">
        <v>182</v>
      </c>
      <c r="B72" s="16" t="s">
        <v>62</v>
      </c>
      <c r="C72" s="21" t="s">
        <v>190</v>
      </c>
      <c r="D72" s="21" t="s">
        <v>190</v>
      </c>
      <c r="E72" s="21" t="s">
        <v>190</v>
      </c>
      <c r="F72" s="21" t="s">
        <v>190</v>
      </c>
      <c r="G72" s="21" t="s">
        <v>190</v>
      </c>
      <c r="H72" s="21">
        <v>15</v>
      </c>
      <c r="I72" s="21">
        <v>20</v>
      </c>
      <c r="J72" s="21">
        <v>20</v>
      </c>
      <c r="K72" s="21">
        <v>20</v>
      </c>
      <c r="L72" s="21">
        <v>20</v>
      </c>
      <c r="M72" s="18">
        <v>20</v>
      </c>
      <c r="N72" s="18">
        <v>20</v>
      </c>
      <c r="O72" s="81">
        <v>20</v>
      </c>
      <c r="P72" s="81">
        <v>15</v>
      </c>
      <c r="Q72" s="81">
        <v>15</v>
      </c>
    </row>
    <row r="73" spans="1:17" x14ac:dyDescent="0.2">
      <c r="A73" s="16" t="s">
        <v>182</v>
      </c>
      <c r="B73" s="16" t="s">
        <v>63</v>
      </c>
      <c r="C73" s="21" t="s">
        <v>190</v>
      </c>
      <c r="D73" s="21" t="s">
        <v>190</v>
      </c>
      <c r="E73" s="21" t="s">
        <v>190</v>
      </c>
      <c r="F73" s="21" t="s">
        <v>190</v>
      </c>
      <c r="G73" s="21" t="s">
        <v>190</v>
      </c>
      <c r="H73" s="21">
        <v>40</v>
      </c>
      <c r="I73" s="21">
        <v>40</v>
      </c>
      <c r="J73" s="21">
        <v>40</v>
      </c>
      <c r="K73" s="21">
        <v>45</v>
      </c>
      <c r="L73" s="21">
        <v>45</v>
      </c>
      <c r="M73" s="18">
        <v>50</v>
      </c>
      <c r="N73" s="18">
        <v>45</v>
      </c>
      <c r="O73" s="81">
        <v>50</v>
      </c>
      <c r="P73" s="81">
        <v>50</v>
      </c>
      <c r="Q73" s="81">
        <v>50</v>
      </c>
    </row>
    <row r="74" spans="1:17" x14ac:dyDescent="0.2">
      <c r="A74" s="16" t="s">
        <v>182</v>
      </c>
      <c r="B74" s="16" t="s">
        <v>64</v>
      </c>
      <c r="C74" s="21" t="s">
        <v>190</v>
      </c>
      <c r="D74" s="21" t="s">
        <v>190</v>
      </c>
      <c r="E74" s="21" t="s">
        <v>190</v>
      </c>
      <c r="F74" s="21" t="s">
        <v>190</v>
      </c>
      <c r="G74" s="21" t="s">
        <v>190</v>
      </c>
      <c r="H74" s="21">
        <v>70</v>
      </c>
      <c r="I74" s="21">
        <v>80</v>
      </c>
      <c r="J74" s="21">
        <v>80</v>
      </c>
      <c r="K74" s="21">
        <v>85</v>
      </c>
      <c r="L74" s="21">
        <v>90</v>
      </c>
      <c r="M74" s="18">
        <v>95</v>
      </c>
      <c r="N74" s="18">
        <v>95</v>
      </c>
      <c r="O74" s="81">
        <v>95</v>
      </c>
      <c r="P74" s="81">
        <v>90</v>
      </c>
      <c r="Q74" s="81">
        <v>90</v>
      </c>
    </row>
    <row r="75" spans="1:17" x14ac:dyDescent="0.2">
      <c r="A75" s="16" t="s">
        <v>182</v>
      </c>
      <c r="B75" s="16" t="s">
        <v>65</v>
      </c>
      <c r="C75" s="21" t="s">
        <v>190</v>
      </c>
      <c r="D75" s="21" t="s">
        <v>190</v>
      </c>
      <c r="E75" s="21" t="s">
        <v>190</v>
      </c>
      <c r="F75" s="21" t="s">
        <v>190</v>
      </c>
      <c r="G75" s="21" t="s">
        <v>190</v>
      </c>
      <c r="H75" s="21">
        <v>65</v>
      </c>
      <c r="I75" s="21">
        <v>75</v>
      </c>
      <c r="J75" s="21">
        <v>75</v>
      </c>
      <c r="K75" s="21">
        <v>85</v>
      </c>
      <c r="L75" s="21">
        <v>95</v>
      </c>
      <c r="M75" s="18">
        <v>95</v>
      </c>
      <c r="N75" s="18">
        <v>95</v>
      </c>
      <c r="O75" s="81">
        <v>90</v>
      </c>
      <c r="P75" s="81">
        <v>105</v>
      </c>
      <c r="Q75" s="81">
        <v>95</v>
      </c>
    </row>
    <row r="76" spans="1:17" x14ac:dyDescent="0.2">
      <c r="A76" s="16" t="s">
        <v>182</v>
      </c>
      <c r="B76" s="16" t="s">
        <v>66</v>
      </c>
      <c r="C76" s="21" t="s">
        <v>190</v>
      </c>
      <c r="D76" s="21" t="s">
        <v>190</v>
      </c>
      <c r="E76" s="21" t="s">
        <v>190</v>
      </c>
      <c r="F76" s="21" t="s">
        <v>190</v>
      </c>
      <c r="G76" s="21" t="s">
        <v>190</v>
      </c>
      <c r="H76" s="21">
        <v>5</v>
      </c>
      <c r="I76" s="21">
        <v>5</v>
      </c>
      <c r="J76" s="21">
        <v>5</v>
      </c>
      <c r="K76" s="21">
        <v>5</v>
      </c>
      <c r="L76" s="21">
        <v>5</v>
      </c>
      <c r="M76" s="18">
        <v>5</v>
      </c>
      <c r="N76" s="18">
        <v>5</v>
      </c>
      <c r="O76" s="81">
        <v>5</v>
      </c>
      <c r="P76" s="81">
        <v>5</v>
      </c>
      <c r="Q76" s="81">
        <v>5</v>
      </c>
    </row>
    <row r="77" spans="1:17" x14ac:dyDescent="0.2">
      <c r="A77" s="16" t="s">
        <v>182</v>
      </c>
      <c r="B77" s="16" t="s">
        <v>67</v>
      </c>
      <c r="C77" s="21" t="s">
        <v>190</v>
      </c>
      <c r="D77" s="21" t="s">
        <v>190</v>
      </c>
      <c r="E77" s="21" t="s">
        <v>190</v>
      </c>
      <c r="F77" s="21" t="s">
        <v>190</v>
      </c>
      <c r="G77" s="21" t="s">
        <v>190</v>
      </c>
      <c r="H77" s="21">
        <v>260</v>
      </c>
      <c r="I77" s="21">
        <v>280</v>
      </c>
      <c r="J77" s="21">
        <v>285</v>
      </c>
      <c r="K77" s="21">
        <v>320</v>
      </c>
      <c r="L77" s="21">
        <v>345</v>
      </c>
      <c r="M77" s="18">
        <v>355</v>
      </c>
      <c r="N77" s="18">
        <v>340</v>
      </c>
      <c r="O77" s="81">
        <v>360</v>
      </c>
      <c r="P77" s="81">
        <v>400</v>
      </c>
      <c r="Q77" s="81">
        <v>410</v>
      </c>
    </row>
    <row r="78" spans="1:17" x14ac:dyDescent="0.2">
      <c r="A78" s="16" t="s">
        <v>182</v>
      </c>
      <c r="B78" s="16" t="s">
        <v>68</v>
      </c>
      <c r="C78" s="21" t="s">
        <v>190</v>
      </c>
      <c r="D78" s="21" t="s">
        <v>190</v>
      </c>
      <c r="E78" s="21" t="s">
        <v>190</v>
      </c>
      <c r="F78" s="21" t="s">
        <v>190</v>
      </c>
      <c r="G78" s="21" t="s">
        <v>190</v>
      </c>
      <c r="H78" s="21">
        <v>30</v>
      </c>
      <c r="I78" s="21">
        <v>35</v>
      </c>
      <c r="J78" s="21">
        <v>35</v>
      </c>
      <c r="K78" s="21">
        <v>35</v>
      </c>
      <c r="L78" s="21">
        <v>40</v>
      </c>
      <c r="M78" s="18">
        <v>40</v>
      </c>
      <c r="N78" s="18">
        <v>35</v>
      </c>
      <c r="O78" s="81">
        <v>35</v>
      </c>
      <c r="P78" s="81">
        <v>35</v>
      </c>
      <c r="Q78" s="81">
        <v>40</v>
      </c>
    </row>
    <row r="79" spans="1:17" x14ac:dyDescent="0.2">
      <c r="A79" s="16" t="s">
        <v>182</v>
      </c>
      <c r="B79" s="16" t="s">
        <v>69</v>
      </c>
      <c r="C79" s="21" t="s">
        <v>190</v>
      </c>
      <c r="D79" s="21" t="s">
        <v>190</v>
      </c>
      <c r="E79" s="21" t="s">
        <v>190</v>
      </c>
      <c r="F79" s="21" t="s">
        <v>190</v>
      </c>
      <c r="G79" s="21" t="s">
        <v>190</v>
      </c>
      <c r="H79" s="21">
        <v>105</v>
      </c>
      <c r="I79" s="21">
        <v>105</v>
      </c>
      <c r="J79" s="21">
        <v>105</v>
      </c>
      <c r="K79" s="21">
        <v>110</v>
      </c>
      <c r="L79" s="21">
        <v>130</v>
      </c>
      <c r="M79" s="18">
        <v>120</v>
      </c>
      <c r="N79" s="18">
        <v>120</v>
      </c>
      <c r="O79" s="81">
        <v>115</v>
      </c>
      <c r="P79" s="81">
        <v>130</v>
      </c>
      <c r="Q79" s="81">
        <v>140</v>
      </c>
    </row>
    <row r="80" spans="1:17" x14ac:dyDescent="0.2">
      <c r="A80" s="16" t="s">
        <v>182</v>
      </c>
      <c r="B80" s="16" t="s">
        <v>70</v>
      </c>
      <c r="C80" s="21" t="s">
        <v>190</v>
      </c>
      <c r="D80" s="21" t="s">
        <v>190</v>
      </c>
      <c r="E80" s="21" t="s">
        <v>190</v>
      </c>
      <c r="F80" s="21" t="s">
        <v>190</v>
      </c>
      <c r="G80" s="21" t="s">
        <v>190</v>
      </c>
      <c r="H80" s="21">
        <v>10</v>
      </c>
      <c r="I80" s="21">
        <v>10</v>
      </c>
      <c r="J80" s="21">
        <v>10</v>
      </c>
      <c r="K80" s="21">
        <v>15</v>
      </c>
      <c r="L80" s="21">
        <v>20</v>
      </c>
      <c r="M80" s="18">
        <v>20</v>
      </c>
      <c r="N80" s="18">
        <v>20</v>
      </c>
      <c r="O80" s="81">
        <v>20</v>
      </c>
      <c r="P80" s="81">
        <v>15</v>
      </c>
      <c r="Q80" s="81">
        <v>20</v>
      </c>
    </row>
    <row r="81" spans="1:17" x14ac:dyDescent="0.2">
      <c r="A81" s="16" t="s">
        <v>182</v>
      </c>
      <c r="B81" s="16" t="s">
        <v>71</v>
      </c>
      <c r="C81" s="21" t="s">
        <v>190</v>
      </c>
      <c r="D81" s="21" t="s">
        <v>190</v>
      </c>
      <c r="E81" s="21" t="s">
        <v>190</v>
      </c>
      <c r="F81" s="21" t="s">
        <v>190</v>
      </c>
      <c r="G81" s="21" t="s">
        <v>190</v>
      </c>
      <c r="H81" s="21">
        <v>5</v>
      </c>
      <c r="I81" s="21">
        <v>10</v>
      </c>
      <c r="J81" s="21">
        <v>5</v>
      </c>
      <c r="K81" s="21">
        <v>5</v>
      </c>
      <c r="L81" s="21">
        <v>5</v>
      </c>
      <c r="M81" s="18">
        <v>5</v>
      </c>
      <c r="N81" s="18">
        <v>5</v>
      </c>
      <c r="O81" s="81">
        <v>5</v>
      </c>
      <c r="P81" s="81">
        <v>10</v>
      </c>
      <c r="Q81" s="81">
        <v>10</v>
      </c>
    </row>
    <row r="82" spans="1:17" x14ac:dyDescent="0.2">
      <c r="A82" s="16" t="s">
        <v>182</v>
      </c>
      <c r="B82" s="16" t="s">
        <v>72</v>
      </c>
      <c r="C82" s="21" t="s">
        <v>190</v>
      </c>
      <c r="D82" s="21" t="s">
        <v>190</v>
      </c>
      <c r="E82" s="21" t="s">
        <v>190</v>
      </c>
      <c r="F82" s="21" t="s">
        <v>190</v>
      </c>
      <c r="G82" s="21" t="s">
        <v>190</v>
      </c>
      <c r="H82" s="21">
        <v>20</v>
      </c>
      <c r="I82" s="21">
        <v>25</v>
      </c>
      <c r="J82" s="21">
        <v>25</v>
      </c>
      <c r="K82" s="21">
        <v>20</v>
      </c>
      <c r="L82" s="21">
        <v>25</v>
      </c>
      <c r="M82" s="18">
        <v>25</v>
      </c>
      <c r="N82" s="18">
        <v>25</v>
      </c>
      <c r="O82" s="81">
        <v>25</v>
      </c>
      <c r="P82" s="81">
        <v>35</v>
      </c>
      <c r="Q82" s="81">
        <v>40</v>
      </c>
    </row>
    <row r="83" spans="1:17" x14ac:dyDescent="0.2">
      <c r="A83" s="16" t="s">
        <v>182</v>
      </c>
      <c r="B83" s="16" t="s">
        <v>73</v>
      </c>
      <c r="C83" s="21" t="s">
        <v>190</v>
      </c>
      <c r="D83" s="21" t="s">
        <v>190</v>
      </c>
      <c r="E83" s="21" t="s">
        <v>190</v>
      </c>
      <c r="F83" s="21" t="s">
        <v>190</v>
      </c>
      <c r="G83" s="21" t="s">
        <v>190</v>
      </c>
      <c r="H83" s="21">
        <v>5</v>
      </c>
      <c r="I83" s="21">
        <v>5</v>
      </c>
      <c r="J83" s="21">
        <v>5</v>
      </c>
      <c r="K83" s="21">
        <v>5</v>
      </c>
      <c r="L83" s="21">
        <v>10</v>
      </c>
      <c r="M83" s="18">
        <v>5</v>
      </c>
      <c r="N83" s="18">
        <v>5</v>
      </c>
      <c r="O83" s="81">
        <v>5</v>
      </c>
      <c r="P83" s="81">
        <v>5</v>
      </c>
      <c r="Q83" s="81">
        <v>5</v>
      </c>
    </row>
    <row r="84" spans="1:17" x14ac:dyDescent="0.2">
      <c r="A84" s="16" t="s">
        <v>182</v>
      </c>
      <c r="B84" s="16" t="s">
        <v>53</v>
      </c>
      <c r="C84" s="21" t="s">
        <v>190</v>
      </c>
      <c r="D84" s="21" t="s">
        <v>190</v>
      </c>
      <c r="E84" s="21" t="s">
        <v>190</v>
      </c>
      <c r="F84" s="21" t="s">
        <v>190</v>
      </c>
      <c r="G84" s="21" t="s">
        <v>190</v>
      </c>
      <c r="H84" s="21">
        <v>390</v>
      </c>
      <c r="I84" s="21">
        <v>400</v>
      </c>
      <c r="J84" s="21">
        <v>400</v>
      </c>
      <c r="K84" s="21">
        <v>405</v>
      </c>
      <c r="L84" s="21">
        <v>435</v>
      </c>
      <c r="M84" s="18">
        <v>420</v>
      </c>
      <c r="N84" s="18">
        <v>425</v>
      </c>
      <c r="O84" s="81">
        <v>440</v>
      </c>
      <c r="P84" s="81">
        <v>465</v>
      </c>
      <c r="Q84" s="81">
        <v>490</v>
      </c>
    </row>
    <row r="85" spans="1:17" x14ac:dyDescent="0.2">
      <c r="A85" s="16" t="s">
        <v>182</v>
      </c>
      <c r="B85" s="16" t="s">
        <v>74</v>
      </c>
      <c r="C85" s="21" t="s">
        <v>190</v>
      </c>
      <c r="D85" s="21" t="s">
        <v>190</v>
      </c>
      <c r="E85" s="21" t="s">
        <v>190</v>
      </c>
      <c r="F85" s="21" t="s">
        <v>190</v>
      </c>
      <c r="G85" s="21" t="s">
        <v>190</v>
      </c>
      <c r="H85" s="21">
        <v>0</v>
      </c>
      <c r="I85" s="21">
        <v>5</v>
      </c>
      <c r="J85" s="21">
        <v>5</v>
      </c>
      <c r="K85" s="21">
        <v>5</v>
      </c>
      <c r="L85" s="21">
        <v>5</v>
      </c>
      <c r="M85" s="18">
        <v>5</v>
      </c>
      <c r="N85" s="18">
        <v>5</v>
      </c>
      <c r="O85" s="81">
        <v>0</v>
      </c>
      <c r="P85" s="81">
        <v>0</v>
      </c>
      <c r="Q85" s="81">
        <v>0</v>
      </c>
    </row>
    <row r="86" spans="1:17" x14ac:dyDescent="0.2">
      <c r="A86" s="16" t="s">
        <v>182</v>
      </c>
      <c r="B86" s="16" t="s">
        <v>75</v>
      </c>
      <c r="C86" s="21" t="s">
        <v>190</v>
      </c>
      <c r="D86" s="21" t="s">
        <v>190</v>
      </c>
      <c r="E86" s="21" t="s">
        <v>190</v>
      </c>
      <c r="F86" s="21" t="s">
        <v>190</v>
      </c>
      <c r="G86" s="21" t="s">
        <v>190</v>
      </c>
      <c r="H86" s="21">
        <v>20</v>
      </c>
      <c r="I86" s="21">
        <v>25</v>
      </c>
      <c r="J86" s="21">
        <v>25</v>
      </c>
      <c r="K86" s="21">
        <v>25</v>
      </c>
      <c r="L86" s="21">
        <v>20</v>
      </c>
      <c r="M86" s="18">
        <v>20</v>
      </c>
      <c r="N86" s="18">
        <v>20</v>
      </c>
      <c r="O86" s="81">
        <v>20</v>
      </c>
      <c r="P86" s="81">
        <v>25</v>
      </c>
      <c r="Q86" s="81">
        <v>25</v>
      </c>
    </row>
    <row r="87" spans="1:17" x14ac:dyDescent="0.2">
      <c r="A87" s="16" t="s">
        <v>182</v>
      </c>
      <c r="B87" s="16" t="s">
        <v>76</v>
      </c>
      <c r="C87" s="21" t="s">
        <v>190</v>
      </c>
      <c r="D87" s="21" t="s">
        <v>190</v>
      </c>
      <c r="E87" s="21" t="s">
        <v>190</v>
      </c>
      <c r="F87" s="21" t="s">
        <v>190</v>
      </c>
      <c r="G87" s="21" t="s">
        <v>190</v>
      </c>
      <c r="H87" s="21">
        <v>10</v>
      </c>
      <c r="I87" s="21">
        <v>10</v>
      </c>
      <c r="J87" s="21">
        <v>5</v>
      </c>
      <c r="K87" s="21">
        <v>10</v>
      </c>
      <c r="L87" s="21">
        <v>10</v>
      </c>
      <c r="M87" s="18">
        <v>10</v>
      </c>
      <c r="N87" s="18">
        <v>15</v>
      </c>
      <c r="O87" s="81">
        <v>10</v>
      </c>
      <c r="P87" s="81">
        <v>15</v>
      </c>
      <c r="Q87" s="81">
        <v>15</v>
      </c>
    </row>
    <row r="88" spans="1:17" x14ac:dyDescent="0.2">
      <c r="A88" s="16" t="s">
        <v>182</v>
      </c>
      <c r="B88" s="16" t="s">
        <v>77</v>
      </c>
      <c r="C88" s="21" t="s">
        <v>190</v>
      </c>
      <c r="D88" s="21" t="s">
        <v>190</v>
      </c>
      <c r="E88" s="21" t="s">
        <v>190</v>
      </c>
      <c r="F88" s="21" t="s">
        <v>190</v>
      </c>
      <c r="G88" s="21" t="s">
        <v>190</v>
      </c>
      <c r="H88" s="21">
        <v>75</v>
      </c>
      <c r="I88" s="21">
        <v>75</v>
      </c>
      <c r="J88" s="21">
        <v>85</v>
      </c>
      <c r="K88" s="21">
        <v>85</v>
      </c>
      <c r="L88" s="21">
        <v>90</v>
      </c>
      <c r="M88" s="18">
        <v>90</v>
      </c>
      <c r="N88" s="18">
        <v>95</v>
      </c>
      <c r="O88" s="81">
        <v>95</v>
      </c>
      <c r="P88" s="81">
        <v>90</v>
      </c>
      <c r="Q88" s="81">
        <v>90</v>
      </c>
    </row>
    <row r="89" spans="1:17" x14ac:dyDescent="0.2">
      <c r="A89" s="16" t="s">
        <v>182</v>
      </c>
      <c r="B89" s="16" t="s">
        <v>78</v>
      </c>
      <c r="C89" s="21" t="s">
        <v>190</v>
      </c>
      <c r="D89" s="21" t="s">
        <v>190</v>
      </c>
      <c r="E89" s="21" t="s">
        <v>190</v>
      </c>
      <c r="F89" s="21" t="s">
        <v>190</v>
      </c>
      <c r="G89" s="21" t="s">
        <v>190</v>
      </c>
      <c r="H89" s="21">
        <v>55</v>
      </c>
      <c r="I89" s="21">
        <v>55</v>
      </c>
      <c r="J89" s="21">
        <v>55</v>
      </c>
      <c r="K89" s="21">
        <v>60</v>
      </c>
      <c r="L89" s="21">
        <v>70</v>
      </c>
      <c r="M89" s="18">
        <v>65</v>
      </c>
      <c r="N89" s="18">
        <v>60</v>
      </c>
      <c r="O89" s="81">
        <v>65</v>
      </c>
      <c r="P89" s="81">
        <v>75</v>
      </c>
      <c r="Q89" s="81">
        <v>75</v>
      </c>
    </row>
    <row r="90" spans="1:17" x14ac:dyDescent="0.2">
      <c r="A90" s="16" t="s">
        <v>182</v>
      </c>
      <c r="B90" s="16" t="s">
        <v>79</v>
      </c>
      <c r="C90" s="21" t="s">
        <v>190</v>
      </c>
      <c r="D90" s="21" t="s">
        <v>190</v>
      </c>
      <c r="E90" s="21" t="s">
        <v>190</v>
      </c>
      <c r="F90" s="21" t="s">
        <v>190</v>
      </c>
      <c r="G90" s="21" t="s">
        <v>190</v>
      </c>
      <c r="H90" s="21">
        <v>90</v>
      </c>
      <c r="I90" s="21">
        <v>95</v>
      </c>
      <c r="J90" s="21">
        <v>95</v>
      </c>
      <c r="K90" s="21">
        <v>100</v>
      </c>
      <c r="L90" s="21">
        <v>110</v>
      </c>
      <c r="M90" s="18">
        <v>105</v>
      </c>
      <c r="N90" s="18">
        <v>100</v>
      </c>
      <c r="O90" s="81">
        <v>110</v>
      </c>
      <c r="P90" s="81">
        <v>120</v>
      </c>
      <c r="Q90" s="81">
        <v>125</v>
      </c>
    </row>
    <row r="91" spans="1:17" x14ac:dyDescent="0.2">
      <c r="A91" s="16" t="s">
        <v>182</v>
      </c>
      <c r="B91" s="16" t="s">
        <v>80</v>
      </c>
      <c r="C91" s="21" t="s">
        <v>190</v>
      </c>
      <c r="D91" s="21" t="s">
        <v>190</v>
      </c>
      <c r="E91" s="21" t="s">
        <v>190</v>
      </c>
      <c r="F91" s="21" t="s">
        <v>190</v>
      </c>
      <c r="G91" s="21" t="s">
        <v>190</v>
      </c>
      <c r="H91" s="21">
        <v>5</v>
      </c>
      <c r="I91" s="21">
        <v>5</v>
      </c>
      <c r="J91" s="21">
        <v>5</v>
      </c>
      <c r="K91" s="21">
        <v>5</v>
      </c>
      <c r="L91" s="21">
        <v>5</v>
      </c>
      <c r="M91" s="18">
        <v>5</v>
      </c>
      <c r="N91" s="18">
        <v>5</v>
      </c>
      <c r="O91" s="81">
        <v>5</v>
      </c>
      <c r="P91" s="81">
        <v>5</v>
      </c>
      <c r="Q91" s="81">
        <v>0</v>
      </c>
    </row>
    <row r="92" spans="1:17" x14ac:dyDescent="0.2">
      <c r="A92" s="16" t="s">
        <v>182</v>
      </c>
      <c r="B92" s="16" t="s">
        <v>81</v>
      </c>
      <c r="C92" s="21" t="s">
        <v>190</v>
      </c>
      <c r="D92" s="21" t="s">
        <v>190</v>
      </c>
      <c r="E92" s="21" t="s">
        <v>190</v>
      </c>
      <c r="F92" s="21" t="s">
        <v>190</v>
      </c>
      <c r="G92" s="21" t="s">
        <v>190</v>
      </c>
      <c r="H92" s="21">
        <v>125</v>
      </c>
      <c r="I92" s="21">
        <v>125</v>
      </c>
      <c r="J92" s="21">
        <v>140</v>
      </c>
      <c r="K92" s="21">
        <v>145</v>
      </c>
      <c r="L92" s="21">
        <v>155</v>
      </c>
      <c r="M92" s="18">
        <v>145</v>
      </c>
      <c r="N92" s="18">
        <v>145</v>
      </c>
      <c r="O92" s="81">
        <v>155</v>
      </c>
      <c r="P92" s="81">
        <v>165</v>
      </c>
      <c r="Q92" s="81">
        <v>155</v>
      </c>
    </row>
    <row r="93" spans="1:17" x14ac:dyDescent="0.2">
      <c r="A93" s="16" t="s">
        <v>182</v>
      </c>
      <c r="B93" s="16" t="s">
        <v>82</v>
      </c>
      <c r="C93" s="21" t="s">
        <v>190</v>
      </c>
      <c r="D93" s="21" t="s">
        <v>190</v>
      </c>
      <c r="E93" s="21" t="s">
        <v>190</v>
      </c>
      <c r="F93" s="21" t="s">
        <v>190</v>
      </c>
      <c r="G93" s="21" t="s">
        <v>190</v>
      </c>
      <c r="H93" s="21">
        <v>0</v>
      </c>
      <c r="I93" s="21">
        <v>0</v>
      </c>
      <c r="J93" s="21">
        <v>5</v>
      </c>
      <c r="K93" s="21">
        <v>5</v>
      </c>
      <c r="L93" s="21">
        <v>5</v>
      </c>
      <c r="M93" s="18">
        <v>5</v>
      </c>
      <c r="N93" s="18">
        <v>5</v>
      </c>
      <c r="O93" s="81">
        <v>5</v>
      </c>
      <c r="P93" s="81">
        <v>5</v>
      </c>
      <c r="Q93" s="81">
        <v>5</v>
      </c>
    </row>
    <row r="94" spans="1:17" x14ac:dyDescent="0.2">
      <c r="A94" s="16" t="s">
        <v>182</v>
      </c>
      <c r="B94" s="16" t="s">
        <v>83</v>
      </c>
      <c r="C94" s="21" t="s">
        <v>190</v>
      </c>
      <c r="D94" s="21" t="s">
        <v>190</v>
      </c>
      <c r="E94" s="21" t="s">
        <v>190</v>
      </c>
      <c r="F94" s="21" t="s">
        <v>190</v>
      </c>
      <c r="G94" s="21" t="s">
        <v>190</v>
      </c>
      <c r="H94" s="21">
        <v>5</v>
      </c>
      <c r="I94" s="21">
        <v>5</v>
      </c>
      <c r="J94" s="21">
        <v>0</v>
      </c>
      <c r="K94" s="21">
        <v>5</v>
      </c>
      <c r="L94" s="21">
        <v>5</v>
      </c>
      <c r="M94" s="18">
        <v>5</v>
      </c>
      <c r="N94" s="18">
        <v>5</v>
      </c>
      <c r="O94" s="81">
        <v>5</v>
      </c>
      <c r="P94" s="81">
        <v>5</v>
      </c>
      <c r="Q94" s="81">
        <v>5</v>
      </c>
    </row>
    <row r="95" spans="1:17" x14ac:dyDescent="0.2">
      <c r="A95" s="16" t="s">
        <v>182</v>
      </c>
      <c r="B95" s="16" t="s">
        <v>84</v>
      </c>
      <c r="C95" s="21" t="s">
        <v>190</v>
      </c>
      <c r="D95" s="21" t="s">
        <v>190</v>
      </c>
      <c r="E95" s="21" t="s">
        <v>190</v>
      </c>
      <c r="F95" s="21" t="s">
        <v>190</v>
      </c>
      <c r="G95" s="21" t="s">
        <v>190</v>
      </c>
      <c r="H95" s="21">
        <v>10</v>
      </c>
      <c r="I95" s="21">
        <v>10</v>
      </c>
      <c r="J95" s="21">
        <v>10</v>
      </c>
      <c r="K95" s="21">
        <v>15</v>
      </c>
      <c r="L95" s="21">
        <v>15</v>
      </c>
      <c r="M95" s="18">
        <v>15</v>
      </c>
      <c r="N95" s="18">
        <v>10</v>
      </c>
      <c r="O95" s="81">
        <v>15</v>
      </c>
      <c r="P95" s="81">
        <v>10</v>
      </c>
      <c r="Q95" s="81">
        <v>15</v>
      </c>
    </row>
    <row r="96" spans="1:17" x14ac:dyDescent="0.2">
      <c r="A96" s="16" t="s">
        <v>182</v>
      </c>
      <c r="B96" s="16" t="s">
        <v>15</v>
      </c>
      <c r="C96" s="21" t="s">
        <v>190</v>
      </c>
      <c r="D96" s="21" t="s">
        <v>190</v>
      </c>
      <c r="E96" s="21" t="s">
        <v>190</v>
      </c>
      <c r="F96" s="21" t="s">
        <v>190</v>
      </c>
      <c r="G96" s="21" t="s">
        <v>190</v>
      </c>
      <c r="H96" s="21">
        <v>10</v>
      </c>
      <c r="I96" s="21">
        <v>10</v>
      </c>
      <c r="J96" s="21">
        <v>10</v>
      </c>
      <c r="K96" s="21">
        <v>10</v>
      </c>
      <c r="L96" s="21">
        <v>15</v>
      </c>
      <c r="M96" s="18">
        <v>15</v>
      </c>
      <c r="N96" s="18">
        <v>15</v>
      </c>
      <c r="O96" s="81">
        <v>15</v>
      </c>
      <c r="P96" s="81">
        <v>15</v>
      </c>
      <c r="Q96" s="81">
        <v>15</v>
      </c>
    </row>
    <row r="97" spans="1:17" x14ac:dyDescent="0.2">
      <c r="A97" s="16" t="s">
        <v>182</v>
      </c>
      <c r="B97" s="16" t="s">
        <v>85</v>
      </c>
      <c r="C97" s="21" t="s">
        <v>190</v>
      </c>
      <c r="D97" s="21" t="s">
        <v>190</v>
      </c>
      <c r="E97" s="21" t="s">
        <v>190</v>
      </c>
      <c r="F97" s="21" t="s">
        <v>190</v>
      </c>
      <c r="G97" s="21" t="s">
        <v>190</v>
      </c>
      <c r="H97" s="21">
        <v>50</v>
      </c>
      <c r="I97" s="21">
        <v>55</v>
      </c>
      <c r="J97" s="21">
        <v>65</v>
      </c>
      <c r="K97" s="21">
        <v>60</v>
      </c>
      <c r="L97" s="21">
        <v>70</v>
      </c>
      <c r="M97" s="18">
        <v>75</v>
      </c>
      <c r="N97" s="18">
        <v>75</v>
      </c>
      <c r="O97" s="81">
        <v>70</v>
      </c>
      <c r="P97" s="81">
        <v>75</v>
      </c>
      <c r="Q97" s="81">
        <v>70</v>
      </c>
    </row>
    <row r="98" spans="1:17" x14ac:dyDescent="0.2">
      <c r="A98" s="16" t="s">
        <v>182</v>
      </c>
      <c r="B98" s="16" t="s">
        <v>86</v>
      </c>
      <c r="C98" s="21" t="s">
        <v>190</v>
      </c>
      <c r="D98" s="21" t="s">
        <v>190</v>
      </c>
      <c r="E98" s="21" t="s">
        <v>190</v>
      </c>
      <c r="F98" s="21" t="s">
        <v>190</v>
      </c>
      <c r="G98" s="21" t="s">
        <v>190</v>
      </c>
      <c r="H98" s="21">
        <v>15</v>
      </c>
      <c r="I98" s="21">
        <v>15</v>
      </c>
      <c r="J98" s="21">
        <v>15</v>
      </c>
      <c r="K98" s="21">
        <v>15</v>
      </c>
      <c r="L98" s="21">
        <v>25</v>
      </c>
      <c r="M98" s="18">
        <v>25</v>
      </c>
      <c r="N98" s="18">
        <v>15</v>
      </c>
      <c r="O98" s="81">
        <v>20</v>
      </c>
      <c r="P98" s="81">
        <v>15</v>
      </c>
      <c r="Q98" s="81">
        <v>15</v>
      </c>
    </row>
    <row r="99" spans="1:17" x14ac:dyDescent="0.2">
      <c r="A99" s="16" t="s">
        <v>182</v>
      </c>
      <c r="B99" s="16" t="s">
        <v>87</v>
      </c>
      <c r="C99" s="21" t="s">
        <v>190</v>
      </c>
      <c r="D99" s="21" t="s">
        <v>190</v>
      </c>
      <c r="E99" s="21" t="s">
        <v>190</v>
      </c>
      <c r="F99" s="21" t="s">
        <v>190</v>
      </c>
      <c r="G99" s="21" t="s">
        <v>190</v>
      </c>
      <c r="H99" s="21">
        <v>5</v>
      </c>
      <c r="I99" s="21">
        <v>5</v>
      </c>
      <c r="J99" s="21">
        <v>5</v>
      </c>
      <c r="K99" s="21">
        <v>5</v>
      </c>
      <c r="L99" s="21">
        <v>10</v>
      </c>
      <c r="M99" s="18">
        <v>5</v>
      </c>
      <c r="N99" s="18">
        <v>5</v>
      </c>
      <c r="O99" s="81">
        <v>5</v>
      </c>
      <c r="P99" s="81">
        <v>5</v>
      </c>
      <c r="Q99" s="81">
        <v>5</v>
      </c>
    </row>
    <row r="100" spans="1:17" x14ac:dyDescent="0.2">
      <c r="A100" s="16" t="s">
        <v>182</v>
      </c>
      <c r="B100" s="16" t="s">
        <v>88</v>
      </c>
      <c r="C100" s="21" t="s">
        <v>190</v>
      </c>
      <c r="D100" s="21" t="s">
        <v>190</v>
      </c>
      <c r="E100" s="21" t="s">
        <v>190</v>
      </c>
      <c r="F100" s="21" t="s">
        <v>190</v>
      </c>
      <c r="G100" s="21" t="s">
        <v>190</v>
      </c>
      <c r="H100" s="21">
        <v>5</v>
      </c>
      <c r="I100" s="21">
        <v>5</v>
      </c>
      <c r="J100" s="21">
        <v>5</v>
      </c>
      <c r="K100" s="21">
        <v>5</v>
      </c>
      <c r="L100" s="21">
        <v>5</v>
      </c>
      <c r="M100" s="18">
        <v>5</v>
      </c>
      <c r="N100" s="18">
        <v>5</v>
      </c>
      <c r="O100" s="81">
        <v>5</v>
      </c>
      <c r="P100" s="81">
        <v>5</v>
      </c>
      <c r="Q100" s="81">
        <v>5</v>
      </c>
    </row>
    <row r="101" spans="1:17" x14ac:dyDescent="0.2">
      <c r="A101" s="16" t="s">
        <v>182</v>
      </c>
      <c r="B101" s="16" t="s">
        <v>18</v>
      </c>
      <c r="C101" s="21" t="s">
        <v>190</v>
      </c>
      <c r="D101" s="21" t="s">
        <v>190</v>
      </c>
      <c r="E101" s="21" t="s">
        <v>190</v>
      </c>
      <c r="F101" s="21" t="s">
        <v>190</v>
      </c>
      <c r="G101" s="21" t="s">
        <v>190</v>
      </c>
      <c r="H101" s="21">
        <v>10</v>
      </c>
      <c r="I101" s="21">
        <v>15</v>
      </c>
      <c r="J101" s="21">
        <v>10</v>
      </c>
      <c r="K101" s="21">
        <v>15</v>
      </c>
      <c r="L101" s="21">
        <v>15</v>
      </c>
      <c r="M101" s="18">
        <v>20</v>
      </c>
      <c r="N101" s="18">
        <v>20</v>
      </c>
      <c r="O101" s="81">
        <v>20</v>
      </c>
      <c r="P101" s="81">
        <v>15</v>
      </c>
      <c r="Q101" s="81">
        <v>15</v>
      </c>
    </row>
    <row r="102" spans="1:17" x14ac:dyDescent="0.2">
      <c r="A102" s="16" t="s">
        <v>182</v>
      </c>
      <c r="B102" s="16" t="s">
        <v>89</v>
      </c>
      <c r="C102" s="21" t="s">
        <v>190</v>
      </c>
      <c r="D102" s="21" t="s">
        <v>190</v>
      </c>
      <c r="E102" s="21" t="s">
        <v>190</v>
      </c>
      <c r="F102" s="21" t="s">
        <v>190</v>
      </c>
      <c r="G102" s="21" t="s">
        <v>190</v>
      </c>
      <c r="H102" s="21">
        <v>15</v>
      </c>
      <c r="I102" s="21">
        <v>15</v>
      </c>
      <c r="J102" s="21">
        <v>15</v>
      </c>
      <c r="K102" s="21">
        <v>15</v>
      </c>
      <c r="L102" s="21">
        <v>15</v>
      </c>
      <c r="M102" s="18">
        <v>15</v>
      </c>
      <c r="N102" s="18">
        <v>15</v>
      </c>
      <c r="O102" s="81">
        <v>15</v>
      </c>
      <c r="P102" s="81">
        <v>20</v>
      </c>
      <c r="Q102" s="81">
        <v>15</v>
      </c>
    </row>
    <row r="103" spans="1:17" x14ac:dyDescent="0.2">
      <c r="A103" s="16" t="s">
        <v>182</v>
      </c>
      <c r="B103" s="16" t="s">
        <v>90</v>
      </c>
      <c r="C103" s="21" t="s">
        <v>190</v>
      </c>
      <c r="D103" s="21" t="s">
        <v>190</v>
      </c>
      <c r="E103" s="21" t="s">
        <v>190</v>
      </c>
      <c r="F103" s="21" t="s">
        <v>190</v>
      </c>
      <c r="G103" s="21" t="s">
        <v>190</v>
      </c>
      <c r="H103" s="21">
        <v>15</v>
      </c>
      <c r="I103" s="21">
        <v>15</v>
      </c>
      <c r="J103" s="21">
        <v>10</v>
      </c>
      <c r="K103" s="21">
        <v>15</v>
      </c>
      <c r="L103" s="21">
        <v>15</v>
      </c>
      <c r="M103" s="18">
        <v>10</v>
      </c>
      <c r="N103" s="18">
        <v>10</v>
      </c>
      <c r="O103" s="81">
        <v>10</v>
      </c>
      <c r="P103" s="81">
        <v>15</v>
      </c>
      <c r="Q103" s="81">
        <v>10</v>
      </c>
    </row>
    <row r="104" spans="1:17" x14ac:dyDescent="0.2">
      <c r="A104" s="16" t="s">
        <v>182</v>
      </c>
      <c r="B104" s="16" t="s">
        <v>91</v>
      </c>
      <c r="C104" s="21" t="s">
        <v>190</v>
      </c>
      <c r="D104" s="21" t="s">
        <v>190</v>
      </c>
      <c r="E104" s="21" t="s">
        <v>190</v>
      </c>
      <c r="F104" s="21" t="s">
        <v>190</v>
      </c>
      <c r="G104" s="21" t="s">
        <v>190</v>
      </c>
      <c r="H104" s="21">
        <v>5</v>
      </c>
      <c r="I104" s="21">
        <v>10</v>
      </c>
      <c r="J104" s="21">
        <v>10</v>
      </c>
      <c r="K104" s="21">
        <v>10</v>
      </c>
      <c r="L104" s="21">
        <v>10</v>
      </c>
      <c r="M104" s="18">
        <v>10</v>
      </c>
      <c r="N104" s="18">
        <v>10</v>
      </c>
      <c r="O104" s="81">
        <v>10</v>
      </c>
      <c r="P104" s="81">
        <v>10</v>
      </c>
      <c r="Q104" s="81">
        <v>10</v>
      </c>
    </row>
    <row r="105" spans="1:17" x14ac:dyDescent="0.2">
      <c r="A105" s="16" t="s">
        <v>182</v>
      </c>
      <c r="B105" s="16" t="s">
        <v>92</v>
      </c>
      <c r="C105" s="21" t="s">
        <v>190</v>
      </c>
      <c r="D105" s="21" t="s">
        <v>190</v>
      </c>
      <c r="E105" s="21" t="s">
        <v>190</v>
      </c>
      <c r="F105" s="21" t="s">
        <v>190</v>
      </c>
      <c r="G105" s="21" t="s">
        <v>190</v>
      </c>
      <c r="H105" s="21">
        <v>5</v>
      </c>
      <c r="I105" s="21">
        <v>5</v>
      </c>
      <c r="J105" s="21">
        <v>5</v>
      </c>
      <c r="K105" s="21">
        <v>5</v>
      </c>
      <c r="L105" s="21">
        <v>5</v>
      </c>
      <c r="M105" s="18">
        <v>5</v>
      </c>
      <c r="N105" s="18">
        <v>5</v>
      </c>
      <c r="O105" s="81">
        <v>5</v>
      </c>
      <c r="P105" s="81">
        <v>10</v>
      </c>
      <c r="Q105" s="81">
        <v>10</v>
      </c>
    </row>
    <row r="106" spans="1:17" x14ac:dyDescent="0.2">
      <c r="A106" s="16" t="s">
        <v>182</v>
      </c>
      <c r="B106" s="16" t="s">
        <v>93</v>
      </c>
      <c r="C106" s="21" t="s">
        <v>190</v>
      </c>
      <c r="D106" s="21" t="s">
        <v>190</v>
      </c>
      <c r="E106" s="21" t="s">
        <v>190</v>
      </c>
      <c r="F106" s="21" t="s">
        <v>190</v>
      </c>
      <c r="G106" s="21" t="s">
        <v>190</v>
      </c>
      <c r="H106" s="21">
        <v>0</v>
      </c>
      <c r="I106" s="21">
        <v>5</v>
      </c>
      <c r="J106" s="21">
        <v>5</v>
      </c>
      <c r="K106" s="21">
        <v>0</v>
      </c>
      <c r="L106" s="21">
        <v>0</v>
      </c>
      <c r="M106" s="18">
        <v>0</v>
      </c>
      <c r="N106" s="18">
        <v>0</v>
      </c>
      <c r="O106" s="81">
        <v>0</v>
      </c>
      <c r="P106" s="81">
        <v>5</v>
      </c>
      <c r="Q106" s="81">
        <v>5</v>
      </c>
    </row>
    <row r="107" spans="1:17" x14ac:dyDescent="0.2">
      <c r="A107" s="16" t="s">
        <v>182</v>
      </c>
      <c r="B107" s="16" t="s">
        <v>94</v>
      </c>
      <c r="C107" s="21" t="s">
        <v>190</v>
      </c>
      <c r="D107" s="21" t="s">
        <v>190</v>
      </c>
      <c r="E107" s="21" t="s">
        <v>190</v>
      </c>
      <c r="F107" s="21" t="s">
        <v>190</v>
      </c>
      <c r="G107" s="21" t="s">
        <v>190</v>
      </c>
      <c r="H107" s="21">
        <v>5</v>
      </c>
      <c r="I107" s="21">
        <v>10</v>
      </c>
      <c r="J107" s="21">
        <v>10</v>
      </c>
      <c r="K107" s="21">
        <v>10</v>
      </c>
      <c r="L107" s="21">
        <v>10</v>
      </c>
      <c r="M107" s="18">
        <v>10</v>
      </c>
      <c r="N107" s="18">
        <v>10</v>
      </c>
      <c r="O107" s="81">
        <v>10</v>
      </c>
      <c r="P107" s="81">
        <v>10</v>
      </c>
      <c r="Q107" s="81">
        <v>10</v>
      </c>
    </row>
    <row r="108" spans="1:17" x14ac:dyDescent="0.2">
      <c r="A108" s="16" t="s">
        <v>182</v>
      </c>
      <c r="B108" s="16" t="s">
        <v>95</v>
      </c>
      <c r="C108" s="21" t="s">
        <v>190</v>
      </c>
      <c r="D108" s="21" t="s">
        <v>190</v>
      </c>
      <c r="E108" s="21" t="s">
        <v>190</v>
      </c>
      <c r="F108" s="21" t="s">
        <v>190</v>
      </c>
      <c r="G108" s="21" t="s">
        <v>190</v>
      </c>
      <c r="H108" s="21">
        <v>5</v>
      </c>
      <c r="I108" s="21">
        <v>10</v>
      </c>
      <c r="J108" s="21">
        <v>5</v>
      </c>
      <c r="K108" s="21">
        <v>5</v>
      </c>
      <c r="L108" s="21">
        <v>10</v>
      </c>
      <c r="M108" s="18">
        <v>10</v>
      </c>
      <c r="N108" s="18">
        <v>10</v>
      </c>
      <c r="O108" s="81">
        <v>10</v>
      </c>
      <c r="P108" s="81">
        <v>5</v>
      </c>
      <c r="Q108" s="81">
        <v>5</v>
      </c>
    </row>
    <row r="109" spans="1:17" ht="27" customHeight="1" x14ac:dyDescent="0.2">
      <c r="A109" s="17" t="s">
        <v>183</v>
      </c>
      <c r="B109" s="9" t="s">
        <v>112</v>
      </c>
      <c r="C109" s="21" t="s">
        <v>190</v>
      </c>
      <c r="D109" s="21" t="s">
        <v>190</v>
      </c>
      <c r="E109" s="21" t="s">
        <v>190</v>
      </c>
      <c r="F109" s="21" t="s">
        <v>190</v>
      </c>
      <c r="G109" s="21" t="s">
        <v>190</v>
      </c>
      <c r="H109" s="21">
        <v>20</v>
      </c>
      <c r="I109" s="21">
        <v>15</v>
      </c>
      <c r="J109" s="21">
        <v>15</v>
      </c>
      <c r="K109" s="21">
        <v>20</v>
      </c>
      <c r="L109" s="21">
        <v>20</v>
      </c>
      <c r="M109" s="18">
        <v>20</v>
      </c>
      <c r="N109" s="18">
        <v>20</v>
      </c>
      <c r="O109" s="81">
        <v>25</v>
      </c>
      <c r="P109" s="81">
        <v>25</v>
      </c>
      <c r="Q109" s="81">
        <v>25</v>
      </c>
    </row>
    <row r="110" spans="1:17" x14ac:dyDescent="0.2">
      <c r="A110" s="16" t="s">
        <v>183</v>
      </c>
      <c r="B110" s="9" t="s">
        <v>113</v>
      </c>
      <c r="C110" s="21" t="s">
        <v>190</v>
      </c>
      <c r="D110" s="21" t="s">
        <v>190</v>
      </c>
      <c r="E110" s="21" t="s">
        <v>190</v>
      </c>
      <c r="F110" s="21" t="s">
        <v>190</v>
      </c>
      <c r="G110" s="21" t="s">
        <v>190</v>
      </c>
      <c r="H110" s="21">
        <v>10</v>
      </c>
      <c r="I110" s="21">
        <v>20</v>
      </c>
      <c r="J110" s="21">
        <v>15</v>
      </c>
      <c r="K110" s="21">
        <v>15</v>
      </c>
      <c r="L110" s="21">
        <v>20</v>
      </c>
      <c r="M110" s="18">
        <v>20</v>
      </c>
      <c r="N110" s="18">
        <v>15</v>
      </c>
      <c r="O110" s="81">
        <v>15</v>
      </c>
      <c r="P110" s="81">
        <v>20</v>
      </c>
      <c r="Q110" s="81">
        <v>20</v>
      </c>
    </row>
    <row r="111" spans="1:17" x14ac:dyDescent="0.2">
      <c r="A111" s="16" t="s">
        <v>183</v>
      </c>
      <c r="B111" s="9" t="s">
        <v>114</v>
      </c>
      <c r="C111" s="21" t="s">
        <v>190</v>
      </c>
      <c r="D111" s="21" t="s">
        <v>190</v>
      </c>
      <c r="E111" s="21" t="s">
        <v>190</v>
      </c>
      <c r="F111" s="21" t="s">
        <v>190</v>
      </c>
      <c r="G111" s="21" t="s">
        <v>190</v>
      </c>
      <c r="H111" s="21">
        <v>80</v>
      </c>
      <c r="I111" s="21">
        <v>85</v>
      </c>
      <c r="J111" s="21">
        <v>100</v>
      </c>
      <c r="K111" s="21">
        <v>100</v>
      </c>
      <c r="L111" s="21">
        <v>110</v>
      </c>
      <c r="M111" s="18">
        <v>110</v>
      </c>
      <c r="N111" s="18">
        <v>115</v>
      </c>
      <c r="O111" s="81">
        <v>115</v>
      </c>
      <c r="P111" s="81">
        <v>115</v>
      </c>
      <c r="Q111" s="81">
        <v>115</v>
      </c>
    </row>
    <row r="112" spans="1:17" x14ac:dyDescent="0.2">
      <c r="A112" s="16" t="s">
        <v>183</v>
      </c>
      <c r="B112" s="9" t="s">
        <v>115</v>
      </c>
      <c r="C112" s="21" t="s">
        <v>190</v>
      </c>
      <c r="D112" s="21" t="s">
        <v>190</v>
      </c>
      <c r="E112" s="21" t="s">
        <v>190</v>
      </c>
      <c r="F112" s="21" t="s">
        <v>190</v>
      </c>
      <c r="G112" s="21" t="s">
        <v>190</v>
      </c>
      <c r="H112" s="21">
        <v>10</v>
      </c>
      <c r="I112" s="21">
        <v>10</v>
      </c>
      <c r="J112" s="21">
        <v>10</v>
      </c>
      <c r="K112" s="21">
        <v>20</v>
      </c>
      <c r="L112" s="21">
        <v>25</v>
      </c>
      <c r="M112" s="18">
        <v>20</v>
      </c>
      <c r="N112" s="18">
        <v>20</v>
      </c>
      <c r="O112" s="81">
        <v>20</v>
      </c>
      <c r="P112" s="81">
        <v>20</v>
      </c>
      <c r="Q112" s="81">
        <v>20</v>
      </c>
    </row>
    <row r="113" spans="1:17" x14ac:dyDescent="0.2">
      <c r="A113" s="16" t="s">
        <v>183</v>
      </c>
      <c r="B113" s="9" t="s">
        <v>13</v>
      </c>
      <c r="C113" s="21" t="s">
        <v>190</v>
      </c>
      <c r="D113" s="21" t="s">
        <v>190</v>
      </c>
      <c r="E113" s="21" t="s">
        <v>190</v>
      </c>
      <c r="F113" s="21" t="s">
        <v>190</v>
      </c>
      <c r="G113" s="21" t="s">
        <v>190</v>
      </c>
      <c r="H113" s="21">
        <v>30</v>
      </c>
      <c r="I113" s="21">
        <v>35</v>
      </c>
      <c r="J113" s="21">
        <v>35</v>
      </c>
      <c r="K113" s="21">
        <v>35</v>
      </c>
      <c r="L113" s="21">
        <v>35</v>
      </c>
      <c r="M113" s="18">
        <v>35</v>
      </c>
      <c r="N113" s="18">
        <v>30</v>
      </c>
      <c r="O113" s="81">
        <v>35</v>
      </c>
      <c r="P113" s="81">
        <v>35</v>
      </c>
      <c r="Q113" s="81">
        <v>35</v>
      </c>
    </row>
    <row r="114" spans="1:17" x14ac:dyDescent="0.2">
      <c r="A114" s="16" t="s">
        <v>183</v>
      </c>
      <c r="B114" s="9" t="s">
        <v>116</v>
      </c>
      <c r="C114" s="21" t="s">
        <v>190</v>
      </c>
      <c r="D114" s="21" t="s">
        <v>190</v>
      </c>
      <c r="E114" s="21" t="s">
        <v>190</v>
      </c>
      <c r="F114" s="21" t="s">
        <v>190</v>
      </c>
      <c r="G114" s="21" t="s">
        <v>190</v>
      </c>
      <c r="H114" s="21">
        <v>10</v>
      </c>
      <c r="I114" s="21">
        <v>10</v>
      </c>
      <c r="J114" s="21">
        <v>10</v>
      </c>
      <c r="K114" s="21">
        <v>10</v>
      </c>
      <c r="L114" s="21">
        <v>15</v>
      </c>
      <c r="M114" s="18">
        <v>15</v>
      </c>
      <c r="N114" s="18">
        <v>15</v>
      </c>
      <c r="O114" s="81">
        <v>15</v>
      </c>
      <c r="P114" s="81">
        <v>15</v>
      </c>
      <c r="Q114" s="81">
        <v>15</v>
      </c>
    </row>
    <row r="115" spans="1:17" x14ac:dyDescent="0.2">
      <c r="A115" s="16" t="s">
        <v>183</v>
      </c>
      <c r="B115" s="9" t="s">
        <v>117</v>
      </c>
      <c r="C115" s="21" t="s">
        <v>190</v>
      </c>
      <c r="D115" s="21" t="s">
        <v>190</v>
      </c>
      <c r="E115" s="21" t="s">
        <v>190</v>
      </c>
      <c r="F115" s="21" t="s">
        <v>190</v>
      </c>
      <c r="G115" s="21" t="s">
        <v>190</v>
      </c>
      <c r="H115" s="21">
        <v>5</v>
      </c>
      <c r="I115" s="21">
        <v>10</v>
      </c>
      <c r="J115" s="21">
        <v>10</v>
      </c>
      <c r="K115" s="21">
        <v>10</v>
      </c>
      <c r="L115" s="21">
        <v>10</v>
      </c>
      <c r="M115" s="18">
        <v>10</v>
      </c>
      <c r="N115" s="18">
        <v>10</v>
      </c>
      <c r="O115" s="81">
        <v>10</v>
      </c>
      <c r="P115" s="81">
        <v>10</v>
      </c>
      <c r="Q115" s="81">
        <v>10</v>
      </c>
    </row>
    <row r="116" spans="1:17" x14ac:dyDescent="0.2">
      <c r="A116" s="16" t="s">
        <v>183</v>
      </c>
      <c r="B116" s="9" t="s">
        <v>118</v>
      </c>
      <c r="C116" s="21" t="s">
        <v>190</v>
      </c>
      <c r="D116" s="21" t="s">
        <v>190</v>
      </c>
      <c r="E116" s="21" t="s">
        <v>190</v>
      </c>
      <c r="F116" s="21" t="s">
        <v>190</v>
      </c>
      <c r="G116" s="21" t="s">
        <v>190</v>
      </c>
      <c r="H116" s="21">
        <v>10</v>
      </c>
      <c r="I116" s="21">
        <v>15</v>
      </c>
      <c r="J116" s="21">
        <v>10</v>
      </c>
      <c r="K116" s="21">
        <v>15</v>
      </c>
      <c r="L116" s="21">
        <v>15</v>
      </c>
      <c r="M116" s="18">
        <v>20</v>
      </c>
      <c r="N116" s="18">
        <v>20</v>
      </c>
      <c r="O116" s="81">
        <v>20</v>
      </c>
      <c r="P116" s="81">
        <v>15</v>
      </c>
      <c r="Q116" s="81">
        <v>15</v>
      </c>
    </row>
    <row r="117" spans="1:17" x14ac:dyDescent="0.2">
      <c r="A117" s="16" t="s">
        <v>183</v>
      </c>
      <c r="B117" s="9" t="s">
        <v>184</v>
      </c>
      <c r="C117" s="21" t="s">
        <v>190</v>
      </c>
      <c r="D117" s="21" t="s">
        <v>190</v>
      </c>
      <c r="E117" s="21" t="s">
        <v>190</v>
      </c>
      <c r="F117" s="21" t="s">
        <v>190</v>
      </c>
      <c r="G117" s="21" t="s">
        <v>190</v>
      </c>
      <c r="H117" s="21">
        <v>115</v>
      </c>
      <c r="I117" s="21">
        <v>120</v>
      </c>
      <c r="J117" s="21">
        <v>130</v>
      </c>
      <c r="K117" s="21">
        <v>145</v>
      </c>
      <c r="L117" s="21">
        <v>160</v>
      </c>
      <c r="M117" s="21">
        <v>170</v>
      </c>
      <c r="N117" s="21">
        <v>170</v>
      </c>
      <c r="O117" s="81">
        <v>170</v>
      </c>
      <c r="P117" s="81">
        <v>170</v>
      </c>
      <c r="Q117" s="81">
        <v>175</v>
      </c>
    </row>
    <row r="118" spans="1:17" ht="28.5" customHeight="1" x14ac:dyDescent="0.2">
      <c r="A118" s="17" t="s">
        <v>185</v>
      </c>
      <c r="B118" s="17" t="s">
        <v>111</v>
      </c>
      <c r="C118" s="21" t="s">
        <v>190</v>
      </c>
      <c r="D118" s="21" t="s">
        <v>190</v>
      </c>
      <c r="E118" s="21" t="s">
        <v>190</v>
      </c>
      <c r="F118" s="21" t="s">
        <v>190</v>
      </c>
      <c r="G118" s="21" t="s">
        <v>190</v>
      </c>
      <c r="H118" s="21">
        <v>15</v>
      </c>
      <c r="I118" s="21">
        <v>20</v>
      </c>
      <c r="J118" s="21">
        <v>15</v>
      </c>
      <c r="K118" s="21">
        <v>20</v>
      </c>
      <c r="L118" s="21">
        <v>25</v>
      </c>
      <c r="M118" s="18">
        <v>25</v>
      </c>
      <c r="N118" s="18">
        <v>20</v>
      </c>
      <c r="O118" s="81">
        <v>25</v>
      </c>
      <c r="P118" s="81">
        <v>25</v>
      </c>
      <c r="Q118" s="81">
        <v>25</v>
      </c>
    </row>
    <row r="119" spans="1:17" x14ac:dyDescent="0.2">
      <c r="A119" s="17" t="s">
        <v>185</v>
      </c>
      <c r="B119" s="9" t="s">
        <v>186</v>
      </c>
      <c r="C119" s="21" t="s">
        <v>190</v>
      </c>
      <c r="D119" s="21" t="s">
        <v>190</v>
      </c>
      <c r="E119" s="21" t="s">
        <v>190</v>
      </c>
      <c r="F119" s="21" t="s">
        <v>190</v>
      </c>
      <c r="G119" s="21" t="s">
        <v>190</v>
      </c>
      <c r="H119" s="21">
        <v>255</v>
      </c>
      <c r="I119" s="21">
        <v>250</v>
      </c>
      <c r="J119" s="21">
        <v>260</v>
      </c>
      <c r="K119" s="21">
        <v>255</v>
      </c>
      <c r="L119" s="21">
        <v>275</v>
      </c>
      <c r="M119" s="18">
        <v>270</v>
      </c>
      <c r="N119" s="18">
        <v>270</v>
      </c>
      <c r="O119" s="81">
        <v>280</v>
      </c>
      <c r="P119" s="81">
        <v>295</v>
      </c>
      <c r="Q119" s="81">
        <v>310</v>
      </c>
    </row>
    <row r="120" spans="1:17" x14ac:dyDescent="0.2">
      <c r="A120" s="17" t="s">
        <v>185</v>
      </c>
      <c r="B120" s="9" t="s">
        <v>151</v>
      </c>
      <c r="C120" s="21" t="s">
        <v>190</v>
      </c>
      <c r="D120" s="21" t="s">
        <v>190</v>
      </c>
      <c r="E120" s="21" t="s">
        <v>190</v>
      </c>
      <c r="F120" s="21" t="s">
        <v>190</v>
      </c>
      <c r="G120" s="21" t="s">
        <v>190</v>
      </c>
      <c r="H120" s="21">
        <v>325</v>
      </c>
      <c r="I120" s="21">
        <v>325</v>
      </c>
      <c r="J120" s="21">
        <v>330</v>
      </c>
      <c r="K120" s="21">
        <v>330</v>
      </c>
      <c r="L120" s="21">
        <v>360</v>
      </c>
      <c r="M120" s="21">
        <v>355</v>
      </c>
      <c r="N120" s="21">
        <v>355</v>
      </c>
      <c r="O120" s="81">
        <v>365</v>
      </c>
      <c r="P120" s="81">
        <v>385</v>
      </c>
      <c r="Q120" s="81">
        <v>405</v>
      </c>
    </row>
    <row r="121" spans="1:17" ht="28.5" customHeight="1" x14ac:dyDescent="0.2">
      <c r="A121" s="91" t="s">
        <v>270</v>
      </c>
      <c r="B121" s="92" t="s">
        <v>271</v>
      </c>
      <c r="C121" s="62" t="s">
        <v>190</v>
      </c>
      <c r="D121" s="62" t="s">
        <v>190</v>
      </c>
      <c r="E121" s="62" t="s">
        <v>190</v>
      </c>
      <c r="F121" s="62" t="s">
        <v>190</v>
      </c>
      <c r="G121" s="62" t="s">
        <v>190</v>
      </c>
      <c r="H121" s="62">
        <v>0</v>
      </c>
      <c r="I121" s="62">
        <v>0</v>
      </c>
      <c r="J121" s="62">
        <v>5</v>
      </c>
      <c r="K121" s="62">
        <v>5</v>
      </c>
      <c r="L121" s="62">
        <v>5</v>
      </c>
      <c r="M121" s="61">
        <v>5</v>
      </c>
      <c r="N121" s="18">
        <v>5</v>
      </c>
      <c r="O121" s="94">
        <v>5</v>
      </c>
      <c r="P121" s="94">
        <v>5</v>
      </c>
      <c r="Q121" s="94">
        <v>5</v>
      </c>
    </row>
    <row r="122" spans="1:17" x14ac:dyDescent="0.2">
      <c r="A122" s="91" t="s">
        <v>270</v>
      </c>
      <c r="B122" s="92" t="s">
        <v>272</v>
      </c>
      <c r="C122" s="62" t="s">
        <v>190</v>
      </c>
      <c r="D122" s="62" t="s">
        <v>190</v>
      </c>
      <c r="E122" s="62" t="s">
        <v>190</v>
      </c>
      <c r="F122" s="62" t="s">
        <v>190</v>
      </c>
      <c r="G122" s="62" t="s">
        <v>190</v>
      </c>
      <c r="H122" s="62">
        <v>5</v>
      </c>
      <c r="I122" s="62">
        <v>0</v>
      </c>
      <c r="J122" s="62">
        <v>0</v>
      </c>
      <c r="K122" s="62">
        <v>5</v>
      </c>
      <c r="L122" s="62">
        <v>5</v>
      </c>
      <c r="M122" s="61">
        <v>5</v>
      </c>
      <c r="N122" s="18">
        <v>5</v>
      </c>
      <c r="O122" s="94">
        <v>5</v>
      </c>
      <c r="P122" s="94">
        <v>5</v>
      </c>
      <c r="Q122" s="94">
        <v>5</v>
      </c>
    </row>
    <row r="123" spans="1:17" x14ac:dyDescent="0.2">
      <c r="A123" s="91" t="s">
        <v>270</v>
      </c>
      <c r="B123" s="92" t="s">
        <v>273</v>
      </c>
      <c r="C123" s="62" t="s">
        <v>190</v>
      </c>
      <c r="D123" s="62" t="s">
        <v>190</v>
      </c>
      <c r="E123" s="62" t="s">
        <v>190</v>
      </c>
      <c r="F123" s="62" t="s">
        <v>190</v>
      </c>
      <c r="G123" s="62" t="s">
        <v>190</v>
      </c>
      <c r="H123" s="62">
        <v>5</v>
      </c>
      <c r="I123" s="62">
        <v>5</v>
      </c>
      <c r="J123" s="62">
        <v>5</v>
      </c>
      <c r="K123" s="62">
        <v>5</v>
      </c>
      <c r="L123" s="62">
        <v>5</v>
      </c>
      <c r="M123" s="61">
        <v>5</v>
      </c>
      <c r="N123" s="18">
        <v>5</v>
      </c>
      <c r="O123" s="94">
        <v>5</v>
      </c>
      <c r="P123" s="94">
        <v>5</v>
      </c>
      <c r="Q123" s="94">
        <v>5</v>
      </c>
    </row>
    <row r="124" spans="1:17" x14ac:dyDescent="0.2">
      <c r="A124" s="91" t="s">
        <v>270</v>
      </c>
      <c r="B124" s="92" t="s">
        <v>274</v>
      </c>
      <c r="C124" s="62" t="s">
        <v>190</v>
      </c>
      <c r="D124" s="62" t="s">
        <v>190</v>
      </c>
      <c r="E124" s="62" t="s">
        <v>190</v>
      </c>
      <c r="F124" s="62" t="s">
        <v>190</v>
      </c>
      <c r="G124" s="62" t="s">
        <v>190</v>
      </c>
      <c r="H124" s="62">
        <v>5</v>
      </c>
      <c r="I124" s="62">
        <v>10</v>
      </c>
      <c r="J124" s="62">
        <v>5</v>
      </c>
      <c r="K124" s="62">
        <v>10</v>
      </c>
      <c r="L124" s="62">
        <v>10</v>
      </c>
      <c r="M124" s="61">
        <v>10</v>
      </c>
      <c r="N124" s="18">
        <v>10</v>
      </c>
      <c r="O124" s="94">
        <v>10</v>
      </c>
      <c r="P124" s="94">
        <v>10</v>
      </c>
      <c r="Q124" s="94">
        <v>10</v>
      </c>
    </row>
    <row r="125" spans="1:17" x14ac:dyDescent="0.2">
      <c r="A125" s="91" t="s">
        <v>270</v>
      </c>
      <c r="B125" s="92" t="s">
        <v>275</v>
      </c>
      <c r="C125" s="62" t="s">
        <v>190</v>
      </c>
      <c r="D125" s="62" t="s">
        <v>190</v>
      </c>
      <c r="E125" s="62" t="s">
        <v>190</v>
      </c>
      <c r="F125" s="62" t="s">
        <v>190</v>
      </c>
      <c r="G125" s="62" t="s">
        <v>190</v>
      </c>
      <c r="H125" s="62">
        <v>5</v>
      </c>
      <c r="I125" s="62">
        <v>10</v>
      </c>
      <c r="J125" s="62">
        <v>5</v>
      </c>
      <c r="K125" s="62">
        <v>10</v>
      </c>
      <c r="L125" s="62">
        <v>15</v>
      </c>
      <c r="M125" s="61">
        <v>15</v>
      </c>
      <c r="N125" s="18">
        <v>15</v>
      </c>
      <c r="O125" s="94">
        <v>15</v>
      </c>
      <c r="P125" s="94">
        <v>15</v>
      </c>
      <c r="Q125" s="94">
        <v>15</v>
      </c>
    </row>
    <row r="126" spans="1:17" x14ac:dyDescent="0.2">
      <c r="A126" s="91" t="s">
        <v>270</v>
      </c>
      <c r="B126" s="92" t="s">
        <v>276</v>
      </c>
      <c r="C126" s="62" t="s">
        <v>190</v>
      </c>
      <c r="D126" s="62" t="s">
        <v>190</v>
      </c>
      <c r="E126" s="62" t="s">
        <v>190</v>
      </c>
      <c r="F126" s="62" t="s">
        <v>190</v>
      </c>
      <c r="G126" s="62" t="s">
        <v>190</v>
      </c>
      <c r="H126" s="62">
        <v>0</v>
      </c>
      <c r="I126" s="62">
        <v>0</v>
      </c>
      <c r="J126" s="62">
        <v>0</v>
      </c>
      <c r="K126" s="62">
        <v>0</v>
      </c>
      <c r="L126" s="62">
        <v>0</v>
      </c>
      <c r="M126" s="61">
        <v>0</v>
      </c>
      <c r="N126" s="18">
        <v>0</v>
      </c>
      <c r="O126" s="94">
        <v>0</v>
      </c>
      <c r="P126" s="94">
        <v>0</v>
      </c>
      <c r="Q126" s="94">
        <v>0</v>
      </c>
    </row>
    <row r="127" spans="1:17" x14ac:dyDescent="0.2">
      <c r="A127" s="91" t="s">
        <v>270</v>
      </c>
      <c r="B127" s="92" t="s">
        <v>277</v>
      </c>
      <c r="C127" s="62" t="s">
        <v>190</v>
      </c>
      <c r="D127" s="62" t="s">
        <v>190</v>
      </c>
      <c r="E127" s="62" t="s">
        <v>190</v>
      </c>
      <c r="F127" s="62" t="s">
        <v>190</v>
      </c>
      <c r="G127" s="62" t="s">
        <v>190</v>
      </c>
      <c r="H127" s="62">
        <v>10</v>
      </c>
      <c r="I127" s="62">
        <v>15</v>
      </c>
      <c r="J127" s="62">
        <v>10</v>
      </c>
      <c r="K127" s="62">
        <v>15</v>
      </c>
      <c r="L127" s="62">
        <v>15</v>
      </c>
      <c r="M127" s="61">
        <v>20</v>
      </c>
      <c r="N127" s="18">
        <v>15</v>
      </c>
      <c r="O127" s="94">
        <v>15</v>
      </c>
      <c r="P127" s="94">
        <v>15</v>
      </c>
      <c r="Q127" s="94">
        <v>15</v>
      </c>
    </row>
    <row r="128" spans="1:17" x14ac:dyDescent="0.2">
      <c r="A128" s="91" t="s">
        <v>270</v>
      </c>
      <c r="B128" s="92" t="s">
        <v>278</v>
      </c>
      <c r="C128" s="62" t="s">
        <v>190</v>
      </c>
      <c r="D128" s="62" t="s">
        <v>190</v>
      </c>
      <c r="E128" s="62" t="s">
        <v>190</v>
      </c>
      <c r="F128" s="62" t="s">
        <v>190</v>
      </c>
      <c r="G128" s="62" t="s">
        <v>190</v>
      </c>
      <c r="H128" s="62">
        <v>0</v>
      </c>
      <c r="I128" s="62">
        <v>0</v>
      </c>
      <c r="J128" s="62">
        <v>0</v>
      </c>
      <c r="K128" s="62">
        <v>0</v>
      </c>
      <c r="L128" s="62">
        <v>0</v>
      </c>
      <c r="M128" s="61">
        <v>0</v>
      </c>
      <c r="N128" s="18">
        <v>0</v>
      </c>
      <c r="O128" s="94">
        <v>0</v>
      </c>
      <c r="P128" s="94">
        <v>0</v>
      </c>
      <c r="Q128" s="94">
        <v>0</v>
      </c>
    </row>
    <row r="129" spans="1:17" x14ac:dyDescent="0.2">
      <c r="A129" s="91" t="s">
        <v>270</v>
      </c>
      <c r="B129" s="92" t="s">
        <v>279</v>
      </c>
      <c r="C129" s="62" t="s">
        <v>190</v>
      </c>
      <c r="D129" s="62" t="s">
        <v>190</v>
      </c>
      <c r="E129" s="62" t="s">
        <v>190</v>
      </c>
      <c r="F129" s="62" t="s">
        <v>190</v>
      </c>
      <c r="G129" s="62" t="s">
        <v>190</v>
      </c>
      <c r="H129" s="62">
        <v>0</v>
      </c>
      <c r="I129" s="62">
        <v>0</v>
      </c>
      <c r="J129" s="62">
        <v>0</v>
      </c>
      <c r="K129" s="62">
        <v>0</v>
      </c>
      <c r="L129" s="62">
        <v>0</v>
      </c>
      <c r="M129" s="61">
        <v>0</v>
      </c>
      <c r="N129" s="18">
        <v>0</v>
      </c>
      <c r="O129" s="94">
        <v>0</v>
      </c>
      <c r="P129" s="94">
        <v>0</v>
      </c>
      <c r="Q129" s="94">
        <v>5</v>
      </c>
    </row>
    <row r="130" spans="1:17" ht="28.5" customHeight="1" x14ac:dyDescent="0.2">
      <c r="A130" s="91" t="s">
        <v>263</v>
      </c>
      <c r="B130" s="92" t="s">
        <v>280</v>
      </c>
      <c r="C130" s="62" t="s">
        <v>190</v>
      </c>
      <c r="D130" s="62" t="s">
        <v>190</v>
      </c>
      <c r="E130" s="62" t="s">
        <v>190</v>
      </c>
      <c r="F130" s="62" t="s">
        <v>190</v>
      </c>
      <c r="G130" s="62" t="s">
        <v>190</v>
      </c>
      <c r="H130" s="62">
        <v>195</v>
      </c>
      <c r="I130" s="62">
        <v>205</v>
      </c>
      <c r="J130" s="62">
        <v>215</v>
      </c>
      <c r="K130" s="62">
        <v>215</v>
      </c>
      <c r="L130" s="62">
        <v>235</v>
      </c>
      <c r="M130" s="61">
        <v>230</v>
      </c>
      <c r="N130" s="18">
        <v>225</v>
      </c>
      <c r="O130" s="94">
        <v>235</v>
      </c>
      <c r="P130" s="94">
        <v>260</v>
      </c>
      <c r="Q130" s="94">
        <v>265</v>
      </c>
    </row>
    <row r="131" spans="1:17" x14ac:dyDescent="0.2">
      <c r="A131" s="91" t="s">
        <v>263</v>
      </c>
      <c r="B131" s="92" t="s">
        <v>264</v>
      </c>
      <c r="C131" s="62" t="s">
        <v>190</v>
      </c>
      <c r="D131" s="62" t="s">
        <v>190</v>
      </c>
      <c r="E131" s="62" t="s">
        <v>190</v>
      </c>
      <c r="F131" s="62" t="s">
        <v>190</v>
      </c>
      <c r="G131" s="62" t="s">
        <v>190</v>
      </c>
      <c r="H131" s="62">
        <v>295</v>
      </c>
      <c r="I131" s="62">
        <v>305</v>
      </c>
      <c r="J131" s="62">
        <v>300</v>
      </c>
      <c r="K131" s="62">
        <v>305</v>
      </c>
      <c r="L131" s="62">
        <v>340</v>
      </c>
      <c r="M131" s="61">
        <v>335</v>
      </c>
      <c r="N131" s="18">
        <v>330</v>
      </c>
      <c r="O131" s="94">
        <v>350</v>
      </c>
      <c r="P131" s="94">
        <v>370</v>
      </c>
      <c r="Q131" s="94">
        <v>375</v>
      </c>
    </row>
    <row r="132" spans="1:17" x14ac:dyDescent="0.2">
      <c r="A132" s="91" t="s">
        <v>263</v>
      </c>
      <c r="B132" s="92" t="s">
        <v>265</v>
      </c>
      <c r="C132" s="62" t="s">
        <v>190</v>
      </c>
      <c r="D132" s="62" t="s">
        <v>190</v>
      </c>
      <c r="E132" s="62" t="s">
        <v>190</v>
      </c>
      <c r="F132" s="62" t="s">
        <v>190</v>
      </c>
      <c r="G132" s="62" t="s">
        <v>190</v>
      </c>
      <c r="H132" s="62">
        <v>295</v>
      </c>
      <c r="I132" s="62">
        <v>310</v>
      </c>
      <c r="J132" s="62">
        <v>320</v>
      </c>
      <c r="K132" s="62">
        <v>330</v>
      </c>
      <c r="L132" s="62">
        <v>370</v>
      </c>
      <c r="M132" s="61">
        <v>370</v>
      </c>
      <c r="N132" s="18">
        <v>370</v>
      </c>
      <c r="O132" s="94">
        <v>375</v>
      </c>
      <c r="P132" s="94">
        <v>425</v>
      </c>
      <c r="Q132" s="94">
        <v>475</v>
      </c>
    </row>
    <row r="133" spans="1:17" x14ac:dyDescent="0.2">
      <c r="A133" s="91" t="s">
        <v>263</v>
      </c>
      <c r="B133" s="92" t="s">
        <v>266</v>
      </c>
      <c r="C133" s="62" t="s">
        <v>190</v>
      </c>
      <c r="D133" s="62" t="s">
        <v>190</v>
      </c>
      <c r="E133" s="62" t="s">
        <v>190</v>
      </c>
      <c r="F133" s="62" t="s">
        <v>190</v>
      </c>
      <c r="G133" s="62" t="s">
        <v>190</v>
      </c>
      <c r="H133" s="62">
        <v>400</v>
      </c>
      <c r="I133" s="62">
        <v>420</v>
      </c>
      <c r="J133" s="62">
        <v>440</v>
      </c>
      <c r="K133" s="62">
        <v>465</v>
      </c>
      <c r="L133" s="62">
        <v>515</v>
      </c>
      <c r="M133" s="61">
        <v>545</v>
      </c>
      <c r="N133" s="18">
        <v>540</v>
      </c>
      <c r="O133" s="94">
        <v>560</v>
      </c>
      <c r="P133" s="94">
        <v>575</v>
      </c>
      <c r="Q133" s="94">
        <v>575</v>
      </c>
    </row>
    <row r="134" spans="1:17" x14ac:dyDescent="0.2">
      <c r="A134" s="91" t="s">
        <v>263</v>
      </c>
      <c r="B134" s="92" t="s">
        <v>281</v>
      </c>
      <c r="C134" s="62" t="s">
        <v>190</v>
      </c>
      <c r="D134" s="62" t="s">
        <v>190</v>
      </c>
      <c r="E134" s="62" t="s">
        <v>190</v>
      </c>
      <c r="F134" s="62" t="s">
        <v>190</v>
      </c>
      <c r="G134" s="62" t="s">
        <v>190</v>
      </c>
      <c r="H134" s="62">
        <v>260</v>
      </c>
      <c r="I134" s="62">
        <v>280</v>
      </c>
      <c r="J134" s="62">
        <v>280</v>
      </c>
      <c r="K134" s="62">
        <v>315</v>
      </c>
      <c r="L134" s="62">
        <v>350</v>
      </c>
      <c r="M134" s="61">
        <v>350</v>
      </c>
      <c r="N134" s="18">
        <v>335</v>
      </c>
      <c r="O134" s="94">
        <v>345</v>
      </c>
      <c r="P134" s="94">
        <v>350</v>
      </c>
      <c r="Q134" s="94">
        <v>350</v>
      </c>
    </row>
  </sheetData>
  <phoneticPr fontId="44" type="noConversion"/>
  <hyperlinks>
    <hyperlink ref="A11" location="Contents!A1" display="This cell contains a hyperlink to the Table of Contents" xr:uid="{00000000-0004-0000-0700-000000000000}"/>
    <hyperlink ref="A8" r:id="rId1" xr:uid="{D7297EF7-476D-483E-8192-A255A324A01B}"/>
    <hyperlink ref="A9" r:id="rId2" xr:uid="{48F92861-136B-4321-96A8-8246B3D603BD}"/>
  </hyperlinks>
  <pageMargins left="0.7" right="0.7" top="0.75" bottom="0.75" header="0.3" footer="0.3"/>
  <pageSetup paperSize="9" scale="30" orientation="portrait"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134"/>
  <sheetViews>
    <sheetView showGridLines="0" zoomScaleNormal="100" workbookViewId="0"/>
  </sheetViews>
  <sheetFormatPr defaultColWidth="9.140625" defaultRowHeight="15" x14ac:dyDescent="0.2"/>
  <cols>
    <col min="1" max="1" width="61.42578125" style="13" customWidth="1"/>
    <col min="2" max="2" width="54.42578125" style="9" customWidth="1"/>
    <col min="3" max="12" width="11.42578125" style="14" bestFit="1" customWidth="1"/>
    <col min="13" max="16" width="11.42578125" style="13" customWidth="1"/>
    <col min="17" max="16384" width="9.140625" style="13"/>
  </cols>
  <sheetData>
    <row r="1" spans="1:17" ht="20.25" x14ac:dyDescent="0.3">
      <c r="A1" s="22" t="s">
        <v>304</v>
      </c>
      <c r="B1" s="13"/>
      <c r="I1" s="14" t="s">
        <v>0</v>
      </c>
    </row>
    <row r="2" spans="1:17" x14ac:dyDescent="0.2">
      <c r="A2" s="9" t="s">
        <v>152</v>
      </c>
      <c r="B2" s="13"/>
    </row>
    <row r="3" spans="1:17" x14ac:dyDescent="0.2">
      <c r="A3" s="9" t="s">
        <v>234</v>
      </c>
      <c r="B3" s="13"/>
    </row>
    <row r="4" spans="1:17" x14ac:dyDescent="0.2">
      <c r="A4" s="9" t="s">
        <v>297</v>
      </c>
      <c r="B4" s="13"/>
    </row>
    <row r="5" spans="1:17" x14ac:dyDescent="0.2">
      <c r="A5" s="9" t="s">
        <v>302</v>
      </c>
      <c r="B5" s="13"/>
    </row>
    <row r="6" spans="1:17" x14ac:dyDescent="0.2">
      <c r="A6" s="9" t="s">
        <v>191</v>
      </c>
      <c r="B6" s="13"/>
    </row>
    <row r="7" spans="1:17" ht="15" customHeight="1" x14ac:dyDescent="0.2">
      <c r="A7" s="9" t="s">
        <v>339</v>
      </c>
      <c r="B7" s="13"/>
    </row>
    <row r="8" spans="1:17" x14ac:dyDescent="0.2">
      <c r="A8" s="3" t="s">
        <v>340</v>
      </c>
      <c r="B8" s="13"/>
    </row>
    <row r="9" spans="1:17" x14ac:dyDescent="0.2">
      <c r="A9" s="3" t="s">
        <v>341</v>
      </c>
      <c r="B9" s="13"/>
    </row>
    <row r="10" spans="1:17" s="27" customFormat="1" x14ac:dyDescent="0.25">
      <c r="A10" s="26" t="s">
        <v>338</v>
      </c>
      <c r="C10" s="28"/>
      <c r="D10" s="28"/>
      <c r="E10" s="28"/>
      <c r="F10" s="28"/>
      <c r="G10" s="28"/>
      <c r="H10" s="28"/>
      <c r="I10" s="28"/>
      <c r="J10" s="28"/>
      <c r="K10" s="28"/>
      <c r="L10" s="28"/>
    </row>
    <row r="11" spans="1:17" s="27" customFormat="1" ht="30" customHeight="1" x14ac:dyDescent="0.25">
      <c r="A11" s="35" t="s">
        <v>232</v>
      </c>
      <c r="C11" s="28"/>
      <c r="D11" s="28"/>
      <c r="E11" s="28"/>
      <c r="F11" s="28"/>
      <c r="G11" s="28"/>
      <c r="H11" s="28"/>
      <c r="I11" s="28"/>
      <c r="J11" s="28"/>
      <c r="K11" s="28"/>
      <c r="L11" s="28"/>
    </row>
    <row r="12" spans="1:17" ht="15.75" customHeight="1" x14ac:dyDescent="0.25">
      <c r="A12" s="23" t="s">
        <v>156</v>
      </c>
      <c r="B12" s="23" t="s">
        <v>157</v>
      </c>
      <c r="C12" s="24" t="s">
        <v>170</v>
      </c>
      <c r="D12" s="24" t="s">
        <v>171</v>
      </c>
      <c r="E12" s="24" t="s">
        <v>172</v>
      </c>
      <c r="F12" s="24" t="s">
        <v>173</v>
      </c>
      <c r="G12" s="24" t="s">
        <v>174</v>
      </c>
      <c r="H12" s="24" t="s">
        <v>175</v>
      </c>
      <c r="I12" s="24" t="s">
        <v>176</v>
      </c>
      <c r="J12" s="24" t="s">
        <v>177</v>
      </c>
      <c r="K12" s="24" t="s">
        <v>123</v>
      </c>
      <c r="L12" s="25" t="s">
        <v>150</v>
      </c>
      <c r="M12" s="24" t="s">
        <v>187</v>
      </c>
      <c r="N12" s="24" t="s">
        <v>189</v>
      </c>
      <c r="O12" s="80" t="s">
        <v>257</v>
      </c>
      <c r="P12" s="80" t="s">
        <v>316</v>
      </c>
      <c r="Q12" s="80" t="s">
        <v>337</v>
      </c>
    </row>
    <row r="13" spans="1:17" x14ac:dyDescent="0.2">
      <c r="A13" s="16" t="s">
        <v>178</v>
      </c>
      <c r="B13" s="17" t="s">
        <v>48</v>
      </c>
      <c r="C13" s="18" t="s">
        <v>190</v>
      </c>
      <c r="D13" s="18" t="s">
        <v>190</v>
      </c>
      <c r="E13" s="18" t="s">
        <v>190</v>
      </c>
      <c r="F13" s="18" t="s">
        <v>190</v>
      </c>
      <c r="G13" s="18" t="s">
        <v>190</v>
      </c>
      <c r="H13" s="18" t="s">
        <v>190</v>
      </c>
      <c r="I13" s="18" t="s">
        <v>190</v>
      </c>
      <c r="J13" s="18" t="s">
        <v>190</v>
      </c>
      <c r="K13" s="18" t="s">
        <v>190</v>
      </c>
      <c r="L13" s="18" t="s">
        <v>190</v>
      </c>
      <c r="M13" s="18" t="s">
        <v>190</v>
      </c>
      <c r="N13" s="18" t="s">
        <v>190</v>
      </c>
      <c r="O13" s="81" t="s">
        <v>190</v>
      </c>
      <c r="P13" s="81" t="s">
        <v>190</v>
      </c>
      <c r="Q13" s="81" t="s">
        <v>190</v>
      </c>
    </row>
    <row r="14" spans="1:17" x14ac:dyDescent="0.2">
      <c r="A14" s="16" t="s">
        <v>178</v>
      </c>
      <c r="B14" s="17" t="s">
        <v>1</v>
      </c>
      <c r="C14" s="29">
        <v>0.1469278572477124</v>
      </c>
      <c r="D14" s="29">
        <v>0.15655728525030799</v>
      </c>
      <c r="E14" s="29">
        <v>0.16296776553122869</v>
      </c>
      <c r="F14" s="29">
        <v>0.16492918961447678</v>
      </c>
      <c r="G14" s="29">
        <v>0.16231576351246293</v>
      </c>
      <c r="H14" s="29">
        <v>0.16593401948559713</v>
      </c>
      <c r="I14" s="29">
        <v>0.16540776430424547</v>
      </c>
      <c r="J14" s="29">
        <v>0.16569790173335072</v>
      </c>
      <c r="K14" s="29">
        <v>0.17018403010464456</v>
      </c>
      <c r="L14" s="29">
        <v>0.18097421614939965</v>
      </c>
      <c r="M14" s="29">
        <v>0.1830762864688964</v>
      </c>
      <c r="N14" s="48">
        <v>0.18881641809646463</v>
      </c>
      <c r="O14" s="29">
        <v>0.18895944928021427</v>
      </c>
      <c r="P14" s="29">
        <v>0.19406963010963973</v>
      </c>
      <c r="Q14" s="29">
        <v>0.20250464638306906</v>
      </c>
    </row>
    <row r="15" spans="1:17" ht="35.450000000000003" customHeight="1" x14ac:dyDescent="0.2">
      <c r="A15" s="17" t="s">
        <v>179</v>
      </c>
      <c r="B15" s="17" t="s">
        <v>35</v>
      </c>
      <c r="C15" s="29">
        <v>0.1955206357807279</v>
      </c>
      <c r="D15" s="29">
        <v>0.20207773271973389</v>
      </c>
      <c r="E15" s="29">
        <v>0.2309504756824042</v>
      </c>
      <c r="F15" s="29">
        <v>0.23423308717426364</v>
      </c>
      <c r="G15" s="29">
        <v>0.24717473196175022</v>
      </c>
      <c r="H15" s="29">
        <v>0.25012244897959185</v>
      </c>
      <c r="I15" s="29">
        <v>0.24948707427164546</v>
      </c>
      <c r="J15" s="29">
        <v>0.23146009751090582</v>
      </c>
      <c r="K15" s="29">
        <v>0.23382519863791146</v>
      </c>
      <c r="L15" s="29">
        <v>0.24046375785467741</v>
      </c>
      <c r="M15" s="29">
        <v>0.24072370438515792</v>
      </c>
      <c r="N15" s="48">
        <v>0.25885118937857277</v>
      </c>
      <c r="O15" s="29">
        <v>0.25214440569327928</v>
      </c>
      <c r="P15" s="29">
        <v>0.25039005247978818</v>
      </c>
      <c r="Q15" s="29">
        <v>0.25969486561806243</v>
      </c>
    </row>
    <row r="16" spans="1:17" x14ac:dyDescent="0.2">
      <c r="A16" s="16" t="s">
        <v>179</v>
      </c>
      <c r="B16" s="17" t="s">
        <v>36</v>
      </c>
      <c r="C16" s="29">
        <v>0.16247496105052303</v>
      </c>
      <c r="D16" s="29">
        <v>0.17509425226536146</v>
      </c>
      <c r="E16" s="29">
        <v>0.18195668556076144</v>
      </c>
      <c r="F16" s="29">
        <v>0.18522534956704623</v>
      </c>
      <c r="G16" s="29">
        <v>0.17651433097851565</v>
      </c>
      <c r="H16" s="29">
        <v>0.17689455684469588</v>
      </c>
      <c r="I16" s="29">
        <v>0.17862245458684628</v>
      </c>
      <c r="J16" s="29">
        <v>0.1784718436015266</v>
      </c>
      <c r="K16" s="29">
        <v>0.18160569574510618</v>
      </c>
      <c r="L16" s="29">
        <v>0.19080375431838331</v>
      </c>
      <c r="M16" s="29">
        <v>0.19083946218385028</v>
      </c>
      <c r="N16" s="48">
        <v>0.19637302476048277</v>
      </c>
      <c r="O16" s="29">
        <v>0.19880316040455673</v>
      </c>
      <c r="P16" s="29">
        <v>0.19958477937530986</v>
      </c>
      <c r="Q16" s="29">
        <v>0.20086296221833871</v>
      </c>
    </row>
    <row r="17" spans="1:17" x14ac:dyDescent="0.2">
      <c r="A17" s="16" t="s">
        <v>179</v>
      </c>
      <c r="B17" s="17" t="s">
        <v>37</v>
      </c>
      <c r="C17" s="29">
        <v>0.14540622627182992</v>
      </c>
      <c r="D17" s="29">
        <v>0.15339894613073204</v>
      </c>
      <c r="E17" s="29">
        <v>0.15126597383437113</v>
      </c>
      <c r="F17" s="29">
        <v>0.15462715672559244</v>
      </c>
      <c r="G17" s="29">
        <v>0.15561803603040716</v>
      </c>
      <c r="H17" s="29">
        <v>0.16243155109825877</v>
      </c>
      <c r="I17" s="29">
        <v>0.15954771341770113</v>
      </c>
      <c r="J17" s="29">
        <v>0.16740377719340185</v>
      </c>
      <c r="K17" s="29">
        <v>0.17467870585252648</v>
      </c>
      <c r="L17" s="29">
        <v>0.19361169905714837</v>
      </c>
      <c r="M17" s="29">
        <v>0.19346147966982574</v>
      </c>
      <c r="N17" s="48">
        <v>0.19857741217312555</v>
      </c>
      <c r="O17" s="29">
        <v>0.19964593683970075</v>
      </c>
      <c r="P17" s="29">
        <v>0.21364255956380671</v>
      </c>
      <c r="Q17" s="29">
        <v>0.22596945650546488</v>
      </c>
    </row>
    <row r="18" spans="1:17" x14ac:dyDescent="0.2">
      <c r="A18" s="16" t="s">
        <v>179</v>
      </c>
      <c r="B18" s="17" t="s">
        <v>236</v>
      </c>
      <c r="C18" s="29">
        <v>0.14481251437773177</v>
      </c>
      <c r="D18" s="29">
        <v>0.16771561771561772</v>
      </c>
      <c r="E18" s="29">
        <v>0.17425108621083923</v>
      </c>
      <c r="F18" s="29">
        <v>0.16485753052917232</v>
      </c>
      <c r="G18" s="29">
        <v>0.15178178618565771</v>
      </c>
      <c r="H18" s="29">
        <v>0.1532807264079559</v>
      </c>
      <c r="I18" s="29">
        <v>0.14117142244153616</v>
      </c>
      <c r="J18" s="29">
        <v>0.15743315508021391</v>
      </c>
      <c r="K18" s="29">
        <v>0.15153093105602999</v>
      </c>
      <c r="L18" s="29">
        <v>0.17976939203354297</v>
      </c>
      <c r="M18" s="29">
        <v>0.1934891315440351</v>
      </c>
      <c r="N18" s="48">
        <v>0.19726955233358026</v>
      </c>
      <c r="O18" s="29">
        <v>0.19986922406277244</v>
      </c>
      <c r="P18" s="29">
        <v>0.21441144114411442</v>
      </c>
      <c r="Q18" s="29">
        <v>0.25309548793284364</v>
      </c>
    </row>
    <row r="19" spans="1:17" x14ac:dyDescent="0.2">
      <c r="A19" s="16" t="s">
        <v>179</v>
      </c>
      <c r="B19" s="17" t="s">
        <v>38</v>
      </c>
      <c r="C19" s="29">
        <v>0.10925360104757748</v>
      </c>
      <c r="D19" s="29">
        <v>0.11835650960802845</v>
      </c>
      <c r="E19" s="29">
        <v>0.12058612654597597</v>
      </c>
      <c r="F19" s="29">
        <v>0.12288677996027367</v>
      </c>
      <c r="G19" s="29">
        <v>0.11801703428696222</v>
      </c>
      <c r="H19" s="29">
        <v>0.12468019785092956</v>
      </c>
      <c r="I19" s="29">
        <v>0.12861938732689887</v>
      </c>
      <c r="J19" s="29">
        <v>0.12796486090775988</v>
      </c>
      <c r="K19" s="29">
        <v>0.13098071399261388</v>
      </c>
      <c r="L19" s="29">
        <v>0.14946089973974469</v>
      </c>
      <c r="M19" s="29">
        <v>0.14870440666776696</v>
      </c>
      <c r="N19" s="48">
        <v>0.15530721509305687</v>
      </c>
      <c r="O19" s="29">
        <v>0.15230690797858781</v>
      </c>
      <c r="P19" s="29">
        <v>0.16280034859111092</v>
      </c>
      <c r="Q19" s="29">
        <v>0.16674333988540838</v>
      </c>
    </row>
    <row r="20" spans="1:17" x14ac:dyDescent="0.2">
      <c r="A20" s="16" t="s">
        <v>179</v>
      </c>
      <c r="B20" s="17" t="s">
        <v>121</v>
      </c>
      <c r="C20" s="29">
        <v>8.2210242587601082E-2</v>
      </c>
      <c r="D20" s="29">
        <v>8.7045334739061675E-2</v>
      </c>
      <c r="E20" s="29">
        <v>8.8325004867285353E-2</v>
      </c>
      <c r="F20" s="29">
        <v>9.1978267817193995E-2</v>
      </c>
      <c r="G20" s="29">
        <v>8.5875846641396886E-2</v>
      </c>
      <c r="H20" s="29">
        <v>9.384819917814842E-2</v>
      </c>
      <c r="I20" s="29">
        <v>0.10086715644947609</v>
      </c>
      <c r="J20" s="29">
        <v>9.9784508559798868E-2</v>
      </c>
      <c r="K20" s="29">
        <v>0.103366524419156</v>
      </c>
      <c r="L20" s="29">
        <v>0.10416053669157889</v>
      </c>
      <c r="M20" s="29">
        <v>0.11003599032391291</v>
      </c>
      <c r="N20" s="48">
        <v>0.11288585786073223</v>
      </c>
      <c r="O20" s="29">
        <v>0.11445204657304045</v>
      </c>
      <c r="P20" s="29">
        <v>0.11230677764565992</v>
      </c>
      <c r="Q20" s="29">
        <v>0.11480308372676747</v>
      </c>
    </row>
    <row r="21" spans="1:17" x14ac:dyDescent="0.2">
      <c r="A21" s="16" t="s">
        <v>179</v>
      </c>
      <c r="B21" s="17" t="s">
        <v>39</v>
      </c>
      <c r="C21" s="29">
        <v>0.13378465506125081</v>
      </c>
      <c r="D21" s="29">
        <v>0.14402293780326422</v>
      </c>
      <c r="E21" s="29">
        <v>0.15291638944333555</v>
      </c>
      <c r="F21" s="29">
        <v>0.14309392265193371</v>
      </c>
      <c r="G21" s="29">
        <v>0.13835527735808331</v>
      </c>
      <c r="H21" s="29">
        <v>0.15144385026737969</v>
      </c>
      <c r="I21" s="29">
        <v>0.13669911220451386</v>
      </c>
      <c r="J21" s="29">
        <v>0.14881015335801162</v>
      </c>
      <c r="K21" s="29">
        <v>0.15754072517078296</v>
      </c>
      <c r="L21" s="29">
        <v>0.1654388549778994</v>
      </c>
      <c r="M21" s="29">
        <v>0.16569117803554326</v>
      </c>
      <c r="N21" s="48">
        <v>0.16637573641719397</v>
      </c>
      <c r="O21" s="29">
        <v>0.16062062937062938</v>
      </c>
      <c r="P21" s="29">
        <v>0.17351398601398602</v>
      </c>
      <c r="Q21" s="29">
        <v>0.17653581725438014</v>
      </c>
    </row>
    <row r="22" spans="1:17" x14ac:dyDescent="0.2">
      <c r="A22" s="16" t="s">
        <v>179</v>
      </c>
      <c r="B22" s="17" t="s">
        <v>40</v>
      </c>
      <c r="C22" s="29">
        <v>9.1553599804424887E-2</v>
      </c>
      <c r="D22" s="29">
        <v>9.524407077425022E-2</v>
      </c>
      <c r="E22" s="29">
        <v>8.5880460339066947E-2</v>
      </c>
      <c r="F22" s="29">
        <v>9.0081220772827958E-2</v>
      </c>
      <c r="G22" s="29">
        <v>0.10371535761829843</v>
      </c>
      <c r="H22" s="29">
        <v>9.5855855855855862E-2</v>
      </c>
      <c r="I22" s="29">
        <v>9.1213789801292799E-2</v>
      </c>
      <c r="J22" s="29">
        <v>9.4685990338164258E-2</v>
      </c>
      <c r="K22" s="29">
        <v>0.11285562507378114</v>
      </c>
      <c r="L22" s="29">
        <v>0.1055387479636956</v>
      </c>
      <c r="M22" s="29">
        <v>0.11318051575931232</v>
      </c>
      <c r="N22" s="48">
        <v>0.11049382716049383</v>
      </c>
      <c r="O22" s="29">
        <v>0.10403185664509706</v>
      </c>
      <c r="P22" s="29">
        <v>0.12419514611193661</v>
      </c>
      <c r="Q22" s="29">
        <v>0.12410471721412694</v>
      </c>
    </row>
    <row r="23" spans="1:17" ht="36.6" customHeight="1" x14ac:dyDescent="0.2">
      <c r="A23" s="17" t="s">
        <v>180</v>
      </c>
      <c r="B23" s="17" t="s">
        <v>41</v>
      </c>
      <c r="C23" s="29">
        <v>6.1579378068739768E-2</v>
      </c>
      <c r="D23" s="29">
        <v>6.551868962620748E-2</v>
      </c>
      <c r="E23" s="29">
        <v>5.3017944535073407E-2</v>
      </c>
      <c r="F23" s="29">
        <v>6.6693370719006606E-2</v>
      </c>
      <c r="G23" s="29">
        <v>7.0620366757705819E-2</v>
      </c>
      <c r="H23" s="29">
        <v>7.9248826291079807E-2</v>
      </c>
      <c r="I23" s="29">
        <v>9.0249348716040192E-2</v>
      </c>
      <c r="J23" s="29">
        <v>8.2429906542056078E-2</v>
      </c>
      <c r="K23" s="29">
        <v>8.6491557223264542E-2</v>
      </c>
      <c r="L23" s="29">
        <v>9.13397763880993E-2</v>
      </c>
      <c r="M23" s="29">
        <v>0.10069640504423114</v>
      </c>
      <c r="N23" s="48">
        <v>0.10598904213111657</v>
      </c>
      <c r="O23" s="29">
        <v>0.10824644549763034</v>
      </c>
      <c r="P23" s="29">
        <v>0.10158311345646438</v>
      </c>
      <c r="Q23" s="29">
        <v>9.6607245543415751E-2</v>
      </c>
    </row>
    <row r="24" spans="1:17" x14ac:dyDescent="0.2">
      <c r="A24" s="16" t="s">
        <v>180</v>
      </c>
      <c r="B24" s="17" t="s">
        <v>42</v>
      </c>
      <c r="C24" s="29">
        <v>0.1037311577662772</v>
      </c>
      <c r="D24" s="29">
        <v>0.11271027180638951</v>
      </c>
      <c r="E24" s="29">
        <v>0.11531686164686752</v>
      </c>
      <c r="F24" s="29">
        <v>0.11393547251199436</v>
      </c>
      <c r="G24" s="29">
        <v>0.11166306695464363</v>
      </c>
      <c r="H24" s="29">
        <v>0.11389084394395035</v>
      </c>
      <c r="I24" s="29">
        <v>0.11418868725458983</v>
      </c>
      <c r="J24" s="29">
        <v>0.11629437744182096</v>
      </c>
      <c r="K24" s="29">
        <v>0.12637121544537078</v>
      </c>
      <c r="L24" s="29">
        <v>0.12804208694931754</v>
      </c>
      <c r="M24" s="29">
        <v>0.13027147716127954</v>
      </c>
      <c r="N24" s="48">
        <v>0.13249258476836737</v>
      </c>
      <c r="O24" s="29">
        <v>0.12694796122348087</v>
      </c>
      <c r="P24" s="29">
        <v>0.13396302850685488</v>
      </c>
      <c r="Q24" s="29">
        <v>0.14470874615647419</v>
      </c>
    </row>
    <row r="25" spans="1:17" x14ac:dyDescent="0.2">
      <c r="A25" s="16" t="s">
        <v>180</v>
      </c>
      <c r="B25" s="17" t="s">
        <v>43</v>
      </c>
      <c r="C25" s="29">
        <v>0.16665564337445021</v>
      </c>
      <c r="D25" s="29">
        <v>0.17851814174296371</v>
      </c>
      <c r="E25" s="29">
        <v>0.18223769840599063</v>
      </c>
      <c r="F25" s="29">
        <v>0.18355762914554244</v>
      </c>
      <c r="G25" s="29">
        <v>0.17291742391699436</v>
      </c>
      <c r="H25" s="29">
        <v>0.17827438597633424</v>
      </c>
      <c r="I25" s="29">
        <v>0.17221549636803873</v>
      </c>
      <c r="J25" s="29">
        <v>0.17701270174768408</v>
      </c>
      <c r="K25" s="29">
        <v>0.18049297641134376</v>
      </c>
      <c r="L25" s="29">
        <v>0.19684375000000001</v>
      </c>
      <c r="M25" s="29">
        <v>0.1958873951941543</v>
      </c>
      <c r="N25" s="48">
        <v>0.20844474153297682</v>
      </c>
      <c r="O25" s="29">
        <v>0.20647325010430373</v>
      </c>
      <c r="P25" s="29">
        <v>0.21330293640727599</v>
      </c>
      <c r="Q25" s="29">
        <v>0.22209971236816875</v>
      </c>
    </row>
    <row r="26" spans="1:17" x14ac:dyDescent="0.2">
      <c r="A26" s="16" t="s">
        <v>180</v>
      </c>
      <c r="B26" s="17" t="s">
        <v>44</v>
      </c>
      <c r="C26" s="29">
        <v>0.16220798794272795</v>
      </c>
      <c r="D26" s="29">
        <v>0.1713503265220139</v>
      </c>
      <c r="E26" s="29">
        <v>0.18389306414487369</v>
      </c>
      <c r="F26" s="29">
        <v>0.18818966459084452</v>
      </c>
      <c r="G26" s="29">
        <v>0.1914622533964567</v>
      </c>
      <c r="H26" s="29">
        <v>0.19428170913947923</v>
      </c>
      <c r="I26" s="29">
        <v>0.19674730689591907</v>
      </c>
      <c r="J26" s="29">
        <v>0.19270057737022234</v>
      </c>
      <c r="K26" s="29">
        <v>0.19474844449082349</v>
      </c>
      <c r="L26" s="29">
        <v>0.20699143510444523</v>
      </c>
      <c r="M26" s="29">
        <v>0.21042972931640924</v>
      </c>
      <c r="N26" s="48">
        <v>0.21256493213544553</v>
      </c>
      <c r="O26" s="29">
        <v>0.21777668189368771</v>
      </c>
      <c r="P26" s="29">
        <v>0.22156880602646337</v>
      </c>
      <c r="Q26" s="29">
        <v>0.22841062469758322</v>
      </c>
    </row>
    <row r="27" spans="1:17" ht="28.5" customHeight="1" x14ac:dyDescent="0.2">
      <c r="A27" s="17" t="s">
        <v>181</v>
      </c>
      <c r="B27" s="17" t="s">
        <v>45</v>
      </c>
      <c r="C27" s="29">
        <v>8.2210242587601082E-2</v>
      </c>
      <c r="D27" s="29">
        <v>8.7045334739061675E-2</v>
      </c>
      <c r="E27" s="29">
        <v>8.8325004867285353E-2</v>
      </c>
      <c r="F27" s="29">
        <v>9.1978267817193995E-2</v>
      </c>
      <c r="G27" s="29">
        <v>8.5875846641396886E-2</v>
      </c>
      <c r="H27" s="29">
        <v>9.384819917814842E-2</v>
      </c>
      <c r="I27" s="29">
        <v>0.10086715644947609</v>
      </c>
      <c r="J27" s="29">
        <v>9.9784508559798868E-2</v>
      </c>
      <c r="K27" s="29">
        <v>0.103366524419156</v>
      </c>
      <c r="L27" s="29">
        <v>0.10416053669157889</v>
      </c>
      <c r="M27" s="29">
        <v>0.11003599032391291</v>
      </c>
      <c r="N27" s="48">
        <v>0.11288585786073223</v>
      </c>
      <c r="O27" s="29">
        <v>0.11445204657304045</v>
      </c>
      <c r="P27" s="29">
        <v>0.11230677764565992</v>
      </c>
      <c r="Q27" s="29">
        <v>0.11480308372676747</v>
      </c>
    </row>
    <row r="28" spans="1:17" x14ac:dyDescent="0.2">
      <c r="A28" s="16" t="s">
        <v>181</v>
      </c>
      <c r="B28" s="17" t="s">
        <v>120</v>
      </c>
      <c r="C28" s="29">
        <v>9.1553599804424887E-2</v>
      </c>
      <c r="D28" s="29">
        <v>9.524407077425022E-2</v>
      </c>
      <c r="E28" s="29">
        <v>8.5880460339066947E-2</v>
      </c>
      <c r="F28" s="29">
        <v>9.0081220772827958E-2</v>
      </c>
      <c r="G28" s="29">
        <v>0.10371535761829843</v>
      </c>
      <c r="H28" s="29">
        <v>9.5855855855855862E-2</v>
      </c>
      <c r="I28" s="29">
        <v>9.1213789801292799E-2</v>
      </c>
      <c r="J28" s="29">
        <v>9.4685990338164258E-2</v>
      </c>
      <c r="K28" s="29">
        <v>0.11285562507378114</v>
      </c>
      <c r="L28" s="29">
        <v>0.1055387479636956</v>
      </c>
      <c r="M28" s="29">
        <v>0.11318051575931232</v>
      </c>
      <c r="N28" s="48">
        <v>0.11049382716049383</v>
      </c>
      <c r="O28" s="29">
        <v>0.10403185664509706</v>
      </c>
      <c r="P28" s="29">
        <v>0.12419514611193661</v>
      </c>
      <c r="Q28" s="29">
        <v>0.12410471721412694</v>
      </c>
    </row>
    <row r="29" spans="1:17" x14ac:dyDescent="0.2">
      <c r="A29" s="16" t="s">
        <v>181</v>
      </c>
      <c r="B29" s="17" t="s">
        <v>46</v>
      </c>
      <c r="C29" s="29">
        <v>0.15605254614020628</v>
      </c>
      <c r="D29" s="29">
        <v>0.16649939524949176</v>
      </c>
      <c r="E29" s="29">
        <v>0.17426370812071174</v>
      </c>
      <c r="F29" s="29">
        <v>0.17592540265611756</v>
      </c>
      <c r="G29" s="29">
        <v>0.17288587127448984</v>
      </c>
      <c r="H29" s="29">
        <v>0.17673895191459593</v>
      </c>
      <c r="I29" s="29">
        <v>0.17557064059395838</v>
      </c>
      <c r="J29" s="29">
        <v>0.17585710860704867</v>
      </c>
      <c r="K29" s="29">
        <v>0.179756892973614</v>
      </c>
      <c r="L29" s="29">
        <v>0.192513874129177</v>
      </c>
      <c r="M29" s="29">
        <v>0.19376738291105816</v>
      </c>
      <c r="N29" s="48">
        <v>0.20015141308948275</v>
      </c>
      <c r="O29" s="29">
        <v>0.20052380551918017</v>
      </c>
      <c r="P29" s="29">
        <v>0.20573234249875344</v>
      </c>
      <c r="Q29" s="29">
        <v>0.21500368319749066</v>
      </c>
    </row>
    <row r="30" spans="1:17" ht="30" customHeight="1" x14ac:dyDescent="0.2">
      <c r="A30" s="17" t="s">
        <v>47</v>
      </c>
      <c r="B30" s="17" t="s">
        <v>22</v>
      </c>
      <c r="C30" s="29">
        <v>0.24132324874531702</v>
      </c>
      <c r="D30" s="29">
        <v>0.23944068040939886</v>
      </c>
      <c r="E30" s="29">
        <v>0.28586557469641344</v>
      </c>
      <c r="F30" s="29">
        <v>0.29430860616107196</v>
      </c>
      <c r="G30" s="29">
        <v>0.31023611483767105</v>
      </c>
      <c r="H30" s="29">
        <v>0.3109940750493746</v>
      </c>
      <c r="I30" s="29">
        <v>0.31306606286627597</v>
      </c>
      <c r="J30" s="29">
        <v>0.30212436691052336</v>
      </c>
      <c r="K30" s="29">
        <v>0.29396306299729907</v>
      </c>
      <c r="L30" s="29">
        <v>0.30109759715218037</v>
      </c>
      <c r="M30" s="29">
        <v>0.29961457348556469</v>
      </c>
      <c r="N30" s="48">
        <v>0.32836635980652207</v>
      </c>
      <c r="O30" s="29">
        <v>0.33100325681150211</v>
      </c>
      <c r="P30" s="29">
        <v>0.3253917492804605</v>
      </c>
      <c r="Q30" s="29">
        <v>0.31974420463629094</v>
      </c>
    </row>
    <row r="31" spans="1:17" x14ac:dyDescent="0.2">
      <c r="A31" s="16" t="s">
        <v>47</v>
      </c>
      <c r="B31" s="17" t="s">
        <v>23</v>
      </c>
      <c r="C31" s="29">
        <v>0.11451431428928616</v>
      </c>
      <c r="D31" s="29">
        <v>0.13786696395392048</v>
      </c>
      <c r="E31" s="29">
        <v>0.1375750300120048</v>
      </c>
      <c r="F31" s="29">
        <v>0.1384852487890797</v>
      </c>
      <c r="G31" s="29">
        <v>0.14552924640501677</v>
      </c>
      <c r="H31" s="29">
        <v>0.15080558539205155</v>
      </c>
      <c r="I31" s="29">
        <v>0.14742356211246527</v>
      </c>
      <c r="J31" s="29">
        <v>0.12186340824787258</v>
      </c>
      <c r="K31" s="29">
        <v>0.1443466927337895</v>
      </c>
      <c r="L31" s="29">
        <v>0.15075707702435814</v>
      </c>
      <c r="M31" s="29">
        <v>0.1514984574702512</v>
      </c>
      <c r="N31" s="48">
        <v>0.15844038764931259</v>
      </c>
      <c r="O31" s="29">
        <v>0.13709583961061536</v>
      </c>
      <c r="P31" s="29">
        <v>0.14184889505958578</v>
      </c>
      <c r="Q31" s="29">
        <v>0.17295924258168802</v>
      </c>
    </row>
    <row r="32" spans="1:17" x14ac:dyDescent="0.2">
      <c r="A32" s="16" t="s">
        <v>47</v>
      </c>
      <c r="B32" s="17" t="s">
        <v>29</v>
      </c>
      <c r="C32" s="29">
        <v>0.10744101633393829</v>
      </c>
      <c r="D32" s="29">
        <v>0.12536764705882353</v>
      </c>
      <c r="E32" s="29">
        <v>0.13767850604174295</v>
      </c>
      <c r="F32" s="29">
        <v>0.14386459802538787</v>
      </c>
      <c r="G32" s="29">
        <v>0.14181438998957246</v>
      </c>
      <c r="H32" s="29">
        <v>0.14369199037469921</v>
      </c>
      <c r="I32" s="29">
        <v>0.13616298811544991</v>
      </c>
      <c r="J32" s="29">
        <v>0.12953020134228188</v>
      </c>
      <c r="K32" s="29">
        <v>0.13879709187045605</v>
      </c>
      <c r="L32" s="29">
        <v>0.13361926756845927</v>
      </c>
      <c r="M32" s="29">
        <v>0.13474240422721268</v>
      </c>
      <c r="N32" s="48">
        <v>0.13951935914552738</v>
      </c>
      <c r="O32" s="29">
        <v>0.13488843813387424</v>
      </c>
      <c r="P32" s="29">
        <v>0.13852813852813853</v>
      </c>
      <c r="Q32" s="29">
        <v>0.15258764607679465</v>
      </c>
    </row>
    <row r="33" spans="1:17" x14ac:dyDescent="0.2">
      <c r="A33" s="16" t="s">
        <v>47</v>
      </c>
      <c r="B33" s="17" t="s">
        <v>24</v>
      </c>
      <c r="C33" s="29">
        <v>6.9375239555385201E-2</v>
      </c>
      <c r="D33" s="29">
        <v>6.3796477495107626E-2</v>
      </c>
      <c r="E33" s="29">
        <v>5.0917259453388243E-2</v>
      </c>
      <c r="F33" s="29">
        <v>6.9562016930437981E-2</v>
      </c>
      <c r="G33" s="29">
        <v>6.1202185792349727E-2</v>
      </c>
      <c r="H33" s="29">
        <v>6.1166429587482217E-2</v>
      </c>
      <c r="I33" s="29">
        <v>6.786355475763016E-2</v>
      </c>
      <c r="J33" s="29">
        <v>7.5904045828857861E-2</v>
      </c>
      <c r="K33" s="29">
        <v>9.369433558959743E-2</v>
      </c>
      <c r="L33" s="29">
        <v>0.10267379679144385</v>
      </c>
      <c r="M33" s="29">
        <v>0.10227272727272728</v>
      </c>
      <c r="N33" s="48">
        <v>0.10526315789473684</v>
      </c>
      <c r="O33" s="29">
        <v>0.11194563662374821</v>
      </c>
      <c r="P33" s="29">
        <v>0.10848549946294307</v>
      </c>
      <c r="Q33" s="29">
        <v>9.8075499629903778E-2</v>
      </c>
    </row>
    <row r="34" spans="1:17" x14ac:dyDescent="0.2">
      <c r="A34" s="16" t="s">
        <v>47</v>
      </c>
      <c r="B34" s="17" t="s">
        <v>25</v>
      </c>
      <c r="C34" s="29">
        <v>0.14651907952228371</v>
      </c>
      <c r="D34" s="29">
        <v>0.1562621506026699</v>
      </c>
      <c r="E34" s="29">
        <v>0.15171435937097191</v>
      </c>
      <c r="F34" s="29">
        <v>0.15093481138318995</v>
      </c>
      <c r="G34" s="29">
        <v>0.16101179618144229</v>
      </c>
      <c r="H34" s="29">
        <v>0.1693622827788257</v>
      </c>
      <c r="I34" s="29">
        <v>0.16792714313997228</v>
      </c>
      <c r="J34" s="29">
        <v>0.1716895329119778</v>
      </c>
      <c r="K34" s="29">
        <v>0.18331303288672351</v>
      </c>
      <c r="L34" s="29">
        <v>0.19362329524511609</v>
      </c>
      <c r="M34" s="29">
        <v>0.19453627347694991</v>
      </c>
      <c r="N34" s="48">
        <v>0.18524520856820745</v>
      </c>
      <c r="O34" s="29">
        <v>0.19018867924528302</v>
      </c>
      <c r="P34" s="29">
        <v>0.20729324139965341</v>
      </c>
      <c r="Q34" s="29">
        <v>0.22458745293972768</v>
      </c>
    </row>
    <row r="35" spans="1:17" x14ac:dyDescent="0.2">
      <c r="A35" s="16" t="s">
        <v>47</v>
      </c>
      <c r="B35" s="17" t="s">
        <v>2</v>
      </c>
      <c r="C35" s="29">
        <v>0.12019704433497537</v>
      </c>
      <c r="D35" s="29">
        <v>0.12240868706811452</v>
      </c>
      <c r="E35" s="29">
        <v>0.13339552238805971</v>
      </c>
      <c r="F35" s="29">
        <v>0.13358419567262464</v>
      </c>
      <c r="G35" s="29">
        <v>0.13615870153291254</v>
      </c>
      <c r="H35" s="29">
        <v>0.12017937219730941</v>
      </c>
      <c r="I35" s="29">
        <v>0.12099644128113879</v>
      </c>
      <c r="J35" s="29">
        <v>0.14737793851717904</v>
      </c>
      <c r="K35" s="29">
        <v>0.15293040293040294</v>
      </c>
      <c r="L35" s="29">
        <v>0.15770609318996415</v>
      </c>
      <c r="M35" s="29">
        <v>0.16533333333333333</v>
      </c>
      <c r="N35" s="29">
        <v>0.16266173752310537</v>
      </c>
      <c r="O35" s="29">
        <v>0.16993464052287582</v>
      </c>
      <c r="P35" s="29">
        <v>0.17573595004460305</v>
      </c>
      <c r="Q35" s="29">
        <v>0.18233082706766918</v>
      </c>
    </row>
    <row r="36" spans="1:17" x14ac:dyDescent="0.2">
      <c r="A36" s="16" t="s">
        <v>47</v>
      </c>
      <c r="B36" s="17" t="s">
        <v>3</v>
      </c>
      <c r="C36" s="29">
        <v>8.4382871536523935E-2</v>
      </c>
      <c r="D36" s="29">
        <v>8.3458163920393749E-2</v>
      </c>
      <c r="E36" s="29">
        <v>7.4636306135357364E-2</v>
      </c>
      <c r="F36" s="29">
        <v>7.6825931382866766E-2</v>
      </c>
      <c r="G36" s="29">
        <v>9.5119418483904469E-2</v>
      </c>
      <c r="H36" s="29">
        <v>8.8706365503080087E-2</v>
      </c>
      <c r="I36" s="29">
        <v>8.9068825910931168E-2</v>
      </c>
      <c r="J36" s="29">
        <v>8.3842083842083845E-2</v>
      </c>
      <c r="K36" s="29">
        <v>0.10458167330677291</v>
      </c>
      <c r="L36" s="29">
        <v>8.8511137162954279E-2</v>
      </c>
      <c r="M36" s="29">
        <v>0.10511363636363637</v>
      </c>
      <c r="N36" s="29">
        <v>9.9328013439731203E-2</v>
      </c>
      <c r="O36" s="29">
        <v>0.10466343110360836</v>
      </c>
      <c r="P36" s="29">
        <v>0.12225969645868466</v>
      </c>
      <c r="Q36" s="29">
        <v>0.12356501774159884</v>
      </c>
    </row>
    <row r="37" spans="1:17" x14ac:dyDescent="0.2">
      <c r="A37" s="16" t="s">
        <v>47</v>
      </c>
      <c r="B37" s="17" t="s">
        <v>30</v>
      </c>
      <c r="C37" s="29">
        <v>0.1310144927536232</v>
      </c>
      <c r="D37" s="29">
        <v>0.12983030055203434</v>
      </c>
      <c r="E37" s="29">
        <v>0.13568246253543945</v>
      </c>
      <c r="F37" s="29">
        <v>0.1380287391216353</v>
      </c>
      <c r="G37" s="29">
        <v>0.13183535494134022</v>
      </c>
      <c r="H37" s="29">
        <v>0.13687096142549443</v>
      </c>
      <c r="I37" s="29">
        <v>0.14059482425646969</v>
      </c>
      <c r="J37" s="29">
        <v>0.13355365474339037</v>
      </c>
      <c r="K37" s="29">
        <v>0.14007782101167315</v>
      </c>
      <c r="L37" s="29">
        <v>0.15824651071358364</v>
      </c>
      <c r="M37" s="29">
        <v>0.16076667318599647</v>
      </c>
      <c r="N37" s="29">
        <v>0.1620967741935484</v>
      </c>
      <c r="O37" s="29">
        <v>0.16093341380004023</v>
      </c>
      <c r="P37" s="29">
        <v>0.15237351045126002</v>
      </c>
      <c r="Q37" s="29">
        <v>0.16565140499115741</v>
      </c>
    </row>
    <row r="38" spans="1:17" x14ac:dyDescent="0.2">
      <c r="A38" s="16" t="s">
        <v>47</v>
      </c>
      <c r="B38" s="17" t="s">
        <v>4</v>
      </c>
      <c r="C38" s="29">
        <v>0.10256410256410256</v>
      </c>
      <c r="D38" s="29">
        <v>0.11749539594843462</v>
      </c>
      <c r="E38" s="29">
        <v>0.1375912408759124</v>
      </c>
      <c r="F38" s="29">
        <v>0.12679690379653519</v>
      </c>
      <c r="G38" s="29">
        <v>0.11666059059423989</v>
      </c>
      <c r="H38" s="29">
        <v>0.13593974175035867</v>
      </c>
      <c r="I38" s="29">
        <v>0.1107944424652654</v>
      </c>
      <c r="J38" s="29">
        <v>0.14904862579281183</v>
      </c>
      <c r="K38" s="29">
        <v>0.1402504472271914</v>
      </c>
      <c r="L38" s="29">
        <v>0.14847942754919499</v>
      </c>
      <c r="M38" s="29">
        <v>0.13833272661084819</v>
      </c>
      <c r="N38" s="29">
        <v>0.13830181683351872</v>
      </c>
      <c r="O38" s="29">
        <v>0.1294776119402985</v>
      </c>
      <c r="P38" s="29">
        <v>0.12363362231436111</v>
      </c>
      <c r="Q38" s="29">
        <v>0.12845774914740432</v>
      </c>
    </row>
    <row r="39" spans="1:17" x14ac:dyDescent="0.2">
      <c r="A39" s="16" t="s">
        <v>47</v>
      </c>
      <c r="B39" s="17" t="s">
        <v>32</v>
      </c>
      <c r="C39" s="29">
        <v>0.15568544102019127</v>
      </c>
      <c r="D39" s="29">
        <v>0.1226158038147139</v>
      </c>
      <c r="E39" s="29">
        <v>0.13276686139139671</v>
      </c>
      <c r="F39" s="29">
        <v>0.1600609756097561</v>
      </c>
      <c r="G39" s="29">
        <v>0.12620423892100194</v>
      </c>
      <c r="H39" s="29">
        <v>0.14258734655335223</v>
      </c>
      <c r="I39" s="29">
        <v>0.18453750575241601</v>
      </c>
      <c r="J39" s="29">
        <v>0.14804597701149425</v>
      </c>
      <c r="K39" s="29">
        <v>0.15423572744014732</v>
      </c>
      <c r="L39" s="29">
        <v>0.15722120658135283</v>
      </c>
      <c r="M39" s="29">
        <v>0.15050167224080269</v>
      </c>
      <c r="N39" s="29">
        <v>0.13198220464656452</v>
      </c>
      <c r="O39" s="29">
        <v>0.12681159420289856</v>
      </c>
      <c r="P39" s="29">
        <v>0.12924819773429455</v>
      </c>
      <c r="Q39" s="29">
        <v>0.13094629156010229</v>
      </c>
    </row>
    <row r="40" spans="1:17" x14ac:dyDescent="0.2">
      <c r="A40" s="16" t="s">
        <v>47</v>
      </c>
      <c r="B40" s="17" t="s">
        <v>5</v>
      </c>
      <c r="C40" s="29">
        <v>0.13043478260869565</v>
      </c>
      <c r="D40" s="29">
        <v>9.9952852428099953E-2</v>
      </c>
      <c r="E40" s="29">
        <v>9.3925233644859815E-2</v>
      </c>
      <c r="F40" s="29">
        <v>8.673469387755102E-2</v>
      </c>
      <c r="G40" s="29">
        <v>8.473824312333629E-2</v>
      </c>
      <c r="H40" s="29">
        <v>7.8007933010136629E-2</v>
      </c>
      <c r="I40" s="29">
        <v>9.2560553633217996E-2</v>
      </c>
      <c r="J40" s="29">
        <v>0.13959500215424386</v>
      </c>
      <c r="K40" s="29">
        <v>0.13606823720552397</v>
      </c>
      <c r="L40" s="29">
        <v>0.1520125048847206</v>
      </c>
      <c r="M40" s="29">
        <v>0.14891975308641975</v>
      </c>
      <c r="N40" s="29">
        <v>0.14548872180451128</v>
      </c>
      <c r="O40" s="29">
        <v>0.15062287655719139</v>
      </c>
      <c r="P40" s="29">
        <v>0.17570579494799404</v>
      </c>
      <c r="Q40" s="29">
        <v>0.18321468714874484</v>
      </c>
    </row>
    <row r="41" spans="1:17" x14ac:dyDescent="0.2">
      <c r="A41" s="16" t="s">
        <v>47</v>
      </c>
      <c r="B41" s="17" t="s">
        <v>6</v>
      </c>
      <c r="C41" s="29">
        <v>6.4056939501779361E-2</v>
      </c>
      <c r="D41" s="29">
        <v>6.6374908825674692E-2</v>
      </c>
      <c r="E41" s="29">
        <v>6.978367062107467E-2</v>
      </c>
      <c r="F41" s="29">
        <v>7.6763485477178428E-2</v>
      </c>
      <c r="G41" s="29">
        <v>6.8540095956134334E-2</v>
      </c>
      <c r="H41" s="29">
        <v>7.3635765943458248E-2</v>
      </c>
      <c r="I41" s="29">
        <v>6.9435431537962361E-2</v>
      </c>
      <c r="J41" s="29">
        <v>5.9190031152647975E-2</v>
      </c>
      <c r="K41" s="29">
        <v>6.0679611650485438E-2</v>
      </c>
      <c r="L41" s="29">
        <v>6.6831683168316836E-2</v>
      </c>
      <c r="M41" s="29">
        <v>6.6171923314780459E-2</v>
      </c>
      <c r="N41" s="29">
        <v>8.6034912718204487E-2</v>
      </c>
      <c r="O41" s="29">
        <v>8.1812460667086223E-2</v>
      </c>
      <c r="P41" s="29">
        <v>7.746478873239436E-2</v>
      </c>
      <c r="Q41" s="29">
        <v>7.8244274809160311E-2</v>
      </c>
    </row>
    <row r="42" spans="1:17" x14ac:dyDescent="0.2">
      <c r="A42" s="16" t="s">
        <v>47</v>
      </c>
      <c r="B42" s="17" t="s">
        <v>8</v>
      </c>
      <c r="C42" s="29">
        <v>0.19387277829747426</v>
      </c>
      <c r="D42" s="29">
        <v>0.24402606806661839</v>
      </c>
      <c r="E42" s="29">
        <v>0.25650202815557144</v>
      </c>
      <c r="F42" s="29">
        <v>0.23423633815973843</v>
      </c>
      <c r="G42" s="29">
        <v>0.21177282133823869</v>
      </c>
      <c r="H42" s="29">
        <v>0.21441441441441442</v>
      </c>
      <c r="I42" s="29">
        <v>0.19770580296896087</v>
      </c>
      <c r="J42" s="29">
        <v>0.21672582076308786</v>
      </c>
      <c r="K42" s="29">
        <v>0.21588908450704225</v>
      </c>
      <c r="L42" s="29">
        <v>0.24675324675324675</v>
      </c>
      <c r="M42" s="29">
        <v>0.26945588554086281</v>
      </c>
      <c r="N42" s="29">
        <v>0.28636260494667576</v>
      </c>
      <c r="O42" s="29">
        <v>0.2774566473988439</v>
      </c>
      <c r="P42" s="29">
        <v>0.28949232585596224</v>
      </c>
      <c r="Q42" s="29">
        <v>0.35583864118895964</v>
      </c>
    </row>
    <row r="43" spans="1:17" x14ac:dyDescent="0.2">
      <c r="A43" s="16" t="s">
        <v>47</v>
      </c>
      <c r="B43" s="17" t="s">
        <v>9</v>
      </c>
      <c r="C43" s="29">
        <v>0.11339258351210542</v>
      </c>
      <c r="D43" s="29">
        <v>0.12597512123128821</v>
      </c>
      <c r="E43" s="29">
        <v>0.12489361702127659</v>
      </c>
      <c r="F43" s="29">
        <v>0.13025210084033614</v>
      </c>
      <c r="G43" s="29">
        <v>0.13351245220626226</v>
      </c>
      <c r="H43" s="29">
        <v>0.1448784376245516</v>
      </c>
      <c r="I43" s="29">
        <v>0.14372192931068151</v>
      </c>
      <c r="J43" s="29">
        <v>0.14576238201809866</v>
      </c>
      <c r="K43" s="29">
        <v>0.14358490566037735</v>
      </c>
      <c r="L43" s="29">
        <v>0.17545042875036132</v>
      </c>
      <c r="M43" s="29">
        <v>0.16903983067154127</v>
      </c>
      <c r="N43" s="29">
        <v>0.1803343949044586</v>
      </c>
      <c r="O43" s="29">
        <v>0.17593609585621567</v>
      </c>
      <c r="P43" s="29">
        <v>0.20300096805421103</v>
      </c>
      <c r="Q43" s="29">
        <v>0.19297897659658866</v>
      </c>
    </row>
    <row r="44" spans="1:17" x14ac:dyDescent="0.2">
      <c r="A44" s="16" t="s">
        <v>47</v>
      </c>
      <c r="B44" s="17" t="s">
        <v>33</v>
      </c>
      <c r="C44" s="29">
        <v>0.14344778578119449</v>
      </c>
      <c r="D44" s="29">
        <v>0.15795582562386917</v>
      </c>
      <c r="E44" s="29">
        <v>0.16851590343621814</v>
      </c>
      <c r="F44" s="29">
        <v>0.17509872084781802</v>
      </c>
      <c r="G44" s="29">
        <v>0.16743999732950562</v>
      </c>
      <c r="H44" s="29">
        <v>0.16603624642305034</v>
      </c>
      <c r="I44" s="29">
        <v>0.17315357941471951</v>
      </c>
      <c r="J44" s="29">
        <v>0.17010177302694746</v>
      </c>
      <c r="K44" s="29">
        <v>0.17010015212981744</v>
      </c>
      <c r="L44" s="29">
        <v>0.18623060426390817</v>
      </c>
      <c r="M44" s="29">
        <v>0.19375253296754685</v>
      </c>
      <c r="N44" s="29">
        <v>0.19796938158439162</v>
      </c>
      <c r="O44" s="29">
        <v>0.20592971488112152</v>
      </c>
      <c r="P44" s="29">
        <v>0.20421636097530596</v>
      </c>
      <c r="Q44" s="29">
        <v>0.20643415144245555</v>
      </c>
    </row>
    <row r="45" spans="1:17" x14ac:dyDescent="0.2">
      <c r="A45" s="16" t="s">
        <v>47</v>
      </c>
      <c r="B45" s="17" t="s">
        <v>10</v>
      </c>
      <c r="C45" s="29">
        <v>0.10097597597597598</v>
      </c>
      <c r="D45" s="29">
        <v>0.10613449691991786</v>
      </c>
      <c r="E45" s="29">
        <v>0.11819456840494709</v>
      </c>
      <c r="F45" s="29">
        <v>0.11778086692784026</v>
      </c>
      <c r="G45" s="29">
        <v>0.1046101447512468</v>
      </c>
      <c r="H45" s="29">
        <v>0.11355267846537594</v>
      </c>
      <c r="I45" s="29">
        <v>0.12005751258087707</v>
      </c>
      <c r="J45" s="29">
        <v>0.12109744560075686</v>
      </c>
      <c r="K45" s="29">
        <v>0.12518836211892895</v>
      </c>
      <c r="L45" s="29">
        <v>0.12279511533242876</v>
      </c>
      <c r="M45" s="29">
        <v>0.12670252947235894</v>
      </c>
      <c r="N45" s="29">
        <v>0.12780373831775702</v>
      </c>
      <c r="O45" s="29">
        <v>0.12726638772663879</v>
      </c>
      <c r="P45" s="29">
        <v>0.12563393268787459</v>
      </c>
      <c r="Q45" s="29">
        <v>0.12983425414364641</v>
      </c>
    </row>
    <row r="46" spans="1:17" x14ac:dyDescent="0.2">
      <c r="A46" s="16" t="s">
        <v>47</v>
      </c>
      <c r="B46" s="17" t="s">
        <v>11</v>
      </c>
      <c r="C46" s="29">
        <v>0.23168411037107517</v>
      </c>
      <c r="D46" s="29">
        <v>0.19971264367816091</v>
      </c>
      <c r="E46" s="29">
        <v>0.19951807228915663</v>
      </c>
      <c r="F46" s="29">
        <v>0.19849624060150375</v>
      </c>
      <c r="G46" s="29">
        <v>0.17575462512171372</v>
      </c>
      <c r="H46" s="29">
        <v>0.16881258941344779</v>
      </c>
      <c r="I46" s="29">
        <v>0.16122931442080379</v>
      </c>
      <c r="J46" s="29">
        <v>0.18293257897218293</v>
      </c>
      <c r="K46" s="29">
        <v>0.17799043062200956</v>
      </c>
      <c r="L46" s="29">
        <v>0.17296511627906977</v>
      </c>
      <c r="M46" s="29">
        <v>0.16906474820143885</v>
      </c>
      <c r="N46" s="29">
        <v>0.16876971608832808</v>
      </c>
      <c r="O46" s="29">
        <v>0.17217847769028871</v>
      </c>
      <c r="P46" s="29">
        <v>0.19363256784968685</v>
      </c>
      <c r="Q46" s="29">
        <v>0.15393794749403342</v>
      </c>
    </row>
    <row r="47" spans="1:17" x14ac:dyDescent="0.2">
      <c r="A47" s="16" t="s">
        <v>47</v>
      </c>
      <c r="B47" s="17" t="s">
        <v>12</v>
      </c>
      <c r="C47" s="29">
        <v>9.3242535358826609E-2</v>
      </c>
      <c r="D47" s="29">
        <v>0.10115303983228512</v>
      </c>
      <c r="E47" s="29">
        <v>0.10586403736377789</v>
      </c>
      <c r="F47" s="29">
        <v>0.11218568665377177</v>
      </c>
      <c r="G47" s="29">
        <v>0.12158341187558906</v>
      </c>
      <c r="H47" s="29">
        <v>0.1432469304229195</v>
      </c>
      <c r="I47" s="29">
        <v>0.12274368231046931</v>
      </c>
      <c r="J47" s="29">
        <v>0.16264796142042964</v>
      </c>
      <c r="K47" s="29">
        <v>0.15991820040899796</v>
      </c>
      <c r="L47" s="29">
        <v>0.16048862679022746</v>
      </c>
      <c r="M47" s="29">
        <v>0.16514143094841929</v>
      </c>
      <c r="N47" s="29">
        <v>0.17647058823529413</v>
      </c>
      <c r="O47" s="29">
        <v>0.17320261437908496</v>
      </c>
      <c r="P47" s="29">
        <v>0.18805132317562148</v>
      </c>
      <c r="Q47" s="29">
        <v>0.19465198584349194</v>
      </c>
    </row>
    <row r="48" spans="1:17" x14ac:dyDescent="0.2">
      <c r="A48" s="16" t="s">
        <v>47</v>
      </c>
      <c r="B48" s="17" t="s">
        <v>13</v>
      </c>
      <c r="C48" s="29">
        <v>6.4026646928201328E-2</v>
      </c>
      <c r="D48" s="29">
        <v>6.9412662090007626E-2</v>
      </c>
      <c r="E48" s="29">
        <v>6.5364387678437261E-2</v>
      </c>
      <c r="F48" s="29">
        <v>6.3526834611171965E-2</v>
      </c>
      <c r="G48" s="29">
        <v>5.8266569555717407E-2</v>
      </c>
      <c r="H48" s="29">
        <v>6.2410841654778886E-2</v>
      </c>
      <c r="I48" s="29">
        <v>6.5142065142065136E-2</v>
      </c>
      <c r="J48" s="29">
        <v>6.9655172413793098E-2</v>
      </c>
      <c r="K48" s="29">
        <v>6.9639794168096056E-2</v>
      </c>
      <c r="L48" s="29">
        <v>7.0334261838440118E-2</v>
      </c>
      <c r="M48" s="29">
        <v>7.6923076923076927E-2</v>
      </c>
      <c r="N48" s="29">
        <v>8.1033880544882989E-2</v>
      </c>
      <c r="O48" s="29">
        <v>8.6597197269134021E-2</v>
      </c>
      <c r="P48" s="29">
        <v>9.1613812544045103E-2</v>
      </c>
      <c r="Q48" s="29">
        <v>0.1021923620933522</v>
      </c>
    </row>
    <row r="49" spans="1:17" x14ac:dyDescent="0.2">
      <c r="A49" s="16" t="s">
        <v>47</v>
      </c>
      <c r="B49" s="17" t="s">
        <v>7</v>
      </c>
      <c r="C49" s="29">
        <v>3.4632034632034632E-2</v>
      </c>
      <c r="D49" s="29">
        <v>6.1255742725880552E-2</v>
      </c>
      <c r="E49" s="29">
        <v>5.5641421947449768E-2</v>
      </c>
      <c r="F49" s="29">
        <v>6.0331825037707391E-2</v>
      </c>
      <c r="G49" s="29">
        <v>7.1220930232558141E-2</v>
      </c>
      <c r="H49" s="29">
        <v>7.8762306610407881E-2</v>
      </c>
      <c r="I49" s="29">
        <v>8.00561797752809E-2</v>
      </c>
      <c r="J49" s="29">
        <v>7.8347578347578342E-2</v>
      </c>
      <c r="K49" s="29">
        <v>8.1005586592178769E-2</v>
      </c>
      <c r="L49" s="29">
        <v>8.3565459610027856E-2</v>
      </c>
      <c r="M49" s="29">
        <v>8.5314685314685321E-2</v>
      </c>
      <c r="N49" s="29">
        <v>9.9865047233468285E-2</v>
      </c>
      <c r="O49" s="29">
        <v>9.1275167785234895E-2</v>
      </c>
      <c r="P49" s="29">
        <v>8.9238845144356954E-2</v>
      </c>
      <c r="Q49" s="29">
        <v>0.1025974025974026</v>
      </c>
    </row>
    <row r="50" spans="1:17" x14ac:dyDescent="0.2">
      <c r="A50" s="16" t="s">
        <v>47</v>
      </c>
      <c r="B50" s="17" t="s">
        <v>14</v>
      </c>
      <c r="C50" s="29">
        <v>0.13746172167403878</v>
      </c>
      <c r="D50" s="29">
        <v>0.14121338912133891</v>
      </c>
      <c r="E50" s="29">
        <v>0.14230498945888967</v>
      </c>
      <c r="F50" s="29">
        <v>0.14028403186698996</v>
      </c>
      <c r="G50" s="29">
        <v>0.14147480814147481</v>
      </c>
      <c r="H50" s="29">
        <v>0.16290643662906437</v>
      </c>
      <c r="I50" s="29">
        <v>0.14701986754966886</v>
      </c>
      <c r="J50" s="29">
        <v>0.13606770833333334</v>
      </c>
      <c r="K50" s="29">
        <v>0.15392156862745099</v>
      </c>
      <c r="L50" s="29">
        <v>0.16857236197321138</v>
      </c>
      <c r="M50" s="29">
        <v>0.1875</v>
      </c>
      <c r="N50" s="29">
        <v>0.18362533692722371</v>
      </c>
      <c r="O50" s="29">
        <v>0.17710802573653911</v>
      </c>
      <c r="P50" s="29">
        <v>0.2037351443123939</v>
      </c>
      <c r="Q50" s="29">
        <v>0.21009549795361529</v>
      </c>
    </row>
    <row r="51" spans="1:17" x14ac:dyDescent="0.2">
      <c r="A51" s="16" t="s">
        <v>47</v>
      </c>
      <c r="B51" s="17" t="s">
        <v>31</v>
      </c>
      <c r="C51" s="29">
        <v>0.21792349726775956</v>
      </c>
      <c r="D51" s="29">
        <v>0.25036520957410946</v>
      </c>
      <c r="E51" s="29">
        <v>0.25369097261354673</v>
      </c>
      <c r="F51" s="29">
        <v>0.24357838795394154</v>
      </c>
      <c r="G51" s="29">
        <v>0.22468388630714362</v>
      </c>
      <c r="H51" s="29">
        <v>0.22726304579339723</v>
      </c>
      <c r="I51" s="29">
        <v>0.22519905315257155</v>
      </c>
      <c r="J51" s="29">
        <v>0.21297162457125038</v>
      </c>
      <c r="K51" s="29">
        <v>0.2137240886347391</v>
      </c>
      <c r="L51" s="29">
        <v>0.21940842787682333</v>
      </c>
      <c r="M51" s="29">
        <v>0.20453637090327736</v>
      </c>
      <c r="N51" s="29">
        <v>0.22205096588573778</v>
      </c>
      <c r="O51" s="29">
        <v>0.21901510448996483</v>
      </c>
      <c r="P51" s="29">
        <v>0.22590237899917964</v>
      </c>
      <c r="Q51" s="29">
        <v>0.22672519395671703</v>
      </c>
    </row>
    <row r="52" spans="1:17" x14ac:dyDescent="0.2">
      <c r="A52" s="16" t="s">
        <v>47</v>
      </c>
      <c r="B52" s="17" t="s">
        <v>15</v>
      </c>
      <c r="C52" s="29">
        <v>2.4357239512855209E-2</v>
      </c>
      <c r="D52" s="29">
        <v>3.2394366197183097E-2</v>
      </c>
      <c r="E52" s="29">
        <v>2.0491803278688523E-2</v>
      </c>
      <c r="F52" s="29">
        <v>3.017832647462277E-2</v>
      </c>
      <c r="G52" s="29">
        <v>6.6326530612244902E-2</v>
      </c>
      <c r="H52" s="29">
        <v>6.7088607594936706E-2</v>
      </c>
      <c r="I52" s="29">
        <v>7.3047858942065488E-2</v>
      </c>
      <c r="J52" s="29">
        <v>4.192355117139334E-2</v>
      </c>
      <c r="K52" s="29">
        <v>4.778972520908005E-2</v>
      </c>
      <c r="L52" s="29">
        <v>4.457831325301205E-2</v>
      </c>
      <c r="M52" s="29">
        <v>7.5029308323563887E-2</v>
      </c>
      <c r="N52" s="29">
        <v>8.0047789725209081E-2</v>
      </c>
      <c r="O52" s="29">
        <v>7.9041916167664678E-2</v>
      </c>
      <c r="P52" s="29">
        <v>7.5903614457831323E-2</v>
      </c>
      <c r="Q52" s="29">
        <v>7.4733096085409248E-2</v>
      </c>
    </row>
    <row r="53" spans="1:17" x14ac:dyDescent="0.2">
      <c r="A53" s="16" t="s">
        <v>47</v>
      </c>
      <c r="B53" s="17" t="s">
        <v>16</v>
      </c>
      <c r="C53" s="29">
        <v>8.0716624927759578E-2</v>
      </c>
      <c r="D53" s="29">
        <v>8.9578454332552696E-2</v>
      </c>
      <c r="E53" s="29">
        <v>8.9765580331618064E-2</v>
      </c>
      <c r="F53" s="29">
        <v>8.47331093691676E-2</v>
      </c>
      <c r="G53" s="29">
        <v>6.3817771084337352E-2</v>
      </c>
      <c r="H53" s="29">
        <v>6.537037037037037E-2</v>
      </c>
      <c r="I53" s="29">
        <v>8.4903934126258004E-2</v>
      </c>
      <c r="J53" s="29">
        <v>8.8662790697674423E-2</v>
      </c>
      <c r="K53" s="29">
        <v>9.4575303354746607E-2</v>
      </c>
      <c r="L53" s="29">
        <v>0.10280210157618214</v>
      </c>
      <c r="M53" s="29">
        <v>0.10822662690756008</v>
      </c>
      <c r="N53" s="29">
        <v>0.11229656419529838</v>
      </c>
      <c r="O53" s="29">
        <v>0.11154808723632463</v>
      </c>
      <c r="P53" s="29">
        <v>0.11160318866253321</v>
      </c>
      <c r="Q53" s="29">
        <v>0.12902664112833015</v>
      </c>
    </row>
    <row r="54" spans="1:17" x14ac:dyDescent="0.2">
      <c r="A54" s="16" t="s">
        <v>47</v>
      </c>
      <c r="B54" s="17" t="s">
        <v>26</v>
      </c>
      <c r="C54" s="29">
        <v>0.18762598852535275</v>
      </c>
      <c r="D54" s="29">
        <v>0.20157604412923563</v>
      </c>
      <c r="E54" s="29">
        <v>0.21909579513120456</v>
      </c>
      <c r="F54" s="29">
        <v>0.22215199873597724</v>
      </c>
      <c r="G54" s="29">
        <v>0.21485943775100402</v>
      </c>
      <c r="H54" s="29">
        <v>0.22073740138464015</v>
      </c>
      <c r="I54" s="29">
        <v>0.20539976133651552</v>
      </c>
      <c r="J54" s="29">
        <v>0.22025431425976386</v>
      </c>
      <c r="K54" s="29">
        <v>0.22104806022003473</v>
      </c>
      <c r="L54" s="29">
        <v>0.22863935113970074</v>
      </c>
      <c r="M54" s="29">
        <v>0.2091950810508664</v>
      </c>
      <c r="N54" s="29">
        <v>0.20971428571428571</v>
      </c>
      <c r="O54" s="29">
        <v>0.19321490972626673</v>
      </c>
      <c r="P54" s="29">
        <v>0.21946138967415563</v>
      </c>
      <c r="Q54" s="29">
        <v>0.22962300700342722</v>
      </c>
    </row>
    <row r="55" spans="1:17" x14ac:dyDescent="0.2">
      <c r="A55" s="16" t="s">
        <v>47</v>
      </c>
      <c r="B55" s="17" t="s">
        <v>17</v>
      </c>
      <c r="C55" s="29">
        <v>0.10155106818846941</v>
      </c>
      <c r="D55" s="29">
        <v>0.11195388349514564</v>
      </c>
      <c r="E55" s="29">
        <v>0.10185739964050329</v>
      </c>
      <c r="F55" s="29">
        <v>0.10874074074074074</v>
      </c>
      <c r="G55" s="29">
        <v>0.11571925754060325</v>
      </c>
      <c r="H55" s="29">
        <v>0.10593342981186686</v>
      </c>
      <c r="I55" s="29">
        <v>9.4317516110134739E-2</v>
      </c>
      <c r="J55" s="29">
        <v>0.11051693404634581</v>
      </c>
      <c r="K55" s="29">
        <v>0.1248913358446827</v>
      </c>
      <c r="L55" s="29">
        <v>0.13060989643268126</v>
      </c>
      <c r="M55" s="29">
        <v>0.12470997679814386</v>
      </c>
      <c r="N55" s="29">
        <v>0.12642300778909527</v>
      </c>
      <c r="O55" s="29">
        <v>0.10312405216863815</v>
      </c>
      <c r="P55" s="29">
        <v>0.12695078031212484</v>
      </c>
      <c r="Q55" s="29">
        <v>0.12488660417296643</v>
      </c>
    </row>
    <row r="56" spans="1:17" x14ac:dyDescent="0.2">
      <c r="A56" s="16" t="s">
        <v>47</v>
      </c>
      <c r="B56" s="17" t="s">
        <v>18</v>
      </c>
      <c r="C56" s="29">
        <v>9.2089728453364814E-2</v>
      </c>
      <c r="D56" s="29">
        <v>0.1018957345971564</v>
      </c>
      <c r="E56" s="29">
        <v>8.5480093676814986E-2</v>
      </c>
      <c r="F56" s="29">
        <v>9.2760180995475117E-2</v>
      </c>
      <c r="G56" s="29">
        <v>0.10231023102310231</v>
      </c>
      <c r="H56" s="29">
        <v>0.13932806324110672</v>
      </c>
      <c r="I56" s="29">
        <v>0.16712834718374883</v>
      </c>
      <c r="J56" s="29">
        <v>0.13409961685823754</v>
      </c>
      <c r="K56" s="29">
        <v>0.10309278350515463</v>
      </c>
      <c r="L56" s="29">
        <v>0.10497835497835498</v>
      </c>
      <c r="M56" s="29">
        <v>0.13132400430570507</v>
      </c>
      <c r="N56" s="29">
        <v>0.13665943600867678</v>
      </c>
      <c r="O56" s="29">
        <v>0.13793103448275862</v>
      </c>
      <c r="P56" s="29">
        <v>0.11400651465798045</v>
      </c>
      <c r="Q56" s="29">
        <v>0.10753880266075388</v>
      </c>
    </row>
    <row r="57" spans="1:17" x14ac:dyDescent="0.2">
      <c r="A57" s="16" t="s">
        <v>47</v>
      </c>
      <c r="B57" s="17" t="s">
        <v>19</v>
      </c>
      <c r="C57" s="29">
        <v>0.1548082267926626</v>
      </c>
      <c r="D57" s="29">
        <v>0.16700143472022955</v>
      </c>
      <c r="E57" s="29">
        <v>0.17395104895104896</v>
      </c>
      <c r="F57" s="29">
        <v>0.1582608695652174</v>
      </c>
      <c r="G57" s="29">
        <v>0.15258082813386273</v>
      </c>
      <c r="H57" s="29">
        <v>0.15388951521984218</v>
      </c>
      <c r="I57" s="29">
        <v>0.14849517319704714</v>
      </c>
      <c r="J57" s="29">
        <v>0.15966149506346969</v>
      </c>
      <c r="K57" s="29">
        <v>0.17377049180327869</v>
      </c>
      <c r="L57" s="29">
        <v>0.17580910586944598</v>
      </c>
      <c r="M57" s="29">
        <v>0.16831411312465677</v>
      </c>
      <c r="N57" s="29">
        <v>0.17337903456155385</v>
      </c>
      <c r="O57" s="29">
        <v>0.17050298380221654</v>
      </c>
      <c r="P57" s="29">
        <v>0.18570624648283623</v>
      </c>
      <c r="Q57" s="29">
        <v>0.1847983753988976</v>
      </c>
    </row>
    <row r="58" spans="1:17" x14ac:dyDescent="0.2">
      <c r="A58" s="16" t="s">
        <v>47</v>
      </c>
      <c r="B58" s="17" t="s">
        <v>20</v>
      </c>
      <c r="C58" s="29">
        <v>0.14697695134172142</v>
      </c>
      <c r="D58" s="29">
        <v>0.14634708458170084</v>
      </c>
      <c r="E58" s="29">
        <v>0.14020712416069192</v>
      </c>
      <c r="F58" s="29">
        <v>0.14011404631676946</v>
      </c>
      <c r="G58" s="29">
        <v>0.14641744548286603</v>
      </c>
      <c r="H58" s="29">
        <v>0.14096372009435021</v>
      </c>
      <c r="I58" s="29">
        <v>0.13405958203646065</v>
      </c>
      <c r="J58" s="29">
        <v>0.14698577557010611</v>
      </c>
      <c r="K58" s="29">
        <v>0.16066606660666066</v>
      </c>
      <c r="L58" s="29">
        <v>0.15934996050107211</v>
      </c>
      <c r="M58" s="29">
        <v>0.16645835700488582</v>
      </c>
      <c r="N58" s="29">
        <v>0.16921639612285413</v>
      </c>
      <c r="O58" s="29">
        <v>0.17241785419856318</v>
      </c>
      <c r="P58" s="29">
        <v>0.17099669343410487</v>
      </c>
      <c r="Q58" s="29">
        <v>0.16831329603618617</v>
      </c>
    </row>
    <row r="59" spans="1:17" x14ac:dyDescent="0.2">
      <c r="A59" s="16" t="s">
        <v>47</v>
      </c>
      <c r="B59" s="17" t="s">
        <v>21</v>
      </c>
      <c r="C59" s="29">
        <v>9.0508374963267704E-2</v>
      </c>
      <c r="D59" s="29">
        <v>8.8785046728971959E-2</v>
      </c>
      <c r="E59" s="29">
        <v>8.7855297157622733E-2</v>
      </c>
      <c r="F59" s="29">
        <v>8.9454129751357525E-2</v>
      </c>
      <c r="G59" s="29">
        <v>8.4755090809025865E-2</v>
      </c>
      <c r="H59" s="29">
        <v>8.9826839826839824E-2</v>
      </c>
      <c r="I59" s="29">
        <v>8.0223880597014921E-2</v>
      </c>
      <c r="J59" s="29">
        <v>8.8865096359743045E-2</v>
      </c>
      <c r="K59" s="29">
        <v>7.7407967725668186E-2</v>
      </c>
      <c r="L59" s="29">
        <v>0.11040929762506316</v>
      </c>
      <c r="M59" s="29">
        <v>0.11499630632849052</v>
      </c>
      <c r="N59" s="29">
        <v>0.10757575757575757</v>
      </c>
      <c r="O59" s="29">
        <v>0.11957671957671957</v>
      </c>
      <c r="P59" s="29">
        <v>0.14086770219603642</v>
      </c>
      <c r="Q59" s="29">
        <v>0.14430244941427051</v>
      </c>
    </row>
    <row r="60" spans="1:17" x14ac:dyDescent="0.2">
      <c r="A60" s="16" t="s">
        <v>47</v>
      </c>
      <c r="B60" s="17" t="s">
        <v>27</v>
      </c>
      <c r="C60" s="29">
        <v>0.19503546099290781</v>
      </c>
      <c r="D60" s="29">
        <v>0.22979156075241486</v>
      </c>
      <c r="E60" s="29">
        <v>0.24024960998439937</v>
      </c>
      <c r="F60" s="29">
        <v>0.24237560192616373</v>
      </c>
      <c r="G60" s="29">
        <v>0.22980719124544033</v>
      </c>
      <c r="H60" s="29">
        <v>0.25530813050233042</v>
      </c>
      <c r="I60" s="29">
        <v>0.25285643318430201</v>
      </c>
      <c r="J60" s="29">
        <v>0.27050433010697911</v>
      </c>
      <c r="K60" s="29">
        <v>0.29696969696969699</v>
      </c>
      <c r="L60" s="29">
        <v>0.28345250255362614</v>
      </c>
      <c r="M60" s="29">
        <v>0.28253164556962024</v>
      </c>
      <c r="N60" s="29">
        <v>0.29322942036044813</v>
      </c>
      <c r="O60" s="29">
        <v>0.30483634587200781</v>
      </c>
      <c r="P60" s="29">
        <v>0.21980676328502416</v>
      </c>
      <c r="Q60" s="29">
        <v>0.22740667976424361</v>
      </c>
    </row>
    <row r="61" spans="1:17" x14ac:dyDescent="0.2">
      <c r="A61" s="16" t="s">
        <v>47</v>
      </c>
      <c r="B61" s="17" t="s">
        <v>28</v>
      </c>
      <c r="C61" s="29">
        <v>0.23653320469528863</v>
      </c>
      <c r="D61" s="29">
        <v>0.24447050938337803</v>
      </c>
      <c r="E61" s="29">
        <v>0.2531603459747172</v>
      </c>
      <c r="F61" s="29">
        <v>0.27536970933197347</v>
      </c>
      <c r="G61" s="29">
        <v>0.23267750213857999</v>
      </c>
      <c r="H61" s="29">
        <v>0.23593404725480197</v>
      </c>
      <c r="I61" s="29">
        <v>0.22493614303959131</v>
      </c>
      <c r="J61" s="29">
        <v>0.23038480759620189</v>
      </c>
      <c r="K61" s="29">
        <v>0.24177277989085497</v>
      </c>
      <c r="L61" s="29">
        <v>0.29147389292795772</v>
      </c>
      <c r="M61" s="29">
        <v>0.30145704237146209</v>
      </c>
      <c r="N61" s="29">
        <v>0.35949612403100772</v>
      </c>
      <c r="O61" s="29">
        <v>0.3605334180028576</v>
      </c>
      <c r="P61" s="29">
        <v>0.33409610983981691</v>
      </c>
      <c r="Q61" s="29">
        <v>0.36641697877652935</v>
      </c>
    </row>
    <row r="62" spans="1:17" ht="29.1" customHeight="1" x14ac:dyDescent="0.2">
      <c r="A62" s="17" t="s">
        <v>182</v>
      </c>
      <c r="B62" s="17" t="s">
        <v>54</v>
      </c>
      <c r="C62" s="20" t="s">
        <v>190</v>
      </c>
      <c r="D62" s="20" t="s">
        <v>190</v>
      </c>
      <c r="E62" s="20" t="s">
        <v>190</v>
      </c>
      <c r="F62" s="20" t="s">
        <v>190</v>
      </c>
      <c r="G62" s="20" t="s">
        <v>190</v>
      </c>
      <c r="H62" s="48">
        <v>0.27541398883520196</v>
      </c>
      <c r="I62" s="48">
        <v>0.27304914318085255</v>
      </c>
      <c r="J62" s="48">
        <v>0.25652818991097925</v>
      </c>
      <c r="K62" s="48">
        <v>0.25500735256832818</v>
      </c>
      <c r="L62" s="48">
        <v>0.26413640799137178</v>
      </c>
      <c r="M62" s="48">
        <v>0.2672706108608735</v>
      </c>
      <c r="N62" s="48">
        <v>0.28846464103253561</v>
      </c>
      <c r="O62" s="29">
        <v>0.28321119620915752</v>
      </c>
      <c r="P62" s="29">
        <v>0.27928673953847855</v>
      </c>
      <c r="Q62" s="29">
        <v>0.2829048560755878</v>
      </c>
    </row>
    <row r="63" spans="1:17" x14ac:dyDescent="0.2">
      <c r="A63" s="16" t="s">
        <v>182</v>
      </c>
      <c r="B63" s="16" t="s">
        <v>55</v>
      </c>
      <c r="C63" s="20" t="s">
        <v>190</v>
      </c>
      <c r="D63" s="20" t="s">
        <v>190</v>
      </c>
      <c r="E63" s="20" t="s">
        <v>190</v>
      </c>
      <c r="F63" s="20" t="s">
        <v>190</v>
      </c>
      <c r="G63" s="20" t="s">
        <v>190</v>
      </c>
      <c r="H63" s="48">
        <v>0.10863874345549739</v>
      </c>
      <c r="I63" s="48">
        <v>0.15229110512129379</v>
      </c>
      <c r="J63" s="48">
        <v>0.1402116402116402</v>
      </c>
      <c r="K63" s="48">
        <v>0.14398943196829592</v>
      </c>
      <c r="L63" s="48">
        <v>0.13838120104438642</v>
      </c>
      <c r="M63" s="48">
        <v>0.12786002691790041</v>
      </c>
      <c r="N63" s="48">
        <v>0.13342898134863701</v>
      </c>
      <c r="O63" s="29">
        <v>0.14265536723163841</v>
      </c>
      <c r="P63" s="29">
        <v>0.15781487101669195</v>
      </c>
      <c r="Q63" s="29">
        <v>0.17103072498864841</v>
      </c>
    </row>
    <row r="64" spans="1:17" x14ac:dyDescent="0.2">
      <c r="A64" s="16" t="s">
        <v>182</v>
      </c>
      <c r="B64" s="16" t="s">
        <v>56</v>
      </c>
      <c r="C64" s="20" t="s">
        <v>190</v>
      </c>
      <c r="D64" s="20" t="s">
        <v>190</v>
      </c>
      <c r="E64" s="20" t="s">
        <v>190</v>
      </c>
      <c r="F64" s="20" t="s">
        <v>190</v>
      </c>
      <c r="G64" s="20" t="s">
        <v>190</v>
      </c>
      <c r="H64" s="48">
        <v>0.19579894973743436</v>
      </c>
      <c r="I64" s="48">
        <v>0.18534798534798536</v>
      </c>
      <c r="J64" s="48">
        <v>0.17496339677891654</v>
      </c>
      <c r="K64" s="48">
        <v>0.18782098312545856</v>
      </c>
      <c r="L64" s="48">
        <v>0.1820830298616169</v>
      </c>
      <c r="M64" s="48">
        <v>0.19236311239193082</v>
      </c>
      <c r="N64" s="48">
        <v>0.19236417033773862</v>
      </c>
      <c r="O64" s="29">
        <v>0.19294294294294295</v>
      </c>
      <c r="P64" s="29">
        <v>0.19493476592478895</v>
      </c>
      <c r="Q64" s="29">
        <v>0.21217712177121772</v>
      </c>
    </row>
    <row r="65" spans="1:17" x14ac:dyDescent="0.2">
      <c r="A65" s="16" t="s">
        <v>182</v>
      </c>
      <c r="B65" s="16" t="s">
        <v>57</v>
      </c>
      <c r="C65" s="20" t="s">
        <v>190</v>
      </c>
      <c r="D65" s="20" t="s">
        <v>190</v>
      </c>
      <c r="E65" s="20" t="s">
        <v>190</v>
      </c>
      <c r="F65" s="20" t="s">
        <v>190</v>
      </c>
      <c r="G65" s="20" t="s">
        <v>190</v>
      </c>
      <c r="H65" s="48">
        <v>6.4833005893909626E-2</v>
      </c>
      <c r="I65" s="48">
        <v>6.6801619433198386E-2</v>
      </c>
      <c r="J65" s="48">
        <v>7.4906367041198504E-2</v>
      </c>
      <c r="K65" s="48">
        <v>8.253358925143954E-2</v>
      </c>
      <c r="L65" s="48">
        <v>3.007518796992481E-2</v>
      </c>
      <c r="M65" s="48">
        <v>3.6608863198458574E-2</v>
      </c>
      <c r="N65" s="48">
        <v>4.3314500941619587E-2</v>
      </c>
      <c r="O65" s="29">
        <v>7.8947368421052627E-2</v>
      </c>
      <c r="P65" s="29">
        <v>4.4859813084112146E-2</v>
      </c>
      <c r="Q65" s="29">
        <v>4.9065861483298737E-2</v>
      </c>
    </row>
    <row r="66" spans="1:17" x14ac:dyDescent="0.2">
      <c r="A66" s="16" t="s">
        <v>182</v>
      </c>
      <c r="B66" s="16" t="s">
        <v>58</v>
      </c>
      <c r="C66" s="20" t="s">
        <v>190</v>
      </c>
      <c r="D66" s="20" t="s">
        <v>190</v>
      </c>
      <c r="E66" s="20" t="s">
        <v>190</v>
      </c>
      <c r="F66" s="20" t="s">
        <v>190</v>
      </c>
      <c r="G66" s="20" t="s">
        <v>190</v>
      </c>
      <c r="H66" s="48">
        <v>0.13554526748971193</v>
      </c>
      <c r="I66" s="48">
        <v>0.12971146347803483</v>
      </c>
      <c r="J66" s="48">
        <v>0.13659927423535512</v>
      </c>
      <c r="K66" s="48">
        <v>0.13936927772126145</v>
      </c>
      <c r="L66" s="48">
        <v>0.15164556962025316</v>
      </c>
      <c r="M66" s="48">
        <v>0.15604451188669702</v>
      </c>
      <c r="N66" s="48">
        <v>0.15941269008914524</v>
      </c>
      <c r="O66" s="29">
        <v>0.15479957805907174</v>
      </c>
      <c r="P66" s="29">
        <v>0.17000781046602448</v>
      </c>
      <c r="Q66" s="29">
        <v>0.17178636412287274</v>
      </c>
    </row>
    <row r="67" spans="1:17" x14ac:dyDescent="0.2">
      <c r="A67" s="16" t="s">
        <v>182</v>
      </c>
      <c r="B67" s="16" t="s">
        <v>96</v>
      </c>
      <c r="C67" s="20" t="s">
        <v>190</v>
      </c>
      <c r="D67" s="20" t="s">
        <v>190</v>
      </c>
      <c r="E67" s="20" t="s">
        <v>190</v>
      </c>
      <c r="F67" s="20" t="s">
        <v>190</v>
      </c>
      <c r="G67" s="20" t="s">
        <v>190</v>
      </c>
      <c r="H67" s="48" t="s">
        <v>192</v>
      </c>
      <c r="I67" s="48" t="s">
        <v>192</v>
      </c>
      <c r="J67" s="48" t="s">
        <v>192</v>
      </c>
      <c r="K67" s="48" t="s">
        <v>192</v>
      </c>
      <c r="L67" s="48">
        <v>0.17052980132450332</v>
      </c>
      <c r="M67" s="48">
        <v>0.1718213058419244</v>
      </c>
      <c r="N67" s="48">
        <v>0.17586206896551723</v>
      </c>
      <c r="O67" s="29" t="s">
        <v>192</v>
      </c>
      <c r="P67" s="29">
        <v>0.17051509769094139</v>
      </c>
      <c r="Q67" s="29">
        <v>0.16747703943814155</v>
      </c>
    </row>
    <row r="68" spans="1:17" x14ac:dyDescent="0.2">
      <c r="A68" s="16" t="s">
        <v>182</v>
      </c>
      <c r="B68" s="16" t="s">
        <v>59</v>
      </c>
      <c r="C68" s="20" t="s">
        <v>190</v>
      </c>
      <c r="D68" s="20" t="s">
        <v>190</v>
      </c>
      <c r="E68" s="20" t="s">
        <v>190</v>
      </c>
      <c r="F68" s="20" t="s">
        <v>190</v>
      </c>
      <c r="G68" s="20" t="s">
        <v>190</v>
      </c>
      <c r="H68" s="48" t="s">
        <v>192</v>
      </c>
      <c r="I68" s="48" t="s">
        <v>192</v>
      </c>
      <c r="J68" s="48" t="s">
        <v>192</v>
      </c>
      <c r="K68" s="48">
        <v>6.4000000000000001E-2</v>
      </c>
      <c r="L68" s="48">
        <v>7.9847908745247151E-2</v>
      </c>
      <c r="M68" s="48">
        <v>9.0579710144927536E-2</v>
      </c>
      <c r="N68" s="48">
        <v>0.10810810810810811</v>
      </c>
      <c r="O68" s="29">
        <v>9.765625E-2</v>
      </c>
      <c r="P68" s="29">
        <v>0.10074626865671642</v>
      </c>
      <c r="Q68" s="29">
        <v>0.11127596439169139</v>
      </c>
    </row>
    <row r="69" spans="1:17" x14ac:dyDescent="0.2">
      <c r="A69" s="16" t="s">
        <v>182</v>
      </c>
      <c r="B69" s="16" t="s">
        <v>60</v>
      </c>
      <c r="C69" s="20" t="s">
        <v>190</v>
      </c>
      <c r="D69" s="20" t="s">
        <v>190</v>
      </c>
      <c r="E69" s="20" t="s">
        <v>190</v>
      </c>
      <c r="F69" s="20" t="s">
        <v>190</v>
      </c>
      <c r="G69" s="20" t="s">
        <v>190</v>
      </c>
      <c r="H69" s="48">
        <v>8.8983050847457626E-2</v>
      </c>
      <c r="I69" s="48">
        <v>8.4388185654008435E-2</v>
      </c>
      <c r="J69" s="48">
        <v>9.0517241379310345E-2</v>
      </c>
      <c r="K69" s="48">
        <v>0.15217391304347827</v>
      </c>
      <c r="L69" s="48">
        <v>0.16371681415929204</v>
      </c>
      <c r="M69" s="48">
        <v>0.16299559471365638</v>
      </c>
      <c r="N69" s="48">
        <v>0.16071428571428573</v>
      </c>
      <c r="O69" s="29">
        <v>0.1111111111111111</v>
      </c>
      <c r="P69" s="29">
        <v>0.11261261261261261</v>
      </c>
      <c r="Q69" s="29">
        <v>9.8222637979420019E-2</v>
      </c>
    </row>
    <row r="70" spans="1:17" x14ac:dyDescent="0.2">
      <c r="A70" s="16" t="s">
        <v>182</v>
      </c>
      <c r="B70" s="16" t="s">
        <v>97</v>
      </c>
      <c r="C70" s="20" t="s">
        <v>190</v>
      </c>
      <c r="D70" s="20" t="s">
        <v>190</v>
      </c>
      <c r="E70" s="20" t="s">
        <v>190</v>
      </c>
      <c r="F70" s="20" t="s">
        <v>190</v>
      </c>
      <c r="G70" s="20" t="s">
        <v>190</v>
      </c>
      <c r="H70" s="48">
        <v>9.6463022508038579E-2</v>
      </c>
      <c r="I70" s="48">
        <v>8.7179487179487175E-2</v>
      </c>
      <c r="J70" s="48">
        <v>9.8701298701298706E-2</v>
      </c>
      <c r="K70" s="48">
        <v>8.9918256130790186E-2</v>
      </c>
      <c r="L70" s="48">
        <v>6.5510597302504817E-2</v>
      </c>
      <c r="M70" s="48">
        <v>8.9947089947089942E-2</v>
      </c>
      <c r="N70" s="48">
        <v>8.797653958944282E-2</v>
      </c>
      <c r="O70" s="29">
        <v>0.11409395973154363</v>
      </c>
      <c r="P70" s="29">
        <v>0.11313868613138686</v>
      </c>
      <c r="Q70" s="29">
        <v>0.11973875181422351</v>
      </c>
    </row>
    <row r="71" spans="1:17" x14ac:dyDescent="0.2">
      <c r="A71" s="16" t="s">
        <v>182</v>
      </c>
      <c r="B71" s="16" t="s">
        <v>61</v>
      </c>
      <c r="C71" s="20" t="s">
        <v>190</v>
      </c>
      <c r="D71" s="20" t="s">
        <v>190</v>
      </c>
      <c r="E71" s="20" t="s">
        <v>190</v>
      </c>
      <c r="F71" s="20" t="s">
        <v>190</v>
      </c>
      <c r="G71" s="20" t="s">
        <v>190</v>
      </c>
      <c r="H71" s="48">
        <v>3.1719532554257093E-2</v>
      </c>
      <c r="I71" s="48" t="s">
        <v>192</v>
      </c>
      <c r="J71" s="48">
        <v>2.8716216216216218E-2</v>
      </c>
      <c r="K71" s="48" t="s">
        <v>192</v>
      </c>
      <c r="L71" s="48">
        <v>2.936378466557912E-2</v>
      </c>
      <c r="M71" s="48">
        <v>3.4313725490196081E-2</v>
      </c>
      <c r="N71" s="48">
        <v>3.6395147313691506E-2</v>
      </c>
      <c r="O71" s="29">
        <v>3.4423407917383818E-2</v>
      </c>
      <c r="P71" s="29">
        <v>8.7837837837837843E-2</v>
      </c>
      <c r="Q71" s="29">
        <v>8.5113774535348269E-2</v>
      </c>
    </row>
    <row r="72" spans="1:17" x14ac:dyDescent="0.2">
      <c r="A72" s="16" t="s">
        <v>182</v>
      </c>
      <c r="B72" s="16" t="s">
        <v>62</v>
      </c>
      <c r="C72" s="20" t="s">
        <v>190</v>
      </c>
      <c r="D72" s="20" t="s">
        <v>190</v>
      </c>
      <c r="E72" s="20" t="s">
        <v>190</v>
      </c>
      <c r="F72" s="20" t="s">
        <v>190</v>
      </c>
      <c r="G72" s="20" t="s">
        <v>190</v>
      </c>
      <c r="H72" s="48">
        <v>0.14179566563467491</v>
      </c>
      <c r="I72" s="48">
        <v>0.12172854534388314</v>
      </c>
      <c r="J72" s="48">
        <v>0.15164433617539586</v>
      </c>
      <c r="K72" s="48">
        <v>0.18290496114763896</v>
      </c>
      <c r="L72" s="48">
        <v>0.16687192118226601</v>
      </c>
      <c r="M72" s="48">
        <v>0.16576250753465943</v>
      </c>
      <c r="N72" s="48">
        <v>0.16868932038834952</v>
      </c>
      <c r="O72" s="29">
        <v>0.1859903381642512</v>
      </c>
      <c r="P72" s="29">
        <v>0.18263473053892215</v>
      </c>
      <c r="Q72" s="29">
        <v>0.19548139577370441</v>
      </c>
    </row>
    <row r="73" spans="1:17" x14ac:dyDescent="0.2">
      <c r="A73" s="16" t="s">
        <v>182</v>
      </c>
      <c r="B73" s="16" t="s">
        <v>63</v>
      </c>
      <c r="C73" s="20" t="s">
        <v>190</v>
      </c>
      <c r="D73" s="20" t="s">
        <v>190</v>
      </c>
      <c r="E73" s="20" t="s">
        <v>190</v>
      </c>
      <c r="F73" s="20" t="s">
        <v>190</v>
      </c>
      <c r="G73" s="20" t="s">
        <v>190</v>
      </c>
      <c r="H73" s="48">
        <v>9.1443500979751791E-2</v>
      </c>
      <c r="I73" s="48">
        <v>9.4094743672939643E-2</v>
      </c>
      <c r="J73" s="48">
        <v>9.5222724338282758E-2</v>
      </c>
      <c r="K73" s="48">
        <v>0.12453300124533001</v>
      </c>
      <c r="L73" s="48">
        <v>0.10140306122448979</v>
      </c>
      <c r="M73" s="48">
        <v>0.12259306803594351</v>
      </c>
      <c r="N73" s="48">
        <v>0.11423841059602649</v>
      </c>
      <c r="O73" s="29">
        <v>0.12151067323481117</v>
      </c>
      <c r="P73" s="29">
        <v>0.13261648745519714</v>
      </c>
      <c r="Q73" s="29">
        <v>0.13728137860082304</v>
      </c>
    </row>
    <row r="74" spans="1:17" x14ac:dyDescent="0.2">
      <c r="A74" s="16" t="s">
        <v>182</v>
      </c>
      <c r="B74" s="16" t="s">
        <v>64</v>
      </c>
      <c r="C74" s="20" t="s">
        <v>190</v>
      </c>
      <c r="D74" s="20" t="s">
        <v>190</v>
      </c>
      <c r="E74" s="20" t="s">
        <v>190</v>
      </c>
      <c r="F74" s="20" t="s">
        <v>190</v>
      </c>
      <c r="G74" s="20" t="s">
        <v>190</v>
      </c>
      <c r="H74" s="48">
        <v>0.12268551236749117</v>
      </c>
      <c r="I74" s="48">
        <v>0.12367244270542202</v>
      </c>
      <c r="J74" s="48">
        <v>0.11773743016759776</v>
      </c>
      <c r="K74" s="48">
        <v>0.12593412676446167</v>
      </c>
      <c r="L74" s="48">
        <v>0.1371675254142877</v>
      </c>
      <c r="M74" s="48">
        <v>0.13844011142061283</v>
      </c>
      <c r="N74" s="48">
        <v>0.14121324051711892</v>
      </c>
      <c r="O74" s="29">
        <v>0.13850297703430678</v>
      </c>
      <c r="P74" s="29">
        <v>0.13527632664283751</v>
      </c>
      <c r="Q74" s="29">
        <v>0.1476676787192934</v>
      </c>
    </row>
    <row r="75" spans="1:17" x14ac:dyDescent="0.2">
      <c r="A75" s="16" t="s">
        <v>182</v>
      </c>
      <c r="B75" s="16" t="s">
        <v>65</v>
      </c>
      <c r="C75" s="20" t="s">
        <v>190</v>
      </c>
      <c r="D75" s="20" t="s">
        <v>190</v>
      </c>
      <c r="E75" s="20" t="s">
        <v>190</v>
      </c>
      <c r="F75" s="20" t="s">
        <v>190</v>
      </c>
      <c r="G75" s="20" t="s">
        <v>190</v>
      </c>
      <c r="H75" s="48">
        <v>0.15647102618190842</v>
      </c>
      <c r="I75" s="48">
        <v>0.15773919468045808</v>
      </c>
      <c r="J75" s="48">
        <v>0.15803420862442785</v>
      </c>
      <c r="K75" s="48">
        <v>0.15262847017129355</v>
      </c>
      <c r="L75" s="48">
        <v>0.19053939905876674</v>
      </c>
      <c r="M75" s="48">
        <v>0.18061249095731854</v>
      </c>
      <c r="N75" s="48">
        <v>0.19529411764705881</v>
      </c>
      <c r="O75" s="29">
        <v>0.19054782499686598</v>
      </c>
      <c r="P75" s="29">
        <v>0.22431610942249239</v>
      </c>
      <c r="Q75" s="29">
        <v>0.20996227923359395</v>
      </c>
    </row>
    <row r="76" spans="1:17" x14ac:dyDescent="0.2">
      <c r="A76" s="16" t="s">
        <v>182</v>
      </c>
      <c r="B76" s="16" t="s">
        <v>66</v>
      </c>
      <c r="C76" s="20" t="s">
        <v>190</v>
      </c>
      <c r="D76" s="20" t="s">
        <v>190</v>
      </c>
      <c r="E76" s="20" t="s">
        <v>190</v>
      </c>
      <c r="F76" s="20" t="s">
        <v>190</v>
      </c>
      <c r="G76" s="20" t="s">
        <v>190</v>
      </c>
      <c r="H76" s="48" t="s">
        <v>192</v>
      </c>
      <c r="I76" s="48">
        <v>4.3875685557586835E-2</v>
      </c>
      <c r="J76" s="48" t="s">
        <v>192</v>
      </c>
      <c r="K76" s="48" t="s">
        <v>192</v>
      </c>
      <c r="L76" s="48">
        <v>9.5764272559852676E-2</v>
      </c>
      <c r="M76" s="48">
        <v>9.5588235294117641E-2</v>
      </c>
      <c r="N76" s="48">
        <v>0.11401869158878504</v>
      </c>
      <c r="O76" s="29">
        <v>0.18279569892473119</v>
      </c>
      <c r="P76" s="29">
        <v>0.18378378378378379</v>
      </c>
      <c r="Q76" s="29">
        <v>0.13130898645876077</v>
      </c>
    </row>
    <row r="77" spans="1:17" x14ac:dyDescent="0.2">
      <c r="A77" s="16" t="s">
        <v>182</v>
      </c>
      <c r="B77" s="16" t="s">
        <v>67</v>
      </c>
      <c r="C77" s="20" t="s">
        <v>190</v>
      </c>
      <c r="D77" s="20" t="s">
        <v>190</v>
      </c>
      <c r="E77" s="20" t="s">
        <v>190</v>
      </c>
      <c r="F77" s="20" t="s">
        <v>190</v>
      </c>
      <c r="G77" s="20" t="s">
        <v>190</v>
      </c>
      <c r="H77" s="48">
        <v>0.15995795042219133</v>
      </c>
      <c r="I77" s="48">
        <v>0.1582011644248143</v>
      </c>
      <c r="J77" s="48">
        <v>0.1681782591674279</v>
      </c>
      <c r="K77" s="48">
        <v>0.17735076893563961</v>
      </c>
      <c r="L77" s="48">
        <v>0.18744363941664852</v>
      </c>
      <c r="M77" s="48">
        <v>0.18836225397020051</v>
      </c>
      <c r="N77" s="48">
        <v>0.1811021272786944</v>
      </c>
      <c r="O77" s="29">
        <v>0.18531754444410795</v>
      </c>
      <c r="P77" s="29">
        <v>0.20274107914557352</v>
      </c>
      <c r="Q77" s="29">
        <v>0.21851928721795594</v>
      </c>
    </row>
    <row r="78" spans="1:17" x14ac:dyDescent="0.2">
      <c r="A78" s="16" t="s">
        <v>182</v>
      </c>
      <c r="B78" s="16" t="s">
        <v>68</v>
      </c>
      <c r="C78" s="20" t="s">
        <v>190</v>
      </c>
      <c r="D78" s="20" t="s">
        <v>190</v>
      </c>
      <c r="E78" s="20" t="s">
        <v>190</v>
      </c>
      <c r="F78" s="20" t="s">
        <v>190</v>
      </c>
      <c r="G78" s="20" t="s">
        <v>190</v>
      </c>
      <c r="H78" s="48">
        <v>6.6210045662100453E-2</v>
      </c>
      <c r="I78" s="48">
        <v>6.7812798471824254E-2</v>
      </c>
      <c r="J78" s="48">
        <v>7.1790006325110692E-2</v>
      </c>
      <c r="K78" s="48">
        <v>7.2037914691943122E-2</v>
      </c>
      <c r="L78" s="48">
        <v>7.3599999999999999E-2</v>
      </c>
      <c r="M78" s="48">
        <v>7.9719387755102039E-2</v>
      </c>
      <c r="N78" s="48">
        <v>8.35214446952596E-2</v>
      </c>
      <c r="O78" s="29">
        <v>8.8401462279827189E-2</v>
      </c>
      <c r="P78" s="29">
        <v>9.3872229465449805E-2</v>
      </c>
      <c r="Q78" s="29">
        <v>0.10412560767310472</v>
      </c>
    </row>
    <row r="79" spans="1:17" x14ac:dyDescent="0.2">
      <c r="A79" s="16" t="s">
        <v>182</v>
      </c>
      <c r="B79" s="16" t="s">
        <v>69</v>
      </c>
      <c r="C79" s="20" t="s">
        <v>190</v>
      </c>
      <c r="D79" s="20" t="s">
        <v>190</v>
      </c>
      <c r="E79" s="20" t="s">
        <v>190</v>
      </c>
      <c r="F79" s="20" t="s">
        <v>190</v>
      </c>
      <c r="G79" s="20" t="s">
        <v>190</v>
      </c>
      <c r="H79" s="48">
        <v>0.15906288532675708</v>
      </c>
      <c r="I79" s="48">
        <v>0.14758666815293725</v>
      </c>
      <c r="J79" s="48">
        <v>0.16270017793594305</v>
      </c>
      <c r="K79" s="48">
        <v>0.15591165006496319</v>
      </c>
      <c r="L79" s="48">
        <v>0.18408447637709557</v>
      </c>
      <c r="M79" s="48">
        <v>0.19741031628104436</v>
      </c>
      <c r="N79" s="48">
        <v>0.20158975491278427</v>
      </c>
      <c r="O79" s="29">
        <v>0.20429252782193957</v>
      </c>
      <c r="P79" s="29">
        <v>0.21931935372980405</v>
      </c>
      <c r="Q79" s="29">
        <v>0.25970484615132905</v>
      </c>
    </row>
    <row r="80" spans="1:17" x14ac:dyDescent="0.2">
      <c r="A80" s="16" t="s">
        <v>182</v>
      </c>
      <c r="B80" s="16" t="s">
        <v>70</v>
      </c>
      <c r="C80" s="20" t="s">
        <v>190</v>
      </c>
      <c r="D80" s="20" t="s">
        <v>190</v>
      </c>
      <c r="E80" s="20" t="s">
        <v>190</v>
      </c>
      <c r="F80" s="20" t="s">
        <v>190</v>
      </c>
      <c r="G80" s="20" t="s">
        <v>190</v>
      </c>
      <c r="H80" s="48">
        <v>8.658536585365853E-2</v>
      </c>
      <c r="I80" s="48">
        <v>9.4247246022031828E-2</v>
      </c>
      <c r="J80" s="48">
        <v>9.2548076923076927E-2</v>
      </c>
      <c r="K80" s="48">
        <v>0.11751662971175167</v>
      </c>
      <c r="L80" s="48">
        <v>0.12556053811659193</v>
      </c>
      <c r="M80" s="48">
        <v>0.13528748590755355</v>
      </c>
      <c r="N80" s="48">
        <v>0.1467455621301775</v>
      </c>
      <c r="O80" s="29">
        <v>0.1440185830429733</v>
      </c>
      <c r="P80" s="29">
        <v>0.15973003374578179</v>
      </c>
      <c r="Q80" s="29">
        <v>0.16728834633208997</v>
      </c>
    </row>
    <row r="81" spans="1:17" x14ac:dyDescent="0.2">
      <c r="A81" s="16" t="s">
        <v>182</v>
      </c>
      <c r="B81" s="16" t="s">
        <v>71</v>
      </c>
      <c r="C81" s="20" t="s">
        <v>190</v>
      </c>
      <c r="D81" s="20" t="s">
        <v>190</v>
      </c>
      <c r="E81" s="20" t="s">
        <v>190</v>
      </c>
      <c r="F81" s="20" t="s">
        <v>190</v>
      </c>
      <c r="G81" s="20" t="s">
        <v>190</v>
      </c>
      <c r="H81" s="48">
        <v>9.8609355246523395E-2</v>
      </c>
      <c r="I81" s="48">
        <v>9.9121706398996243E-2</v>
      </c>
      <c r="J81" s="48">
        <v>2.5673940949935817E-2</v>
      </c>
      <c r="K81" s="48" t="s">
        <v>192</v>
      </c>
      <c r="L81" s="48">
        <v>5.3805774278215222E-2</v>
      </c>
      <c r="M81" s="48">
        <v>2.7137042062415198E-2</v>
      </c>
      <c r="N81" s="48">
        <v>2.4064171122994651E-2</v>
      </c>
      <c r="O81" s="29">
        <v>2.6954177897574125E-2</v>
      </c>
      <c r="P81" s="29">
        <v>6.7819148936170207E-2</v>
      </c>
      <c r="Q81" s="29">
        <v>7.3160818317301174E-2</v>
      </c>
    </row>
    <row r="82" spans="1:17" x14ac:dyDescent="0.2">
      <c r="A82" s="16" t="s">
        <v>182</v>
      </c>
      <c r="B82" s="16" t="s">
        <v>72</v>
      </c>
      <c r="C82" s="20" t="s">
        <v>190</v>
      </c>
      <c r="D82" s="20" t="s">
        <v>190</v>
      </c>
      <c r="E82" s="20" t="s">
        <v>190</v>
      </c>
      <c r="F82" s="20" t="s">
        <v>190</v>
      </c>
      <c r="G82" s="20" t="s">
        <v>190</v>
      </c>
      <c r="H82" s="48">
        <v>7.6650943396226412E-2</v>
      </c>
      <c r="I82" s="48">
        <v>8.3087802003535646E-2</v>
      </c>
      <c r="J82" s="48">
        <v>9.0368608799048747E-2</v>
      </c>
      <c r="K82" s="48">
        <v>0.10438292964244521</v>
      </c>
      <c r="L82" s="48">
        <v>0.10244735344336937</v>
      </c>
      <c r="M82" s="48">
        <v>0.10334872979214781</v>
      </c>
      <c r="N82" s="48">
        <v>9.731343283582089E-2</v>
      </c>
      <c r="O82" s="29">
        <v>0.10042092603728202</v>
      </c>
      <c r="P82" s="29">
        <v>0.10703725606150206</v>
      </c>
      <c r="Q82" s="29">
        <v>0.1062215477996965</v>
      </c>
    </row>
    <row r="83" spans="1:17" x14ac:dyDescent="0.2">
      <c r="A83" s="16" t="s">
        <v>182</v>
      </c>
      <c r="B83" s="16" t="s">
        <v>73</v>
      </c>
      <c r="C83" s="20" t="s">
        <v>190</v>
      </c>
      <c r="D83" s="20" t="s">
        <v>190</v>
      </c>
      <c r="E83" s="20" t="s">
        <v>190</v>
      </c>
      <c r="F83" s="20" t="s">
        <v>190</v>
      </c>
      <c r="G83" s="20" t="s">
        <v>190</v>
      </c>
      <c r="H83" s="48">
        <v>0.19884726224783861</v>
      </c>
      <c r="I83" s="48">
        <v>0.18731988472622479</v>
      </c>
      <c r="J83" s="48">
        <v>0.19607843137254902</v>
      </c>
      <c r="K83" s="48">
        <v>0.33412887828162291</v>
      </c>
      <c r="L83" s="48">
        <v>0.21246458923512748</v>
      </c>
      <c r="M83" s="48">
        <v>6.8965517241379309E-2</v>
      </c>
      <c r="N83" s="48">
        <v>0.1021671826625387</v>
      </c>
      <c r="O83" s="29">
        <v>0.13294797687861271</v>
      </c>
      <c r="P83" s="29">
        <v>0.13043478260869565</v>
      </c>
      <c r="Q83" s="29">
        <v>9.8209127671865973E-2</v>
      </c>
    </row>
    <row r="84" spans="1:17" x14ac:dyDescent="0.2">
      <c r="A84" s="16" t="s">
        <v>182</v>
      </c>
      <c r="B84" s="16" t="s">
        <v>53</v>
      </c>
      <c r="C84" s="20" t="s">
        <v>190</v>
      </c>
      <c r="D84" s="20" t="s">
        <v>190</v>
      </c>
      <c r="E84" s="20" t="s">
        <v>190</v>
      </c>
      <c r="F84" s="20" t="s">
        <v>190</v>
      </c>
      <c r="G84" s="20" t="s">
        <v>190</v>
      </c>
      <c r="H84" s="48">
        <v>0.17345631027165578</v>
      </c>
      <c r="I84" s="48">
        <v>0.17674848515970012</v>
      </c>
      <c r="J84" s="48">
        <v>0.176994222013516</v>
      </c>
      <c r="K84" s="48">
        <v>0.17862174455581048</v>
      </c>
      <c r="L84" s="48">
        <v>0.1923330338424678</v>
      </c>
      <c r="M84" s="48">
        <v>0.19514617095646647</v>
      </c>
      <c r="N84" s="48">
        <v>0.19865565273728539</v>
      </c>
      <c r="O84" s="29">
        <v>0.20185286324008334</v>
      </c>
      <c r="P84" s="29">
        <v>0.19901117453171477</v>
      </c>
      <c r="Q84" s="29">
        <v>0.20221449385833273</v>
      </c>
    </row>
    <row r="85" spans="1:17" x14ac:dyDescent="0.2">
      <c r="A85" s="16" t="s">
        <v>182</v>
      </c>
      <c r="B85" s="16" t="s">
        <v>74</v>
      </c>
      <c r="C85" s="20" t="s">
        <v>190</v>
      </c>
      <c r="D85" s="20" t="s">
        <v>190</v>
      </c>
      <c r="E85" s="20" t="s">
        <v>190</v>
      </c>
      <c r="F85" s="20" t="s">
        <v>190</v>
      </c>
      <c r="G85" s="20" t="s">
        <v>190</v>
      </c>
      <c r="H85" s="48" t="s">
        <v>192</v>
      </c>
      <c r="I85" s="48" t="s">
        <v>192</v>
      </c>
      <c r="J85" s="48" t="s">
        <v>192</v>
      </c>
      <c r="K85" s="48" t="s">
        <v>192</v>
      </c>
      <c r="L85" s="48" t="s">
        <v>192</v>
      </c>
      <c r="M85" s="48" t="s">
        <v>192</v>
      </c>
      <c r="N85" s="48" t="s">
        <v>192</v>
      </c>
      <c r="O85" s="29" t="s">
        <v>192</v>
      </c>
      <c r="P85" s="29" t="s">
        <v>192</v>
      </c>
      <c r="Q85" s="29" t="s">
        <v>192</v>
      </c>
    </row>
    <row r="86" spans="1:17" x14ac:dyDescent="0.2">
      <c r="A86" s="16" t="s">
        <v>182</v>
      </c>
      <c r="B86" s="16" t="s">
        <v>75</v>
      </c>
      <c r="C86" s="20" t="s">
        <v>190</v>
      </c>
      <c r="D86" s="20" t="s">
        <v>190</v>
      </c>
      <c r="E86" s="20" t="s">
        <v>190</v>
      </c>
      <c r="F86" s="20" t="s">
        <v>190</v>
      </c>
      <c r="G86" s="20" t="s">
        <v>190</v>
      </c>
      <c r="H86" s="48">
        <v>0.16745506149479658</v>
      </c>
      <c r="I86" s="48">
        <v>0.16001877053026747</v>
      </c>
      <c r="J86" s="48">
        <v>0.1814780168381665</v>
      </c>
      <c r="K86" s="48">
        <v>0.17647058823529413</v>
      </c>
      <c r="L86" s="48">
        <v>0.17146974063400577</v>
      </c>
      <c r="M86" s="48">
        <v>0.16734486266531026</v>
      </c>
      <c r="N86" s="48">
        <v>0.16718749999999999</v>
      </c>
      <c r="O86" s="29">
        <v>0.1703896103896104</v>
      </c>
      <c r="P86" s="29">
        <v>0.19212843086483689</v>
      </c>
      <c r="Q86" s="29">
        <v>0.15244623020562514</v>
      </c>
    </row>
    <row r="87" spans="1:17" x14ac:dyDescent="0.2">
      <c r="A87" s="16" t="s">
        <v>182</v>
      </c>
      <c r="B87" s="16" t="s">
        <v>76</v>
      </c>
      <c r="C87" s="20" t="s">
        <v>190</v>
      </c>
      <c r="D87" s="20" t="s">
        <v>190</v>
      </c>
      <c r="E87" s="20" t="s">
        <v>190</v>
      </c>
      <c r="F87" s="20" t="s">
        <v>190</v>
      </c>
      <c r="G87" s="20" t="s">
        <v>190</v>
      </c>
      <c r="H87" s="48">
        <v>0.13691026827012026</v>
      </c>
      <c r="I87" s="48">
        <v>8.8655862726406104E-2</v>
      </c>
      <c r="J87" s="48">
        <v>0.12315270935960591</v>
      </c>
      <c r="K87" s="48">
        <v>0.15090735434574976</v>
      </c>
      <c r="L87" s="48">
        <v>0.16007714561234329</v>
      </c>
      <c r="M87" s="48">
        <v>0.13825757575757575</v>
      </c>
      <c r="N87" s="48">
        <v>0.15148514851485148</v>
      </c>
      <c r="O87" s="29">
        <v>0.14127144298688193</v>
      </c>
      <c r="P87" s="29">
        <v>0.14314115308151093</v>
      </c>
      <c r="Q87" s="29">
        <v>0.13836110299132806</v>
      </c>
    </row>
    <row r="88" spans="1:17" x14ac:dyDescent="0.2">
      <c r="A88" s="16" t="s">
        <v>182</v>
      </c>
      <c r="B88" s="16" t="s">
        <v>77</v>
      </c>
      <c r="C88" s="20" t="s">
        <v>190</v>
      </c>
      <c r="D88" s="20" t="s">
        <v>190</v>
      </c>
      <c r="E88" s="20" t="s">
        <v>190</v>
      </c>
      <c r="F88" s="20" t="s">
        <v>190</v>
      </c>
      <c r="G88" s="20" t="s">
        <v>190</v>
      </c>
      <c r="H88" s="48">
        <v>0.14039794321484461</v>
      </c>
      <c r="I88" s="48">
        <v>0.14525891055817081</v>
      </c>
      <c r="J88" s="48">
        <v>0.14852809991079394</v>
      </c>
      <c r="K88" s="48">
        <v>0.1480104940970704</v>
      </c>
      <c r="L88" s="48">
        <v>0.14906700593723496</v>
      </c>
      <c r="M88" s="48">
        <v>0.15695549344227047</v>
      </c>
      <c r="N88" s="48">
        <v>0.15527003484320556</v>
      </c>
      <c r="O88" s="29">
        <v>0.14840529399001953</v>
      </c>
      <c r="P88" s="29">
        <v>0.14503325466638062</v>
      </c>
      <c r="Q88" s="29">
        <v>0.14880003401143635</v>
      </c>
    </row>
    <row r="89" spans="1:17" x14ac:dyDescent="0.2">
      <c r="A89" s="16" t="s">
        <v>182</v>
      </c>
      <c r="B89" s="16" t="s">
        <v>78</v>
      </c>
      <c r="C89" s="20" t="s">
        <v>190</v>
      </c>
      <c r="D89" s="20" t="s">
        <v>190</v>
      </c>
      <c r="E89" s="20" t="s">
        <v>190</v>
      </c>
      <c r="F89" s="20" t="s">
        <v>190</v>
      </c>
      <c r="G89" s="20" t="s">
        <v>190</v>
      </c>
      <c r="H89" s="48">
        <v>0.16531932093775262</v>
      </c>
      <c r="I89" s="48">
        <v>0.14282852564102563</v>
      </c>
      <c r="J89" s="48">
        <v>0.15907746895328209</v>
      </c>
      <c r="K89" s="48">
        <v>0.16189140452815068</v>
      </c>
      <c r="L89" s="48">
        <v>0.17816663352555179</v>
      </c>
      <c r="M89" s="48">
        <v>0.18541835905767667</v>
      </c>
      <c r="N89" s="48">
        <v>0.18129377832715288</v>
      </c>
      <c r="O89" s="29">
        <v>0.17214980343471964</v>
      </c>
      <c r="P89" s="29">
        <v>0.1847599164926931</v>
      </c>
      <c r="Q89" s="29">
        <v>0.1887901887901888</v>
      </c>
    </row>
    <row r="90" spans="1:17" x14ac:dyDescent="0.2">
      <c r="A90" s="16" t="s">
        <v>182</v>
      </c>
      <c r="B90" s="16" t="s">
        <v>79</v>
      </c>
      <c r="C90" s="20" t="s">
        <v>190</v>
      </c>
      <c r="D90" s="20" t="s">
        <v>190</v>
      </c>
      <c r="E90" s="20" t="s">
        <v>190</v>
      </c>
      <c r="F90" s="20" t="s">
        <v>190</v>
      </c>
      <c r="G90" s="20" t="s">
        <v>190</v>
      </c>
      <c r="H90" s="48">
        <v>0.22705620832010162</v>
      </c>
      <c r="I90" s="48">
        <v>0.2158920539730135</v>
      </c>
      <c r="J90" s="48">
        <v>0.2195160031225605</v>
      </c>
      <c r="K90" s="48">
        <v>0.22968580715059589</v>
      </c>
      <c r="L90" s="48">
        <v>0.27877475247524752</v>
      </c>
      <c r="M90" s="48">
        <v>0.28859690286250589</v>
      </c>
      <c r="N90" s="48">
        <v>0.34342364159225064</v>
      </c>
      <c r="O90" s="29">
        <v>0.34465296395591299</v>
      </c>
      <c r="P90" s="29">
        <v>0.31960814327261594</v>
      </c>
      <c r="Q90" s="29">
        <v>0.35075370989500848</v>
      </c>
    </row>
    <row r="91" spans="1:17" x14ac:dyDescent="0.2">
      <c r="A91" s="16" t="s">
        <v>182</v>
      </c>
      <c r="B91" s="16" t="s">
        <v>80</v>
      </c>
      <c r="C91" s="20" t="s">
        <v>190</v>
      </c>
      <c r="D91" s="20" t="s">
        <v>190</v>
      </c>
      <c r="E91" s="20" t="s">
        <v>190</v>
      </c>
      <c r="F91" s="20" t="s">
        <v>190</v>
      </c>
      <c r="G91" s="20" t="s">
        <v>190</v>
      </c>
      <c r="H91" s="48">
        <v>3.3333333333333333E-2</v>
      </c>
      <c r="I91" s="48">
        <v>3.4591194968553458E-2</v>
      </c>
      <c r="J91" s="48">
        <v>3.3742331288343558E-2</v>
      </c>
      <c r="K91" s="48">
        <v>3.4591194968553458E-2</v>
      </c>
      <c r="L91" s="48">
        <v>3.4591194968553458E-2</v>
      </c>
      <c r="M91" s="48">
        <v>3.7617554858934171E-2</v>
      </c>
      <c r="N91" s="48">
        <v>4.3749999999999997E-2</v>
      </c>
      <c r="O91" s="29">
        <v>4.5307443365695796E-2</v>
      </c>
      <c r="P91" s="29">
        <v>4.5751633986928102E-2</v>
      </c>
      <c r="Q91" s="29" t="s">
        <v>192</v>
      </c>
    </row>
    <row r="92" spans="1:17" x14ac:dyDescent="0.2">
      <c r="A92" s="16" t="s">
        <v>182</v>
      </c>
      <c r="B92" s="16" t="s">
        <v>81</v>
      </c>
      <c r="C92" s="20" t="s">
        <v>190</v>
      </c>
      <c r="D92" s="20" t="s">
        <v>190</v>
      </c>
      <c r="E92" s="20" t="s">
        <v>190</v>
      </c>
      <c r="F92" s="20" t="s">
        <v>190</v>
      </c>
      <c r="G92" s="20" t="s">
        <v>190</v>
      </c>
      <c r="H92" s="48">
        <v>0.18752057951926243</v>
      </c>
      <c r="I92" s="48">
        <v>0.18776718184807628</v>
      </c>
      <c r="J92" s="48">
        <v>0.1785050505050505</v>
      </c>
      <c r="K92" s="48">
        <v>0.18674987998079692</v>
      </c>
      <c r="L92" s="48">
        <v>0.18339568574385098</v>
      </c>
      <c r="M92" s="48">
        <v>0.17288537549407115</v>
      </c>
      <c r="N92" s="48">
        <v>0.18728116602882502</v>
      </c>
      <c r="O92" s="29">
        <v>0.18349458364343008</v>
      </c>
      <c r="P92" s="29">
        <v>0.19541178412279253</v>
      </c>
      <c r="Q92" s="29">
        <v>0.19422390590855784</v>
      </c>
    </row>
    <row r="93" spans="1:17" x14ac:dyDescent="0.2">
      <c r="A93" s="16" t="s">
        <v>182</v>
      </c>
      <c r="B93" s="16" t="s">
        <v>82</v>
      </c>
      <c r="C93" s="20" t="s">
        <v>190</v>
      </c>
      <c r="D93" s="20" t="s">
        <v>190</v>
      </c>
      <c r="E93" s="20" t="s">
        <v>190</v>
      </c>
      <c r="F93" s="20" t="s">
        <v>190</v>
      </c>
      <c r="G93" s="20" t="s">
        <v>190</v>
      </c>
      <c r="H93" s="48" t="s">
        <v>192</v>
      </c>
      <c r="I93" s="48" t="s">
        <v>192</v>
      </c>
      <c r="J93" s="48">
        <v>9.1216216216216214E-2</v>
      </c>
      <c r="K93" s="48">
        <v>8.387096774193549E-2</v>
      </c>
      <c r="L93" s="48">
        <v>0.11428571428571428</v>
      </c>
      <c r="M93" s="48">
        <v>9.3851132686084138E-2</v>
      </c>
      <c r="N93" s="48">
        <v>9.9358974358974353E-2</v>
      </c>
      <c r="O93" s="29">
        <v>9.0909090909090912E-2</v>
      </c>
      <c r="P93" s="29">
        <v>9.0342679127725853E-2</v>
      </c>
      <c r="Q93" s="29">
        <v>0.10223048327137546</v>
      </c>
    </row>
    <row r="94" spans="1:17" x14ac:dyDescent="0.2">
      <c r="A94" s="16" t="s">
        <v>182</v>
      </c>
      <c r="B94" s="16" t="s">
        <v>83</v>
      </c>
      <c r="C94" s="20" t="s">
        <v>190</v>
      </c>
      <c r="D94" s="20" t="s">
        <v>190</v>
      </c>
      <c r="E94" s="20" t="s">
        <v>190</v>
      </c>
      <c r="F94" s="20" t="s">
        <v>190</v>
      </c>
      <c r="G94" s="20" t="s">
        <v>190</v>
      </c>
      <c r="H94" s="48" t="s">
        <v>192</v>
      </c>
      <c r="I94" s="48" t="s">
        <v>192</v>
      </c>
      <c r="J94" s="48" t="s">
        <v>192</v>
      </c>
      <c r="K94" s="48" t="s">
        <v>192</v>
      </c>
      <c r="L94" s="48">
        <v>2.6737967914438502E-2</v>
      </c>
      <c r="M94" s="48">
        <v>2.717391304347826E-2</v>
      </c>
      <c r="N94" s="48">
        <v>2.4523160762942781E-2</v>
      </c>
      <c r="O94" s="29">
        <v>2.2038567493112948E-2</v>
      </c>
      <c r="P94" s="29">
        <v>2.5936599423631124E-2</v>
      </c>
      <c r="Q94" s="29">
        <v>2.5337837837837839E-2</v>
      </c>
    </row>
    <row r="95" spans="1:17" x14ac:dyDescent="0.2">
      <c r="A95" s="16" t="s">
        <v>182</v>
      </c>
      <c r="B95" s="16" t="s">
        <v>84</v>
      </c>
      <c r="C95" s="20" t="s">
        <v>190</v>
      </c>
      <c r="D95" s="20" t="s">
        <v>190</v>
      </c>
      <c r="E95" s="20" t="s">
        <v>190</v>
      </c>
      <c r="F95" s="20" t="s">
        <v>190</v>
      </c>
      <c r="G95" s="20" t="s">
        <v>190</v>
      </c>
      <c r="H95" s="48">
        <v>7.4561403508771926E-2</v>
      </c>
      <c r="I95" s="48">
        <v>7.8751857355126298E-2</v>
      </c>
      <c r="J95" s="48">
        <v>8.408408408408409E-2</v>
      </c>
      <c r="K95" s="48">
        <v>9.4534711964549489E-2</v>
      </c>
      <c r="L95" s="48">
        <v>0.10104011887072809</v>
      </c>
      <c r="M95" s="48">
        <v>0.10698365527488855</v>
      </c>
      <c r="N95" s="48">
        <v>0.10549777117384844</v>
      </c>
      <c r="O95" s="29">
        <v>0.10318664643399089</v>
      </c>
      <c r="P95" s="29">
        <v>0.10859728506787331</v>
      </c>
      <c r="Q95" s="29">
        <v>0.10436857015058894</v>
      </c>
    </row>
    <row r="96" spans="1:17" x14ac:dyDescent="0.2">
      <c r="A96" s="16" t="s">
        <v>182</v>
      </c>
      <c r="B96" s="16" t="s">
        <v>15</v>
      </c>
      <c r="C96" s="20" t="s">
        <v>190</v>
      </c>
      <c r="D96" s="20" t="s">
        <v>190</v>
      </c>
      <c r="E96" s="20" t="s">
        <v>190</v>
      </c>
      <c r="F96" s="20" t="s">
        <v>190</v>
      </c>
      <c r="G96" s="20" t="s">
        <v>190</v>
      </c>
      <c r="H96" s="48">
        <v>6.7088607594936706E-2</v>
      </c>
      <c r="I96" s="48">
        <v>7.3047858942065488E-2</v>
      </c>
      <c r="J96" s="48">
        <v>4.192355117139334E-2</v>
      </c>
      <c r="K96" s="48">
        <v>4.778972520908005E-2</v>
      </c>
      <c r="L96" s="48">
        <v>4.457831325301205E-2</v>
      </c>
      <c r="M96" s="48">
        <v>7.5029308323563887E-2</v>
      </c>
      <c r="N96" s="48">
        <v>8.0047789725209081E-2</v>
      </c>
      <c r="O96" s="29">
        <v>7.9041916167664678E-2</v>
      </c>
      <c r="P96" s="29">
        <v>7.5903614457831323E-2</v>
      </c>
      <c r="Q96" s="29">
        <v>7.4741962273104756E-2</v>
      </c>
    </row>
    <row r="97" spans="1:17" x14ac:dyDescent="0.2">
      <c r="A97" s="16" t="s">
        <v>182</v>
      </c>
      <c r="B97" s="16" t="s">
        <v>85</v>
      </c>
      <c r="C97" s="20" t="s">
        <v>190</v>
      </c>
      <c r="D97" s="20" t="s">
        <v>190</v>
      </c>
      <c r="E97" s="20" t="s">
        <v>190</v>
      </c>
      <c r="F97" s="20" t="s">
        <v>190</v>
      </c>
      <c r="G97" s="20" t="s">
        <v>190</v>
      </c>
      <c r="H97" s="48">
        <v>7.4392935982339953E-2</v>
      </c>
      <c r="I97" s="48">
        <v>9.7937024972855585E-2</v>
      </c>
      <c r="J97" s="48">
        <v>9.8043478260869565E-2</v>
      </c>
      <c r="K97" s="48">
        <v>0.1053639846743295</v>
      </c>
      <c r="L97" s="48">
        <v>0.11363163371488033</v>
      </c>
      <c r="M97" s="48">
        <v>0.12063227953410982</v>
      </c>
      <c r="N97" s="48">
        <v>0.12448759439050701</v>
      </c>
      <c r="O97" s="29">
        <v>0.12438344413467725</v>
      </c>
      <c r="P97" s="29">
        <v>0.12197708952057701</v>
      </c>
      <c r="Q97" s="29">
        <v>0.13836610240773842</v>
      </c>
    </row>
    <row r="98" spans="1:17" x14ac:dyDescent="0.2">
      <c r="A98" s="16" t="s">
        <v>182</v>
      </c>
      <c r="B98" s="16" t="s">
        <v>86</v>
      </c>
      <c r="C98" s="20" t="s">
        <v>190</v>
      </c>
      <c r="D98" s="20" t="s">
        <v>190</v>
      </c>
      <c r="E98" s="20" t="s">
        <v>190</v>
      </c>
      <c r="F98" s="20" t="s">
        <v>190</v>
      </c>
      <c r="G98" s="20" t="s">
        <v>190</v>
      </c>
      <c r="H98" s="48">
        <v>8.3832335329341312E-2</v>
      </c>
      <c r="I98" s="48">
        <v>0.11555555555555555</v>
      </c>
      <c r="J98" s="48">
        <v>0.10888888888888888</v>
      </c>
      <c r="K98" s="48">
        <v>0.14358230601885424</v>
      </c>
      <c r="L98" s="48">
        <v>0.14285714285714285</v>
      </c>
      <c r="M98" s="48">
        <v>0.10566037735849057</v>
      </c>
      <c r="N98" s="48">
        <v>0.13811728395061729</v>
      </c>
      <c r="O98" s="29">
        <v>0.11213517665130568</v>
      </c>
      <c r="P98" s="29">
        <v>0.11032863849765258</v>
      </c>
      <c r="Q98" s="29">
        <v>0.19318004066948224</v>
      </c>
    </row>
    <row r="99" spans="1:17" x14ac:dyDescent="0.2">
      <c r="A99" s="16" t="s">
        <v>182</v>
      </c>
      <c r="B99" s="16" t="s">
        <v>87</v>
      </c>
      <c r="C99" s="20" t="s">
        <v>190</v>
      </c>
      <c r="D99" s="20" t="s">
        <v>190</v>
      </c>
      <c r="E99" s="20" t="s">
        <v>190</v>
      </c>
      <c r="F99" s="20" t="s">
        <v>190</v>
      </c>
      <c r="G99" s="20" t="s">
        <v>190</v>
      </c>
      <c r="H99" s="48" t="s">
        <v>192</v>
      </c>
      <c r="I99" s="48" t="s">
        <v>192</v>
      </c>
      <c r="J99" s="48">
        <v>5.7391304347826085E-2</v>
      </c>
      <c r="K99" s="48">
        <v>3.3807829181494664E-2</v>
      </c>
      <c r="L99" s="48">
        <v>3.7634408602150539E-2</v>
      </c>
      <c r="M99" s="48">
        <v>3.0685920577617327E-2</v>
      </c>
      <c r="N99" s="48">
        <v>3.1598513011152414E-2</v>
      </c>
      <c r="O99" s="29">
        <v>2.5362318840579712E-2</v>
      </c>
      <c r="P99" s="29">
        <v>3.2258064516129031E-2</v>
      </c>
      <c r="Q99" s="29">
        <v>5.6846681156997154E-2</v>
      </c>
    </row>
    <row r="100" spans="1:17" x14ac:dyDescent="0.2">
      <c r="A100" s="16" t="s">
        <v>182</v>
      </c>
      <c r="B100" s="16" t="s">
        <v>88</v>
      </c>
      <c r="C100" s="20" t="s">
        <v>190</v>
      </c>
      <c r="D100" s="20" t="s">
        <v>190</v>
      </c>
      <c r="E100" s="20" t="s">
        <v>190</v>
      </c>
      <c r="F100" s="20" t="s">
        <v>190</v>
      </c>
      <c r="G100" s="20" t="s">
        <v>190</v>
      </c>
      <c r="H100" s="48">
        <v>5.6179775280898875E-2</v>
      </c>
      <c r="I100" s="48">
        <v>5.3030303030303032E-2</v>
      </c>
      <c r="J100" s="48">
        <v>5.1094890510948905E-2</v>
      </c>
      <c r="K100" s="48">
        <v>4.9822064056939501E-2</v>
      </c>
      <c r="L100" s="48">
        <v>8.3056478405315617E-2</v>
      </c>
      <c r="M100" s="48">
        <v>8.1168831168831168E-2</v>
      </c>
      <c r="N100" s="48">
        <v>8.3892617449664433E-2</v>
      </c>
      <c r="O100" s="29">
        <v>9.8639455782312924E-2</v>
      </c>
      <c r="P100" s="29">
        <v>8.2278481012658222E-2</v>
      </c>
      <c r="Q100" s="29">
        <v>7.4457753318225961E-2</v>
      </c>
    </row>
    <row r="101" spans="1:17" x14ac:dyDescent="0.2">
      <c r="A101" s="16" t="s">
        <v>182</v>
      </c>
      <c r="B101" s="16" t="s">
        <v>18</v>
      </c>
      <c r="C101" s="20" t="s">
        <v>190</v>
      </c>
      <c r="D101" s="20" t="s">
        <v>190</v>
      </c>
      <c r="E101" s="20" t="s">
        <v>190</v>
      </c>
      <c r="F101" s="20" t="s">
        <v>190</v>
      </c>
      <c r="G101" s="20" t="s">
        <v>190</v>
      </c>
      <c r="H101" s="48">
        <v>0.13932806324110672</v>
      </c>
      <c r="I101" s="48">
        <v>0.16712834718374883</v>
      </c>
      <c r="J101" s="48">
        <v>0.13409961685823754</v>
      </c>
      <c r="K101" s="48">
        <v>0.10309278350515463</v>
      </c>
      <c r="L101" s="48">
        <v>0.10497835497835498</v>
      </c>
      <c r="M101" s="48">
        <v>0.13132400430570507</v>
      </c>
      <c r="N101" s="48">
        <v>0.13665943600867678</v>
      </c>
      <c r="O101" s="29">
        <v>0.13793103448275862</v>
      </c>
      <c r="P101" s="29">
        <v>0.11400651465798045</v>
      </c>
      <c r="Q101" s="29">
        <v>0.10749113475177305</v>
      </c>
    </row>
    <row r="102" spans="1:17" x14ac:dyDescent="0.2">
      <c r="A102" s="16" t="s">
        <v>182</v>
      </c>
      <c r="B102" s="16" t="s">
        <v>89</v>
      </c>
      <c r="C102" s="20" t="s">
        <v>190</v>
      </c>
      <c r="D102" s="20" t="s">
        <v>190</v>
      </c>
      <c r="E102" s="20" t="s">
        <v>190</v>
      </c>
      <c r="F102" s="20" t="s">
        <v>190</v>
      </c>
      <c r="G102" s="20" t="s">
        <v>190</v>
      </c>
      <c r="H102" s="48">
        <v>8.4944346807264204E-2</v>
      </c>
      <c r="I102" s="48">
        <v>7.931404072883172E-2</v>
      </c>
      <c r="J102" s="48">
        <v>9.4882116158711907E-2</v>
      </c>
      <c r="K102" s="48">
        <v>0.11198738170347003</v>
      </c>
      <c r="L102" s="48">
        <v>0.12282608695652174</v>
      </c>
      <c r="M102" s="48">
        <v>0.13153638814016172</v>
      </c>
      <c r="N102" s="48">
        <v>0.12751292360712235</v>
      </c>
      <c r="O102" s="29">
        <v>0.1261759822910902</v>
      </c>
      <c r="P102" s="29">
        <v>0.12700106723585913</v>
      </c>
      <c r="Q102" s="29">
        <v>0.13440860215053763</v>
      </c>
    </row>
    <row r="103" spans="1:17" x14ac:dyDescent="0.2">
      <c r="A103" s="16" t="s">
        <v>182</v>
      </c>
      <c r="B103" s="16" t="s">
        <v>90</v>
      </c>
      <c r="C103" s="20" t="s">
        <v>190</v>
      </c>
      <c r="D103" s="20" t="s">
        <v>190</v>
      </c>
      <c r="E103" s="20" t="s">
        <v>190</v>
      </c>
      <c r="F103" s="20" t="s">
        <v>190</v>
      </c>
      <c r="G103" s="20" t="s">
        <v>190</v>
      </c>
      <c r="H103" s="48">
        <v>0.17744916820702403</v>
      </c>
      <c r="I103" s="48">
        <v>0.17669172932330826</v>
      </c>
      <c r="J103" s="48">
        <v>0.11515151515151516</v>
      </c>
      <c r="K103" s="48">
        <v>0.13709677419354838</v>
      </c>
      <c r="L103" s="48">
        <v>0.1465863453815261</v>
      </c>
      <c r="M103" s="48">
        <v>0.14705882352941177</v>
      </c>
      <c r="N103" s="48">
        <v>0.14345114345114346</v>
      </c>
      <c r="O103" s="29">
        <v>0.13894736842105262</v>
      </c>
      <c r="P103" s="29">
        <v>0.17083333333333334</v>
      </c>
      <c r="Q103" s="29">
        <v>0.15268729641693812</v>
      </c>
    </row>
    <row r="104" spans="1:17" x14ac:dyDescent="0.2">
      <c r="A104" s="16" t="s">
        <v>182</v>
      </c>
      <c r="B104" s="16" t="s">
        <v>91</v>
      </c>
      <c r="C104" s="20" t="s">
        <v>190</v>
      </c>
      <c r="D104" s="20" t="s">
        <v>190</v>
      </c>
      <c r="E104" s="20" t="s">
        <v>190</v>
      </c>
      <c r="F104" s="20" t="s">
        <v>190</v>
      </c>
      <c r="G104" s="20" t="s">
        <v>190</v>
      </c>
      <c r="H104" s="48">
        <v>0.125</v>
      </c>
      <c r="I104" s="48">
        <v>0.10367170626349892</v>
      </c>
      <c r="J104" s="48">
        <v>0.1019522776572668</v>
      </c>
      <c r="K104" s="48">
        <v>9.4623655913978491E-2</v>
      </c>
      <c r="L104" s="48">
        <v>7.0539419087136929E-2</v>
      </c>
      <c r="M104" s="48">
        <v>5.7203389830508475E-2</v>
      </c>
      <c r="N104" s="48">
        <v>5.8189655172413791E-2</v>
      </c>
      <c r="O104" s="29">
        <v>6.1571125265392782E-2</v>
      </c>
      <c r="P104" s="29">
        <v>6.0542797494780795E-2</v>
      </c>
      <c r="Q104" s="29">
        <v>5.5903398926654739E-2</v>
      </c>
    </row>
    <row r="105" spans="1:17" x14ac:dyDescent="0.2">
      <c r="A105" s="16" t="s">
        <v>182</v>
      </c>
      <c r="B105" s="16" t="s">
        <v>92</v>
      </c>
      <c r="C105" s="20" t="s">
        <v>190</v>
      </c>
      <c r="D105" s="20" t="s">
        <v>190</v>
      </c>
      <c r="E105" s="20" t="s">
        <v>190</v>
      </c>
      <c r="F105" s="20" t="s">
        <v>190</v>
      </c>
      <c r="G105" s="20" t="s">
        <v>190</v>
      </c>
      <c r="H105" s="48">
        <v>4.7215496368038741E-2</v>
      </c>
      <c r="I105" s="48">
        <v>4.4117647058823532E-2</v>
      </c>
      <c r="J105" s="48">
        <v>4.1095890410958902E-2</v>
      </c>
      <c r="K105" s="48">
        <v>3.9141414141414144E-2</v>
      </c>
      <c r="L105" s="48">
        <v>3.9702233250620347E-2</v>
      </c>
      <c r="M105" s="48">
        <v>3.4912718204488775E-2</v>
      </c>
      <c r="N105" s="48">
        <v>3.2941176470588238E-2</v>
      </c>
      <c r="O105" s="29">
        <v>2.3952095808383235E-2</v>
      </c>
      <c r="P105" s="29">
        <v>2.2222222222222223E-2</v>
      </c>
      <c r="Q105" s="29">
        <v>3.1491930192888075E-2</v>
      </c>
    </row>
    <row r="106" spans="1:17" x14ac:dyDescent="0.2">
      <c r="A106" s="16" t="s">
        <v>182</v>
      </c>
      <c r="B106" s="16" t="s">
        <v>93</v>
      </c>
      <c r="C106" s="20" t="s">
        <v>190</v>
      </c>
      <c r="D106" s="20" t="s">
        <v>190</v>
      </c>
      <c r="E106" s="20" t="s">
        <v>190</v>
      </c>
      <c r="F106" s="20" t="s">
        <v>190</v>
      </c>
      <c r="G106" s="20" t="s">
        <v>190</v>
      </c>
      <c r="H106" s="48" t="s">
        <v>192</v>
      </c>
      <c r="I106" s="48" t="s">
        <v>192</v>
      </c>
      <c r="J106" s="48" t="s">
        <v>192</v>
      </c>
      <c r="K106" s="48" t="s">
        <v>192</v>
      </c>
      <c r="L106" s="48" t="s">
        <v>192</v>
      </c>
      <c r="M106" s="48" t="s">
        <v>192</v>
      </c>
      <c r="N106" s="48" t="s">
        <v>192</v>
      </c>
      <c r="O106" s="29" t="s">
        <v>192</v>
      </c>
      <c r="P106" s="29">
        <v>3.937007874015748E-2</v>
      </c>
      <c r="Q106" s="29">
        <v>4.3409629044988164E-2</v>
      </c>
    </row>
    <row r="107" spans="1:17" x14ac:dyDescent="0.2">
      <c r="A107" s="16" t="s">
        <v>182</v>
      </c>
      <c r="B107" s="16" t="s">
        <v>94</v>
      </c>
      <c r="C107" s="20" t="s">
        <v>190</v>
      </c>
      <c r="D107" s="20" t="s">
        <v>190</v>
      </c>
      <c r="E107" s="20" t="s">
        <v>190</v>
      </c>
      <c r="F107" s="20" t="s">
        <v>190</v>
      </c>
      <c r="G107" s="20" t="s">
        <v>190</v>
      </c>
      <c r="H107" s="48">
        <v>7.8762306610407881E-2</v>
      </c>
      <c r="I107" s="48">
        <v>8.00561797752809E-2</v>
      </c>
      <c r="J107" s="48">
        <v>7.8347578347578342E-2</v>
      </c>
      <c r="K107" s="48">
        <v>8.1005586592178769E-2</v>
      </c>
      <c r="L107" s="48">
        <v>8.3565459610027856E-2</v>
      </c>
      <c r="M107" s="48">
        <v>8.5314685314685321E-2</v>
      </c>
      <c r="N107" s="48">
        <v>9.9865047233468285E-2</v>
      </c>
      <c r="O107" s="29">
        <v>9.1275167785234895E-2</v>
      </c>
      <c r="P107" s="29">
        <v>8.9238845144356954E-2</v>
      </c>
      <c r="Q107" s="29">
        <v>0.10265072765072765</v>
      </c>
    </row>
    <row r="108" spans="1:17" x14ac:dyDescent="0.2">
      <c r="A108" s="16" t="s">
        <v>182</v>
      </c>
      <c r="B108" s="16" t="s">
        <v>95</v>
      </c>
      <c r="C108" s="20" t="s">
        <v>190</v>
      </c>
      <c r="D108" s="20" t="s">
        <v>190</v>
      </c>
      <c r="E108" s="20" t="s">
        <v>190</v>
      </c>
      <c r="F108" s="20" t="s">
        <v>190</v>
      </c>
      <c r="G108" s="20" t="s">
        <v>190</v>
      </c>
      <c r="H108" s="48">
        <v>6.2874251497005984E-2</v>
      </c>
      <c r="I108" s="48">
        <v>7.0588235294117646E-2</v>
      </c>
      <c r="J108" s="48">
        <v>8.0459770114942528E-2</v>
      </c>
      <c r="K108" s="48">
        <v>7.5801749271137031E-2</v>
      </c>
      <c r="L108" s="48">
        <v>6.6091954022988508E-2</v>
      </c>
      <c r="M108" s="48">
        <v>7.7363896848137534E-2</v>
      </c>
      <c r="N108" s="48">
        <v>7.7363896848137534E-2</v>
      </c>
      <c r="O108" s="29">
        <v>7.5801749271137031E-2</v>
      </c>
      <c r="P108" s="29">
        <v>5.7750759878419454E-2</v>
      </c>
      <c r="Q108" s="29">
        <v>5.3956834532374098E-2</v>
      </c>
    </row>
    <row r="109" spans="1:17" ht="27" customHeight="1" x14ac:dyDescent="0.2">
      <c r="A109" s="17" t="s">
        <v>183</v>
      </c>
      <c r="B109" s="9" t="s">
        <v>112</v>
      </c>
      <c r="C109" s="20" t="s">
        <v>190</v>
      </c>
      <c r="D109" s="20" t="s">
        <v>190</v>
      </c>
      <c r="E109" s="20" t="s">
        <v>190</v>
      </c>
      <c r="F109" s="20" t="s">
        <v>190</v>
      </c>
      <c r="G109" s="20" t="s">
        <v>190</v>
      </c>
      <c r="H109" s="48">
        <v>5.6086956521739131E-2</v>
      </c>
      <c r="I109" s="48">
        <v>6.0565870910698497E-2</v>
      </c>
      <c r="J109" s="48">
        <v>6.8722466960352419E-2</v>
      </c>
      <c r="K109" s="48">
        <v>8.3996463306808128E-2</v>
      </c>
      <c r="L109" s="48">
        <v>9.0868989854433174E-2</v>
      </c>
      <c r="M109" s="48">
        <v>9.0669014084507046E-2</v>
      </c>
      <c r="N109" s="48">
        <v>9.6816976127320958E-2</v>
      </c>
      <c r="O109" s="29">
        <v>0.10654288240495137</v>
      </c>
      <c r="P109" s="29">
        <v>0.10827464788732394</v>
      </c>
      <c r="Q109" s="29">
        <v>9.196339585032165E-2</v>
      </c>
    </row>
    <row r="110" spans="1:17" x14ac:dyDescent="0.2">
      <c r="A110" s="16" t="s">
        <v>183</v>
      </c>
      <c r="B110" s="9" t="s">
        <v>113</v>
      </c>
      <c r="C110" s="20" t="s">
        <v>190</v>
      </c>
      <c r="D110" s="20" t="s">
        <v>190</v>
      </c>
      <c r="E110" s="20" t="s">
        <v>190</v>
      </c>
      <c r="F110" s="20" t="s">
        <v>190</v>
      </c>
      <c r="G110" s="20" t="s">
        <v>190</v>
      </c>
      <c r="H110" s="48">
        <v>9.0675791274593673E-2</v>
      </c>
      <c r="I110" s="48">
        <v>8.4421235857267185E-2</v>
      </c>
      <c r="J110" s="48">
        <v>8.6580086580086577E-2</v>
      </c>
      <c r="K110" s="48">
        <v>9.2544987146529561E-2</v>
      </c>
      <c r="L110" s="48">
        <v>7.8464106844741241E-2</v>
      </c>
      <c r="M110" s="48">
        <v>7.1126164267569861E-2</v>
      </c>
      <c r="N110" s="48">
        <v>7.179487179487179E-2</v>
      </c>
      <c r="O110" s="29">
        <v>7.5149444918872751E-2</v>
      </c>
      <c r="P110" s="29">
        <v>7.179487179487179E-2</v>
      </c>
      <c r="Q110" s="29">
        <v>6.9541029207232263E-2</v>
      </c>
    </row>
    <row r="111" spans="1:17" x14ac:dyDescent="0.2">
      <c r="A111" s="16" t="s">
        <v>183</v>
      </c>
      <c r="B111" s="9" t="s">
        <v>114</v>
      </c>
      <c r="C111" s="20" t="s">
        <v>190</v>
      </c>
      <c r="D111" s="20" t="s">
        <v>190</v>
      </c>
      <c r="E111" s="20" t="s">
        <v>190</v>
      </c>
      <c r="F111" s="20" t="s">
        <v>190</v>
      </c>
      <c r="G111" s="20" t="s">
        <v>190</v>
      </c>
      <c r="H111" s="48">
        <v>0.12900432900432901</v>
      </c>
      <c r="I111" s="48">
        <v>0.1386173184357542</v>
      </c>
      <c r="J111" s="48">
        <v>0.13978309519710794</v>
      </c>
      <c r="K111" s="48">
        <v>0.14063029481531683</v>
      </c>
      <c r="L111" s="48">
        <v>0.13662646621509994</v>
      </c>
      <c r="M111" s="48">
        <v>0.14196908602150538</v>
      </c>
      <c r="N111" s="48">
        <v>0.14173497267759563</v>
      </c>
      <c r="O111" s="29">
        <v>0.14079483695652173</v>
      </c>
      <c r="P111" s="29">
        <v>0.13662593346911067</v>
      </c>
      <c r="Q111" s="29">
        <v>0.14168505820711963</v>
      </c>
    </row>
    <row r="112" spans="1:17" x14ac:dyDescent="0.2">
      <c r="A112" s="16" t="s">
        <v>183</v>
      </c>
      <c r="B112" s="9" t="s">
        <v>115</v>
      </c>
      <c r="C112" s="20" t="s">
        <v>190</v>
      </c>
      <c r="D112" s="20" t="s">
        <v>190</v>
      </c>
      <c r="E112" s="20" t="s">
        <v>190</v>
      </c>
      <c r="F112" s="20" t="s">
        <v>190</v>
      </c>
      <c r="G112" s="20" t="s">
        <v>190</v>
      </c>
      <c r="H112" s="48">
        <v>7.1913161465400277E-2</v>
      </c>
      <c r="I112" s="48">
        <v>7.6242341729067395E-2</v>
      </c>
      <c r="J112" s="48">
        <v>7.5067024128686322E-2</v>
      </c>
      <c r="K112" s="48">
        <v>9.1201027617212591E-2</v>
      </c>
      <c r="L112" s="48">
        <v>0.1029504080351538</v>
      </c>
      <c r="M112" s="48">
        <v>0.11097256857855362</v>
      </c>
      <c r="N112" s="48">
        <v>0.11799217731421122</v>
      </c>
      <c r="O112" s="29">
        <v>0.11585760517799353</v>
      </c>
      <c r="P112" s="29">
        <v>0.12453531598513011</v>
      </c>
      <c r="Q112" s="29">
        <v>0.12925382453949422</v>
      </c>
    </row>
    <row r="113" spans="1:17" x14ac:dyDescent="0.2">
      <c r="A113" s="16" t="s">
        <v>183</v>
      </c>
      <c r="B113" s="9" t="s">
        <v>13</v>
      </c>
      <c r="C113" s="20" t="s">
        <v>190</v>
      </c>
      <c r="D113" s="20" t="s">
        <v>190</v>
      </c>
      <c r="E113" s="20" t="s">
        <v>190</v>
      </c>
      <c r="F113" s="20" t="s">
        <v>190</v>
      </c>
      <c r="G113" s="20" t="s">
        <v>190</v>
      </c>
      <c r="H113" s="48">
        <v>6.2410841654778886E-2</v>
      </c>
      <c r="I113" s="48">
        <v>6.5142065142065136E-2</v>
      </c>
      <c r="J113" s="48">
        <v>6.9655172413793098E-2</v>
      </c>
      <c r="K113" s="48">
        <v>6.9639794168096056E-2</v>
      </c>
      <c r="L113" s="48">
        <v>7.0334261838440118E-2</v>
      </c>
      <c r="M113" s="48">
        <v>7.6923076923076927E-2</v>
      </c>
      <c r="N113" s="48">
        <v>8.1033880544882989E-2</v>
      </c>
      <c r="O113" s="29">
        <v>8.6597197269134021E-2</v>
      </c>
      <c r="P113" s="29">
        <v>9.1613812544045103E-2</v>
      </c>
      <c r="Q113" s="29">
        <v>0.10221043324491601</v>
      </c>
    </row>
    <row r="114" spans="1:17" x14ac:dyDescent="0.2">
      <c r="A114" s="16" t="s">
        <v>183</v>
      </c>
      <c r="B114" s="9" t="s">
        <v>116</v>
      </c>
      <c r="C114" s="20" t="s">
        <v>190</v>
      </c>
      <c r="D114" s="20" t="s">
        <v>190</v>
      </c>
      <c r="E114" s="20" t="s">
        <v>190</v>
      </c>
      <c r="F114" s="20" t="s">
        <v>190</v>
      </c>
      <c r="G114" s="20" t="s">
        <v>190</v>
      </c>
      <c r="H114" s="48">
        <v>6.7088607594936706E-2</v>
      </c>
      <c r="I114" s="48">
        <v>7.3047858942065488E-2</v>
      </c>
      <c r="J114" s="48">
        <v>4.192355117139334E-2</v>
      </c>
      <c r="K114" s="48">
        <v>4.778972520908005E-2</v>
      </c>
      <c r="L114" s="48">
        <v>4.457831325301205E-2</v>
      </c>
      <c r="M114" s="48">
        <v>7.5029308323563887E-2</v>
      </c>
      <c r="N114" s="48">
        <v>8.0047789725209081E-2</v>
      </c>
      <c r="O114" s="29">
        <v>7.9041916167664678E-2</v>
      </c>
      <c r="P114" s="29">
        <v>7.5903614457831323E-2</v>
      </c>
      <c r="Q114" s="29">
        <v>7.4741962273104756E-2</v>
      </c>
    </row>
    <row r="115" spans="1:17" x14ac:dyDescent="0.2">
      <c r="A115" s="16" t="s">
        <v>183</v>
      </c>
      <c r="B115" s="9" t="s">
        <v>117</v>
      </c>
      <c r="C115" s="20" t="s">
        <v>190</v>
      </c>
      <c r="D115" s="20" t="s">
        <v>190</v>
      </c>
      <c r="E115" s="20" t="s">
        <v>190</v>
      </c>
      <c r="F115" s="20" t="s">
        <v>190</v>
      </c>
      <c r="G115" s="20" t="s">
        <v>190</v>
      </c>
      <c r="H115" s="48">
        <v>7.8762306610407881E-2</v>
      </c>
      <c r="I115" s="48">
        <v>8.00561797752809E-2</v>
      </c>
      <c r="J115" s="48">
        <v>7.8347578347578342E-2</v>
      </c>
      <c r="K115" s="48">
        <v>8.1005586592178769E-2</v>
      </c>
      <c r="L115" s="48">
        <v>8.3565459610027856E-2</v>
      </c>
      <c r="M115" s="48">
        <v>8.5314685314685321E-2</v>
      </c>
      <c r="N115" s="48">
        <v>9.9865047233468285E-2</v>
      </c>
      <c r="O115" s="29">
        <v>9.1275167785234895E-2</v>
      </c>
      <c r="P115" s="29">
        <v>8.9238845144356954E-2</v>
      </c>
      <c r="Q115" s="29">
        <v>0.10265072765072765</v>
      </c>
    </row>
    <row r="116" spans="1:17" x14ac:dyDescent="0.2">
      <c r="A116" s="16" t="s">
        <v>183</v>
      </c>
      <c r="B116" s="9" t="s">
        <v>118</v>
      </c>
      <c r="C116" s="20" t="s">
        <v>190</v>
      </c>
      <c r="D116" s="20" t="s">
        <v>190</v>
      </c>
      <c r="E116" s="20" t="s">
        <v>190</v>
      </c>
      <c r="F116" s="20" t="s">
        <v>190</v>
      </c>
      <c r="G116" s="20" t="s">
        <v>190</v>
      </c>
      <c r="H116" s="48">
        <v>0.13932806324110672</v>
      </c>
      <c r="I116" s="48">
        <v>0.16712834718374883</v>
      </c>
      <c r="J116" s="48">
        <v>0.13409961685823754</v>
      </c>
      <c r="K116" s="48">
        <v>0.10309278350515463</v>
      </c>
      <c r="L116" s="48">
        <v>0.10497835497835498</v>
      </c>
      <c r="M116" s="48">
        <v>0.13132400430570507</v>
      </c>
      <c r="N116" s="48">
        <v>0.13665943600867678</v>
      </c>
      <c r="O116" s="29">
        <v>0.13793103448275862</v>
      </c>
      <c r="P116" s="29">
        <v>0.11400651465798045</v>
      </c>
      <c r="Q116" s="29">
        <v>0.10749113475177305</v>
      </c>
    </row>
    <row r="117" spans="1:17" x14ac:dyDescent="0.2">
      <c r="A117" s="16" t="s">
        <v>183</v>
      </c>
      <c r="B117" s="9" t="s">
        <v>184</v>
      </c>
      <c r="C117" s="20" t="s">
        <v>190</v>
      </c>
      <c r="D117" s="20" t="s">
        <v>190</v>
      </c>
      <c r="E117" s="20" t="s">
        <v>190</v>
      </c>
      <c r="F117" s="20" t="s">
        <v>190</v>
      </c>
      <c r="G117" s="20" t="s">
        <v>190</v>
      </c>
      <c r="H117" s="48">
        <v>9.4225492641556496E-2</v>
      </c>
      <c r="I117" s="48">
        <v>0.10092028354682253</v>
      </c>
      <c r="J117" s="48">
        <v>9.9548909349317191E-2</v>
      </c>
      <c r="K117" s="48">
        <v>0.10228455931891958</v>
      </c>
      <c r="L117" s="48">
        <v>0.10252202977818292</v>
      </c>
      <c r="M117" s="29">
        <v>0.10869300170690076</v>
      </c>
      <c r="N117" s="29">
        <v>0.11187990362636684</v>
      </c>
      <c r="O117" s="29">
        <v>0.11378433682644014</v>
      </c>
      <c r="P117" s="29">
        <v>0.11241042505153627</v>
      </c>
      <c r="Q117" s="29">
        <v>0.11450109007599739</v>
      </c>
    </row>
    <row r="118" spans="1:17" ht="28.5" customHeight="1" x14ac:dyDescent="0.2">
      <c r="A118" s="17" t="s">
        <v>185</v>
      </c>
      <c r="B118" s="17" t="s">
        <v>111</v>
      </c>
      <c r="C118" s="20" t="s">
        <v>190</v>
      </c>
      <c r="D118" s="20" t="s">
        <v>190</v>
      </c>
      <c r="E118" s="20" t="s">
        <v>190</v>
      </c>
      <c r="F118" s="20" t="s">
        <v>190</v>
      </c>
      <c r="G118" s="20" t="s">
        <v>190</v>
      </c>
      <c r="H118" s="48">
        <v>0.1091703056768559</v>
      </c>
      <c r="I118" s="48">
        <v>0.11997177134791814</v>
      </c>
      <c r="J118" s="48">
        <v>0.12333071484681854</v>
      </c>
      <c r="K118" s="48">
        <v>9.236363636363637E-2</v>
      </c>
      <c r="L118" s="48">
        <v>0.12920908379013313</v>
      </c>
      <c r="M118" s="48">
        <v>0.12539184952978055</v>
      </c>
      <c r="N118" s="48">
        <v>0.13695299837925445</v>
      </c>
      <c r="O118" s="29">
        <v>0.13522012578616352</v>
      </c>
      <c r="P118" s="29">
        <v>0.11618535930154467</v>
      </c>
      <c r="Q118" s="29">
        <v>0.12100586122140292</v>
      </c>
    </row>
    <row r="119" spans="1:17" x14ac:dyDescent="0.2">
      <c r="A119" s="17" t="s">
        <v>185</v>
      </c>
      <c r="B119" s="9" t="s">
        <v>186</v>
      </c>
      <c r="C119" s="20" t="s">
        <v>190</v>
      </c>
      <c r="D119" s="20" t="s">
        <v>190</v>
      </c>
      <c r="E119" s="20" t="s">
        <v>190</v>
      </c>
      <c r="F119" s="20" t="s">
        <v>190</v>
      </c>
      <c r="G119" s="20" t="s">
        <v>190</v>
      </c>
      <c r="H119" s="48">
        <v>0.2045351286605262</v>
      </c>
      <c r="I119" s="48">
        <v>0.21168265742159156</v>
      </c>
      <c r="J119" s="48">
        <v>0.21713643298803501</v>
      </c>
      <c r="K119" s="48">
        <v>0.22338991116751269</v>
      </c>
      <c r="L119" s="48">
        <v>0.23411124076234929</v>
      </c>
      <c r="M119" s="48">
        <v>0.23607752830550757</v>
      </c>
      <c r="N119" s="48">
        <v>0.24647202892353148</v>
      </c>
      <c r="O119" s="29">
        <v>0.24784793362676741</v>
      </c>
      <c r="P119" s="29">
        <v>0.24503490031236744</v>
      </c>
      <c r="Q119" s="29">
        <v>0.24793169383389183</v>
      </c>
    </row>
    <row r="120" spans="1:17" x14ac:dyDescent="0.2">
      <c r="A120" s="17" t="s">
        <v>185</v>
      </c>
      <c r="B120" s="9" t="s">
        <v>151</v>
      </c>
      <c r="C120" s="20" t="s">
        <v>190</v>
      </c>
      <c r="D120" s="20" t="s">
        <v>190</v>
      </c>
      <c r="E120" s="20" t="s">
        <v>190</v>
      </c>
      <c r="F120" s="20" t="s">
        <v>190</v>
      </c>
      <c r="G120" s="20" t="s">
        <v>190</v>
      </c>
      <c r="H120" s="48">
        <v>0.19158153714499651</v>
      </c>
      <c r="I120" s="48">
        <v>0.19559228650137742</v>
      </c>
      <c r="J120" s="48">
        <v>0.19607639069573815</v>
      </c>
      <c r="K120" s="48">
        <v>0.20077557204858881</v>
      </c>
      <c r="L120" s="48">
        <v>0.2070827577546151</v>
      </c>
      <c r="M120" s="48">
        <v>0.20968468468468468</v>
      </c>
      <c r="N120" s="48">
        <v>0.21519829992062883</v>
      </c>
      <c r="O120" s="29">
        <v>0.21889189327075148</v>
      </c>
      <c r="P120" s="29">
        <v>0.21919070410278724</v>
      </c>
      <c r="Q120" s="29">
        <v>0.21949134321023048</v>
      </c>
    </row>
    <row r="121" spans="1:17" ht="28.5" customHeight="1" x14ac:dyDescent="0.2">
      <c r="A121" s="91" t="s">
        <v>270</v>
      </c>
      <c r="B121" s="92" t="s">
        <v>271</v>
      </c>
      <c r="C121" s="93" t="s">
        <v>190</v>
      </c>
      <c r="D121" s="93" t="s">
        <v>190</v>
      </c>
      <c r="E121" s="93" t="s">
        <v>190</v>
      </c>
      <c r="F121" s="93" t="s">
        <v>190</v>
      </c>
      <c r="G121" s="93" t="s">
        <v>190</v>
      </c>
      <c r="H121" s="29" t="s">
        <v>192</v>
      </c>
      <c r="I121" s="29" t="s">
        <v>192</v>
      </c>
      <c r="J121" s="79">
        <v>8.6538461538461536E-2</v>
      </c>
      <c r="K121" s="79">
        <v>7.926829268292683E-2</v>
      </c>
      <c r="L121" s="79">
        <v>0.10843373493975904</v>
      </c>
      <c r="M121" s="79">
        <v>8.9506172839506168E-2</v>
      </c>
      <c r="N121" s="79">
        <v>9.451219512195122E-2</v>
      </c>
      <c r="O121" s="79">
        <v>8.6826347305389226E-2</v>
      </c>
      <c r="P121" s="79">
        <v>8.6130086130086131E-2</v>
      </c>
      <c r="Q121" s="79">
        <v>9.720176730486009E-2</v>
      </c>
    </row>
    <row r="122" spans="1:17" x14ac:dyDescent="0.2">
      <c r="A122" s="91" t="s">
        <v>270</v>
      </c>
      <c r="B122" s="92" t="s">
        <v>272</v>
      </c>
      <c r="C122" s="93" t="s">
        <v>190</v>
      </c>
      <c r="D122" s="93" t="s">
        <v>190</v>
      </c>
      <c r="E122" s="93" t="s">
        <v>190</v>
      </c>
      <c r="F122" s="93" t="s">
        <v>190</v>
      </c>
      <c r="G122" s="93" t="s">
        <v>190</v>
      </c>
      <c r="H122" s="29" t="s">
        <v>192</v>
      </c>
      <c r="I122" s="29" t="s">
        <v>192</v>
      </c>
      <c r="J122" s="29" t="s">
        <v>192</v>
      </c>
      <c r="K122" s="29" t="s">
        <v>192</v>
      </c>
      <c r="L122" s="79">
        <v>3.9106145251396648E-2</v>
      </c>
      <c r="M122" s="79">
        <v>4.0871934604904632E-2</v>
      </c>
      <c r="N122" s="79">
        <v>4.456824512534819E-2</v>
      </c>
      <c r="O122" s="79">
        <v>0.12096774193548387</v>
      </c>
      <c r="P122" s="79">
        <v>0.11606436296491691</v>
      </c>
      <c r="Q122" s="79">
        <v>6.2785388127853878E-2</v>
      </c>
    </row>
    <row r="123" spans="1:17" x14ac:dyDescent="0.2">
      <c r="A123" s="91" t="s">
        <v>270</v>
      </c>
      <c r="B123" s="92" t="s">
        <v>273</v>
      </c>
      <c r="C123" s="93" t="s">
        <v>190</v>
      </c>
      <c r="D123" s="93" t="s">
        <v>190</v>
      </c>
      <c r="E123" s="93" t="s">
        <v>190</v>
      </c>
      <c r="F123" s="93" t="s">
        <v>190</v>
      </c>
      <c r="G123" s="93" t="s">
        <v>190</v>
      </c>
      <c r="H123" s="79">
        <v>4.3596730245231606E-2</v>
      </c>
      <c r="I123" s="79">
        <v>4.1782729805013928E-2</v>
      </c>
      <c r="J123" s="79">
        <v>4.065040650406504E-2</v>
      </c>
      <c r="K123" s="79">
        <v>3.9473684210526314E-2</v>
      </c>
      <c r="L123" s="79">
        <v>6.8126520681265207E-2</v>
      </c>
      <c r="M123" s="79">
        <v>7.3459715639810422E-2</v>
      </c>
      <c r="N123" s="79">
        <v>7.9404466501240695E-2</v>
      </c>
      <c r="O123" s="79">
        <v>8.7499999999999994E-2</v>
      </c>
      <c r="P123" s="79">
        <v>7.5011720581340841E-2</v>
      </c>
      <c r="Q123" s="79">
        <v>6.9096974029068378E-2</v>
      </c>
    </row>
    <row r="124" spans="1:17" x14ac:dyDescent="0.2">
      <c r="A124" s="91" t="s">
        <v>270</v>
      </c>
      <c r="B124" s="92" t="s">
        <v>274</v>
      </c>
      <c r="C124" s="93" t="s">
        <v>190</v>
      </c>
      <c r="D124" s="93" t="s">
        <v>190</v>
      </c>
      <c r="E124" s="93" t="s">
        <v>190</v>
      </c>
      <c r="F124" s="93" t="s">
        <v>190</v>
      </c>
      <c r="G124" s="93" t="s">
        <v>190</v>
      </c>
      <c r="H124" s="79">
        <v>8.5877862595419852E-2</v>
      </c>
      <c r="I124" s="79">
        <v>8.5227272727272721E-2</v>
      </c>
      <c r="J124" s="79">
        <v>8.5271317829457363E-2</v>
      </c>
      <c r="K124" s="79">
        <v>8.8679245283018862E-2</v>
      </c>
      <c r="L124" s="79">
        <v>9.056603773584905E-2</v>
      </c>
      <c r="M124" s="79">
        <v>9.1247672253258846E-2</v>
      </c>
      <c r="N124" s="79">
        <v>0.10830324909747292</v>
      </c>
      <c r="O124" s="79">
        <v>9.9637681159420288E-2</v>
      </c>
      <c r="P124" s="79">
        <v>9.902740937223696E-2</v>
      </c>
      <c r="Q124" s="79">
        <v>0.1172763871871171</v>
      </c>
    </row>
    <row r="125" spans="1:17" x14ac:dyDescent="0.2">
      <c r="A125" s="91" t="s">
        <v>270</v>
      </c>
      <c r="B125" s="92" t="s">
        <v>275</v>
      </c>
      <c r="C125" s="93" t="s">
        <v>190</v>
      </c>
      <c r="D125" s="93" t="s">
        <v>190</v>
      </c>
      <c r="E125" s="93" t="s">
        <v>190</v>
      </c>
      <c r="F125" s="93" t="s">
        <v>190</v>
      </c>
      <c r="G125" s="93" t="s">
        <v>190</v>
      </c>
      <c r="H125" s="79">
        <v>5.6603773584905662E-2</v>
      </c>
      <c r="I125" s="79">
        <v>6.3400576368876083E-2</v>
      </c>
      <c r="J125" s="79">
        <v>2.8011204481792718E-2</v>
      </c>
      <c r="K125" s="79">
        <v>3.0513176144244106E-2</v>
      </c>
      <c r="L125" s="79">
        <v>3.7087912087912088E-2</v>
      </c>
      <c r="M125" s="79">
        <v>7.6203208556149732E-2</v>
      </c>
      <c r="N125" s="79">
        <v>8.1521739130434784E-2</v>
      </c>
      <c r="O125" s="79">
        <v>8.0491132332878579E-2</v>
      </c>
      <c r="P125" s="79">
        <v>7.7403585008147743E-2</v>
      </c>
      <c r="Q125" s="79">
        <v>7.6111630391240484E-2</v>
      </c>
    </row>
    <row r="126" spans="1:17" x14ac:dyDescent="0.2">
      <c r="A126" s="91" t="s">
        <v>270</v>
      </c>
      <c r="B126" s="92" t="s">
        <v>276</v>
      </c>
      <c r="C126" s="93" t="s">
        <v>190</v>
      </c>
      <c r="D126" s="93" t="s">
        <v>190</v>
      </c>
      <c r="E126" s="93" t="s">
        <v>190</v>
      </c>
      <c r="F126" s="93" t="s">
        <v>190</v>
      </c>
      <c r="G126" s="93" t="s">
        <v>190</v>
      </c>
      <c r="H126" s="29" t="s">
        <v>192</v>
      </c>
      <c r="I126" s="29" t="s">
        <v>192</v>
      </c>
      <c r="J126" s="29" t="s">
        <v>192</v>
      </c>
      <c r="K126" s="29" t="s">
        <v>192</v>
      </c>
      <c r="L126" s="29" t="s">
        <v>192</v>
      </c>
      <c r="M126" s="29" t="s">
        <v>192</v>
      </c>
      <c r="N126" s="29" t="s">
        <v>192</v>
      </c>
      <c r="O126" s="29" t="s">
        <v>192</v>
      </c>
      <c r="P126" s="29" t="s">
        <v>192</v>
      </c>
      <c r="Q126" s="29" t="s">
        <v>192</v>
      </c>
    </row>
    <row r="127" spans="1:17" x14ac:dyDescent="0.2">
      <c r="A127" s="91" t="s">
        <v>270</v>
      </c>
      <c r="B127" s="92" t="s">
        <v>277</v>
      </c>
      <c r="C127" s="93" t="s">
        <v>190</v>
      </c>
      <c r="D127" s="93" t="s">
        <v>190</v>
      </c>
      <c r="E127" s="93" t="s">
        <v>190</v>
      </c>
      <c r="F127" s="93" t="s">
        <v>190</v>
      </c>
      <c r="G127" s="93" t="s">
        <v>190</v>
      </c>
      <c r="H127" s="79">
        <v>0.14675052410901468</v>
      </c>
      <c r="I127" s="79">
        <v>0.1762977473065622</v>
      </c>
      <c r="J127" s="79">
        <v>0.14241803278688525</v>
      </c>
      <c r="K127" s="79">
        <v>0.10852713178294573</v>
      </c>
      <c r="L127" s="79">
        <v>0.1091753774680604</v>
      </c>
      <c r="M127" s="79">
        <v>0.1375722543352601</v>
      </c>
      <c r="N127" s="79">
        <v>0.14779499404052443</v>
      </c>
      <c r="O127" s="79">
        <v>0.14932680538555693</v>
      </c>
      <c r="P127" s="79">
        <v>0.12388741881164302</v>
      </c>
      <c r="Q127" s="79">
        <v>0.11483253588516747</v>
      </c>
    </row>
    <row r="128" spans="1:17" x14ac:dyDescent="0.2">
      <c r="A128" s="91" t="s">
        <v>270</v>
      </c>
      <c r="B128" s="92" t="s">
        <v>278</v>
      </c>
      <c r="C128" s="93" t="s">
        <v>190</v>
      </c>
      <c r="D128" s="93" t="s">
        <v>190</v>
      </c>
      <c r="E128" s="93" t="s">
        <v>190</v>
      </c>
      <c r="F128" s="93" t="s">
        <v>190</v>
      </c>
      <c r="G128" s="93" t="s">
        <v>190</v>
      </c>
      <c r="H128" s="29" t="s">
        <v>192</v>
      </c>
      <c r="I128" s="29" t="s">
        <v>192</v>
      </c>
      <c r="J128" s="29" t="s">
        <v>192</v>
      </c>
      <c r="K128" s="29" t="s">
        <v>192</v>
      </c>
      <c r="L128" s="29" t="s">
        <v>192</v>
      </c>
      <c r="M128" s="29" t="s">
        <v>192</v>
      </c>
      <c r="N128" s="29" t="s">
        <v>192</v>
      </c>
      <c r="O128" s="29" t="s">
        <v>192</v>
      </c>
      <c r="P128" s="29" t="s">
        <v>192</v>
      </c>
      <c r="Q128" s="29" t="s">
        <v>192</v>
      </c>
    </row>
    <row r="129" spans="1:17" x14ac:dyDescent="0.2">
      <c r="A129" s="91" t="s">
        <v>270</v>
      </c>
      <c r="B129" s="92" t="s">
        <v>279</v>
      </c>
      <c r="C129" s="93" t="s">
        <v>190</v>
      </c>
      <c r="D129" s="93" t="s">
        <v>190</v>
      </c>
      <c r="E129" s="93" t="s">
        <v>190</v>
      </c>
      <c r="F129" s="93" t="s">
        <v>190</v>
      </c>
      <c r="G129" s="93" t="s">
        <v>190</v>
      </c>
      <c r="H129" s="29" t="s">
        <v>192</v>
      </c>
      <c r="I129" s="29" t="s">
        <v>192</v>
      </c>
      <c r="J129" s="29" t="s">
        <v>192</v>
      </c>
      <c r="K129" s="29" t="s">
        <v>192</v>
      </c>
      <c r="L129" s="29" t="s">
        <v>192</v>
      </c>
      <c r="M129" s="29" t="s">
        <v>192</v>
      </c>
      <c r="N129" s="29" t="s">
        <v>192</v>
      </c>
      <c r="O129" s="29" t="s">
        <v>192</v>
      </c>
      <c r="P129" s="29" t="s">
        <v>192</v>
      </c>
      <c r="Q129" s="29" t="s">
        <v>192</v>
      </c>
    </row>
    <row r="130" spans="1:17" ht="43.5" customHeight="1" x14ac:dyDescent="0.2">
      <c r="A130" s="91" t="s">
        <v>263</v>
      </c>
      <c r="B130" s="92" t="s">
        <v>280</v>
      </c>
      <c r="C130" s="93" t="s">
        <v>190</v>
      </c>
      <c r="D130" s="93" t="s">
        <v>190</v>
      </c>
      <c r="E130" s="93" t="s">
        <v>190</v>
      </c>
      <c r="F130" s="93" t="s">
        <v>190</v>
      </c>
      <c r="G130" s="93" t="s">
        <v>190</v>
      </c>
      <c r="H130" s="79">
        <v>0.13957977343206127</v>
      </c>
      <c r="I130" s="79">
        <v>0.1394920634920635</v>
      </c>
      <c r="J130" s="79">
        <v>0.14815050209736877</v>
      </c>
      <c r="K130" s="79">
        <v>0.15605626711143281</v>
      </c>
      <c r="L130" s="79">
        <v>0.1632698132256436</v>
      </c>
      <c r="M130" s="79">
        <v>0.1612473432097199</v>
      </c>
      <c r="N130" s="79">
        <v>0.17213557383818812</v>
      </c>
      <c r="O130" s="79">
        <v>0.1743207656239964</v>
      </c>
      <c r="P130" s="79">
        <v>0.17546695060812909</v>
      </c>
      <c r="Q130" s="79">
        <v>0.17288293282864006</v>
      </c>
    </row>
    <row r="131" spans="1:17" x14ac:dyDescent="0.2">
      <c r="A131" s="91" t="s">
        <v>263</v>
      </c>
      <c r="B131" s="92" t="s">
        <v>264</v>
      </c>
      <c r="C131" s="93" t="s">
        <v>190</v>
      </c>
      <c r="D131" s="93" t="s">
        <v>190</v>
      </c>
      <c r="E131" s="93" t="s">
        <v>190</v>
      </c>
      <c r="F131" s="93" t="s">
        <v>190</v>
      </c>
      <c r="G131" s="93" t="s">
        <v>190</v>
      </c>
      <c r="H131" s="79">
        <v>0.17714550459215656</v>
      </c>
      <c r="I131" s="79">
        <v>0.17042102440332529</v>
      </c>
      <c r="J131" s="79">
        <v>0.1784350369708296</v>
      </c>
      <c r="K131" s="79">
        <v>0.18428227746591822</v>
      </c>
      <c r="L131" s="79">
        <v>0.17737208614524239</v>
      </c>
      <c r="M131" s="79">
        <v>0.18216161183152932</v>
      </c>
      <c r="N131" s="79">
        <v>0.18716415442696133</v>
      </c>
      <c r="O131" s="79">
        <v>0.18681625362804197</v>
      </c>
      <c r="P131" s="79">
        <v>0.18721790083458248</v>
      </c>
      <c r="Q131" s="79">
        <v>0.20453477118761232</v>
      </c>
    </row>
    <row r="132" spans="1:17" x14ac:dyDescent="0.2">
      <c r="A132" s="91" t="s">
        <v>263</v>
      </c>
      <c r="B132" s="92" t="s">
        <v>265</v>
      </c>
      <c r="C132" s="93" t="s">
        <v>190</v>
      </c>
      <c r="D132" s="93" t="s">
        <v>190</v>
      </c>
      <c r="E132" s="93" t="s">
        <v>190</v>
      </c>
      <c r="F132" s="93" t="s">
        <v>190</v>
      </c>
      <c r="G132" s="93" t="s">
        <v>190</v>
      </c>
      <c r="H132" s="79">
        <v>0.14323613883074526</v>
      </c>
      <c r="I132" s="79">
        <v>0.15344951062306039</v>
      </c>
      <c r="J132" s="79">
        <v>0.15685951966912628</v>
      </c>
      <c r="K132" s="79">
        <v>0.16322976812391166</v>
      </c>
      <c r="L132" s="79">
        <v>0.17298135947653631</v>
      </c>
      <c r="M132" s="79">
        <v>0.17683638649425287</v>
      </c>
      <c r="N132" s="79">
        <v>0.1751833368477777</v>
      </c>
      <c r="O132" s="79">
        <v>0.16971870870303946</v>
      </c>
      <c r="P132" s="79">
        <v>0.17678398638329623</v>
      </c>
      <c r="Q132" s="79">
        <v>0.18978613038018979</v>
      </c>
    </row>
    <row r="133" spans="1:17" x14ac:dyDescent="0.2">
      <c r="A133" s="91" t="s">
        <v>263</v>
      </c>
      <c r="B133" s="92" t="s">
        <v>266</v>
      </c>
      <c r="C133" s="93" t="s">
        <v>190</v>
      </c>
      <c r="D133" s="93" t="s">
        <v>190</v>
      </c>
      <c r="E133" s="93" t="s">
        <v>190</v>
      </c>
      <c r="F133" s="93" t="s">
        <v>190</v>
      </c>
      <c r="G133" s="93" t="s">
        <v>190</v>
      </c>
      <c r="H133" s="79">
        <v>0.1889630028586817</v>
      </c>
      <c r="I133" s="79">
        <v>0.19710150778111943</v>
      </c>
      <c r="J133" s="79">
        <v>0.18188234819609977</v>
      </c>
      <c r="K133" s="79">
        <v>0.18363313302321868</v>
      </c>
      <c r="L133" s="79">
        <v>0.20710047584545793</v>
      </c>
      <c r="M133" s="79">
        <v>0.20688119578686492</v>
      </c>
      <c r="N133" s="79">
        <v>0.21598399695180034</v>
      </c>
      <c r="O133" s="79">
        <v>0.22198201645303234</v>
      </c>
      <c r="P133" s="79">
        <v>0.23066884811655175</v>
      </c>
      <c r="Q133" s="79">
        <v>0.24118936027755797</v>
      </c>
    </row>
    <row r="134" spans="1:17" x14ac:dyDescent="0.2">
      <c r="A134" s="91" t="s">
        <v>263</v>
      </c>
      <c r="B134" s="92" t="s">
        <v>281</v>
      </c>
      <c r="C134" s="93" t="s">
        <v>190</v>
      </c>
      <c r="D134" s="93" t="s">
        <v>190</v>
      </c>
      <c r="E134" s="93" t="s">
        <v>190</v>
      </c>
      <c r="F134" s="93" t="s">
        <v>190</v>
      </c>
      <c r="G134" s="93" t="s">
        <v>190</v>
      </c>
      <c r="H134" s="79">
        <v>0.17359397735180615</v>
      </c>
      <c r="I134" s="79">
        <v>0.15140204804287491</v>
      </c>
      <c r="J134" s="79">
        <v>0.15472120146988336</v>
      </c>
      <c r="K134" s="79">
        <v>0.15578229102964369</v>
      </c>
      <c r="L134" s="79">
        <v>0.17172047940271137</v>
      </c>
      <c r="M134" s="79">
        <v>0.17606162483271862</v>
      </c>
      <c r="N134" s="79">
        <v>0.18003847841495932</v>
      </c>
      <c r="O134" s="79">
        <v>0.17616404981050351</v>
      </c>
      <c r="P134" s="79">
        <v>0.18382551604884903</v>
      </c>
      <c r="Q134" s="79">
        <v>0.18134122920426132</v>
      </c>
    </row>
  </sheetData>
  <phoneticPr fontId="44" type="noConversion"/>
  <hyperlinks>
    <hyperlink ref="A11" location="Contents!A1" display="This cell contains a hyperlink to the Table of Contents" xr:uid="{00000000-0004-0000-0800-000000000000}"/>
    <hyperlink ref="A8" r:id="rId1" xr:uid="{89A2A0F4-41C7-45F7-8C8D-AAA5BB46AAA3}"/>
    <hyperlink ref="A9" r:id="rId2" xr:uid="{7F022738-1097-4066-A6B3-EF762BDA5EC1}"/>
  </hyperlinks>
  <pageMargins left="0.7" right="0.7" top="0.75" bottom="0.75" header="0.3" footer="0.3"/>
  <pageSetup paperSize="9" scale="30" orientation="portrait"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Q134"/>
  <sheetViews>
    <sheetView showGridLines="0" zoomScaleNormal="100" workbookViewId="0"/>
  </sheetViews>
  <sheetFormatPr defaultColWidth="9.140625" defaultRowHeight="15" x14ac:dyDescent="0.2"/>
  <cols>
    <col min="1" max="1" width="61.42578125" style="40" customWidth="1"/>
    <col min="2" max="2" width="54.42578125" style="42" customWidth="1"/>
    <col min="3" max="12" width="11.42578125" style="41" bestFit="1" customWidth="1"/>
    <col min="13" max="17" width="11.42578125" style="40" customWidth="1"/>
    <col min="18" max="16384" width="9.140625" style="40"/>
  </cols>
  <sheetData>
    <row r="1" spans="1:17" ht="20.25" x14ac:dyDescent="0.3">
      <c r="A1" s="104" t="s">
        <v>305</v>
      </c>
      <c r="B1" s="40"/>
      <c r="I1" s="41" t="s">
        <v>0</v>
      </c>
    </row>
    <row r="2" spans="1:17" x14ac:dyDescent="0.2">
      <c r="A2" s="42" t="s">
        <v>152</v>
      </c>
      <c r="B2" s="40"/>
    </row>
    <row r="3" spans="1:17" x14ac:dyDescent="0.2">
      <c r="A3" s="42" t="s">
        <v>234</v>
      </c>
      <c r="B3" s="40"/>
    </row>
    <row r="4" spans="1:17" x14ac:dyDescent="0.2">
      <c r="A4" s="9" t="s">
        <v>297</v>
      </c>
      <c r="B4" s="40"/>
    </row>
    <row r="5" spans="1:17" x14ac:dyDescent="0.2">
      <c r="A5" s="9" t="s">
        <v>302</v>
      </c>
      <c r="B5" s="40"/>
    </row>
    <row r="6" spans="1:17" x14ac:dyDescent="0.2">
      <c r="A6" s="42" t="s">
        <v>191</v>
      </c>
      <c r="B6" s="40"/>
    </row>
    <row r="7" spans="1:17" ht="15" customHeight="1" x14ac:dyDescent="0.2">
      <c r="A7" s="9" t="s">
        <v>339</v>
      </c>
      <c r="B7" s="40"/>
    </row>
    <row r="8" spans="1:17" x14ac:dyDescent="0.2">
      <c r="A8" s="3" t="s">
        <v>340</v>
      </c>
      <c r="B8" s="40"/>
    </row>
    <row r="9" spans="1:17" x14ac:dyDescent="0.2">
      <c r="A9" s="3" t="s">
        <v>341</v>
      </c>
      <c r="B9" s="40"/>
    </row>
    <row r="10" spans="1:17" s="43" customFormat="1" x14ac:dyDescent="0.25">
      <c r="A10" s="26" t="s">
        <v>338</v>
      </c>
      <c r="C10" s="44"/>
      <c r="D10" s="44"/>
      <c r="E10" s="44"/>
      <c r="F10" s="44"/>
      <c r="G10" s="44"/>
      <c r="H10" s="44"/>
      <c r="I10" s="44"/>
      <c r="J10" s="44"/>
      <c r="K10" s="44"/>
      <c r="L10" s="44"/>
    </row>
    <row r="11" spans="1:17" s="43" customFormat="1" ht="30" customHeight="1" x14ac:dyDescent="0.25">
      <c r="A11" s="45" t="s">
        <v>232</v>
      </c>
      <c r="C11" s="44"/>
      <c r="D11" s="44"/>
      <c r="E11" s="44"/>
      <c r="F11" s="44"/>
      <c r="G11" s="44"/>
      <c r="H11" s="44"/>
      <c r="I11" s="44"/>
      <c r="J11" s="44"/>
      <c r="K11" s="44"/>
      <c r="L11" s="44"/>
    </row>
    <row r="12" spans="1:17" ht="15.75" customHeight="1" x14ac:dyDescent="0.25">
      <c r="A12" s="55" t="s">
        <v>156</v>
      </c>
      <c r="B12" s="55" t="s">
        <v>157</v>
      </c>
      <c r="C12" s="46" t="s">
        <v>170</v>
      </c>
      <c r="D12" s="46" t="s">
        <v>171</v>
      </c>
      <c r="E12" s="46" t="s">
        <v>172</v>
      </c>
      <c r="F12" s="46" t="s">
        <v>173</v>
      </c>
      <c r="G12" s="46" t="s">
        <v>174</v>
      </c>
      <c r="H12" s="46" t="s">
        <v>175</v>
      </c>
      <c r="I12" s="46" t="s">
        <v>176</v>
      </c>
      <c r="J12" s="46" t="s">
        <v>177</v>
      </c>
      <c r="K12" s="46" t="s">
        <v>123</v>
      </c>
      <c r="L12" s="47" t="s">
        <v>150</v>
      </c>
      <c r="M12" s="46" t="s">
        <v>187</v>
      </c>
      <c r="N12" s="46" t="s">
        <v>189</v>
      </c>
      <c r="O12" s="46" t="s">
        <v>257</v>
      </c>
      <c r="P12" s="46" t="s">
        <v>316</v>
      </c>
      <c r="Q12" s="46" t="s">
        <v>337</v>
      </c>
    </row>
    <row r="13" spans="1:17" x14ac:dyDescent="0.2">
      <c r="A13" s="56" t="s">
        <v>178</v>
      </c>
      <c r="B13" s="57" t="s">
        <v>48</v>
      </c>
      <c r="C13" s="58" t="s">
        <v>190</v>
      </c>
      <c r="D13" s="58" t="s">
        <v>190</v>
      </c>
      <c r="E13" s="58" t="s">
        <v>190</v>
      </c>
      <c r="F13" s="58" t="s">
        <v>190</v>
      </c>
      <c r="G13" s="58" t="s">
        <v>190</v>
      </c>
      <c r="H13" s="58" t="s">
        <v>190</v>
      </c>
      <c r="I13" s="58" t="s">
        <v>190</v>
      </c>
      <c r="J13" s="58" t="s">
        <v>190</v>
      </c>
      <c r="K13" s="58" t="s">
        <v>190</v>
      </c>
      <c r="L13" s="58" t="s">
        <v>190</v>
      </c>
      <c r="M13" s="58" t="s">
        <v>190</v>
      </c>
      <c r="N13" s="58" t="s">
        <v>190</v>
      </c>
      <c r="O13" s="58" t="s">
        <v>190</v>
      </c>
      <c r="P13" s="58" t="s">
        <v>190</v>
      </c>
      <c r="Q13" s="58" t="s">
        <v>190</v>
      </c>
    </row>
    <row r="14" spans="1:17" x14ac:dyDescent="0.2">
      <c r="A14" s="56" t="s">
        <v>178</v>
      </c>
      <c r="B14" s="57" t="s">
        <v>1</v>
      </c>
      <c r="C14" s="48">
        <v>5.2254427028114413E-2</v>
      </c>
      <c r="D14" s="48">
        <v>5.7940418859894725E-2</v>
      </c>
      <c r="E14" s="48">
        <v>6.0118918978826215E-2</v>
      </c>
      <c r="F14" s="48">
        <v>6.2931637380889943E-2</v>
      </c>
      <c r="G14" s="48">
        <v>5.8725129079474352E-2</v>
      </c>
      <c r="H14" s="48">
        <v>6.1230635923663797E-2</v>
      </c>
      <c r="I14" s="48">
        <v>6.6352071577342894E-2</v>
      </c>
      <c r="J14" s="48">
        <v>6.3396324775185711E-2</v>
      </c>
      <c r="K14" s="48">
        <v>6.2781586679725762E-2</v>
      </c>
      <c r="L14" s="48">
        <v>6.7662732667579648E-2</v>
      </c>
      <c r="M14" s="48">
        <v>6.5788330974870884E-2</v>
      </c>
      <c r="N14" s="48">
        <v>6.7415146857214073E-2</v>
      </c>
      <c r="O14" s="48">
        <v>6.817563608972213E-2</v>
      </c>
      <c r="P14" s="48">
        <v>6.948900989788559E-2</v>
      </c>
      <c r="Q14" s="48">
        <v>6.9931300831948484E-2</v>
      </c>
    </row>
    <row r="15" spans="1:17" ht="35.450000000000003" customHeight="1" x14ac:dyDescent="0.2">
      <c r="A15" s="57" t="s">
        <v>179</v>
      </c>
      <c r="B15" s="57" t="s">
        <v>35</v>
      </c>
      <c r="C15" s="48">
        <v>5.0483157229296485E-2</v>
      </c>
      <c r="D15" s="48">
        <v>5.1077596026791815E-2</v>
      </c>
      <c r="E15" s="48">
        <v>7.3086156308348887E-2</v>
      </c>
      <c r="F15" s="48">
        <v>7.5120957473898645E-2</v>
      </c>
      <c r="G15" s="48">
        <v>6.7061307281533297E-2</v>
      </c>
      <c r="H15" s="48">
        <v>7.1836734693877552E-2</v>
      </c>
      <c r="I15" s="48">
        <v>8.4119819450143615E-2</v>
      </c>
      <c r="J15" s="48">
        <v>8.0745872893678905E-2</v>
      </c>
      <c r="K15" s="48">
        <v>7.3692482319043046E-2</v>
      </c>
      <c r="L15" s="48">
        <v>7.1156739534472074E-2</v>
      </c>
      <c r="M15" s="48">
        <v>6.6675428220966393E-2</v>
      </c>
      <c r="N15" s="48">
        <v>7.14549142541029E-2</v>
      </c>
      <c r="O15" s="48">
        <v>7.2108587048732214E-2</v>
      </c>
      <c r="P15" s="48">
        <v>8.0894520353647581E-2</v>
      </c>
      <c r="Q15" s="48">
        <v>8.5494308251853945E-2</v>
      </c>
    </row>
    <row r="16" spans="1:17" x14ac:dyDescent="0.2">
      <c r="A16" s="56" t="s">
        <v>179</v>
      </c>
      <c r="B16" s="57" t="s">
        <v>36</v>
      </c>
      <c r="C16" s="48">
        <v>6.5912053670789478E-2</v>
      </c>
      <c r="D16" s="48">
        <v>7.4161650902837495E-2</v>
      </c>
      <c r="E16" s="48">
        <v>7.4030995052586743E-2</v>
      </c>
      <c r="F16" s="48">
        <v>7.6699364124808989E-2</v>
      </c>
      <c r="G16" s="48">
        <v>7.1485151715999284E-2</v>
      </c>
      <c r="H16" s="48">
        <v>7.3225301243327906E-2</v>
      </c>
      <c r="I16" s="48">
        <v>7.4921890945629815E-2</v>
      </c>
      <c r="J16" s="48">
        <v>7.2139574733234679E-2</v>
      </c>
      <c r="K16" s="48">
        <v>7.3488028786271156E-2</v>
      </c>
      <c r="L16" s="48">
        <v>8.0451863401510282E-2</v>
      </c>
      <c r="M16" s="48">
        <v>7.9743578030545284E-2</v>
      </c>
      <c r="N16" s="48">
        <v>8.1824685828045293E-2</v>
      </c>
      <c r="O16" s="48">
        <v>8.3030746933877728E-2</v>
      </c>
      <c r="P16" s="48">
        <v>7.8132746653445717E-2</v>
      </c>
      <c r="Q16" s="48">
        <v>7.9027543650732279E-2</v>
      </c>
    </row>
    <row r="17" spans="1:17" x14ac:dyDescent="0.2">
      <c r="A17" s="56" t="s">
        <v>179</v>
      </c>
      <c r="B17" s="57" t="s">
        <v>37</v>
      </c>
      <c r="C17" s="48">
        <v>5.3235467814055512E-2</v>
      </c>
      <c r="D17" s="48">
        <v>6.0249096372425204E-2</v>
      </c>
      <c r="E17" s="48">
        <v>5.7950576034366798E-2</v>
      </c>
      <c r="F17" s="48">
        <v>6.5242273941243795E-2</v>
      </c>
      <c r="G17" s="48">
        <v>6.3792564823492659E-2</v>
      </c>
      <c r="H17" s="48">
        <v>6.5731454705797901E-2</v>
      </c>
      <c r="I17" s="48">
        <v>6.8527050681045407E-2</v>
      </c>
      <c r="J17" s="48">
        <v>6.9686827635668178E-2</v>
      </c>
      <c r="K17" s="48">
        <v>6.4414844862218934E-2</v>
      </c>
      <c r="L17" s="48">
        <v>7.3561670194342885E-2</v>
      </c>
      <c r="M17" s="48">
        <v>6.9130235402017737E-2</v>
      </c>
      <c r="N17" s="48">
        <v>6.8676653711180716E-2</v>
      </c>
      <c r="O17" s="48">
        <v>7.0983952943863851E-2</v>
      </c>
      <c r="P17" s="48">
        <v>7.5354695029469926E-2</v>
      </c>
      <c r="Q17" s="48">
        <v>7.635873633777511E-2</v>
      </c>
    </row>
    <row r="18" spans="1:17" x14ac:dyDescent="0.2">
      <c r="A18" s="56" t="s">
        <v>179</v>
      </c>
      <c r="B18" s="57" t="s">
        <v>236</v>
      </c>
      <c r="C18" s="48">
        <v>4.8654244306418216E-2</v>
      </c>
      <c r="D18" s="48">
        <v>5.4195804195804193E-2</v>
      </c>
      <c r="E18" s="48">
        <v>5.3853190029727875E-2</v>
      </c>
      <c r="F18" s="48">
        <v>5.5857078245137949E-2</v>
      </c>
      <c r="G18" s="48">
        <v>4.5204575450945889E-2</v>
      </c>
      <c r="H18" s="48">
        <v>5.0481029077937521E-2</v>
      </c>
      <c r="I18" s="48">
        <v>4.4947436172495171E-2</v>
      </c>
      <c r="J18" s="48">
        <v>4.3743315508021394E-2</v>
      </c>
      <c r="K18" s="48">
        <v>4.7073526348677362E-2</v>
      </c>
      <c r="L18" s="48">
        <v>5.450733752620545E-2</v>
      </c>
      <c r="M18" s="48">
        <v>5.2964588223288089E-2</v>
      </c>
      <c r="N18" s="48">
        <v>7.2071118636892792E-2</v>
      </c>
      <c r="O18" s="48">
        <v>6.015693112467306E-2</v>
      </c>
      <c r="P18" s="48">
        <v>7.6567656765676562E-2</v>
      </c>
      <c r="Q18" s="48">
        <v>6.8310598111227708E-2</v>
      </c>
    </row>
    <row r="19" spans="1:17" x14ac:dyDescent="0.2">
      <c r="A19" s="56" t="s">
        <v>179</v>
      </c>
      <c r="B19" s="57" t="s">
        <v>38</v>
      </c>
      <c r="C19" s="48">
        <v>3.1383675250982103E-2</v>
      </c>
      <c r="D19" s="48">
        <v>3.4831915755366545E-2</v>
      </c>
      <c r="E19" s="48">
        <v>3.5579853020254529E-2</v>
      </c>
      <c r="F19" s="48">
        <v>3.9108364599426175E-2</v>
      </c>
      <c r="G19" s="48">
        <v>3.2583533522603188E-2</v>
      </c>
      <c r="H19" s="48">
        <v>3.2577178918642334E-2</v>
      </c>
      <c r="I19" s="48">
        <v>4.347461183382291E-2</v>
      </c>
      <c r="J19" s="48">
        <v>4.1204768876804014E-2</v>
      </c>
      <c r="K19" s="48">
        <v>3.9064423471481327E-2</v>
      </c>
      <c r="L19" s="48">
        <v>4.6019746354360312E-2</v>
      </c>
      <c r="M19" s="48">
        <v>4.0683281069483414E-2</v>
      </c>
      <c r="N19" s="48">
        <v>4.3681482110988358E-2</v>
      </c>
      <c r="O19" s="48">
        <v>4.0700144447276744E-2</v>
      </c>
      <c r="P19" s="48">
        <v>4.1083952359214838E-2</v>
      </c>
      <c r="Q19" s="48">
        <v>4.1487181631884903E-2</v>
      </c>
    </row>
    <row r="20" spans="1:17" x14ac:dyDescent="0.2">
      <c r="A20" s="56" t="s">
        <v>179</v>
      </c>
      <c r="B20" s="57" t="s">
        <v>121</v>
      </c>
      <c r="C20" s="48">
        <v>2.5189321011423436E-2</v>
      </c>
      <c r="D20" s="48">
        <v>2.6159725882973116E-2</v>
      </c>
      <c r="E20" s="48">
        <v>2.771107794146278E-2</v>
      </c>
      <c r="F20" s="48">
        <v>2.7133269415148611E-2</v>
      </c>
      <c r="G20" s="48">
        <v>2.3737028521717517E-2</v>
      </c>
      <c r="H20" s="48">
        <v>2.8402223833695915E-2</v>
      </c>
      <c r="I20" s="48">
        <v>3.926291701794532E-2</v>
      </c>
      <c r="J20" s="48">
        <v>3.3580749431342032E-2</v>
      </c>
      <c r="K20" s="48">
        <v>3.3042911332385017E-2</v>
      </c>
      <c r="L20" s="48">
        <v>3.5132113223091864E-2</v>
      </c>
      <c r="M20" s="48">
        <v>3.6019824178417606E-2</v>
      </c>
      <c r="N20" s="48">
        <v>3.5415171093563055E-2</v>
      </c>
      <c r="O20" s="48">
        <v>3.8530788620813827E-2</v>
      </c>
      <c r="P20" s="48">
        <v>3.3382877526753861E-2</v>
      </c>
      <c r="Q20" s="48">
        <v>3.2570369927687803E-2</v>
      </c>
    </row>
    <row r="21" spans="1:17" x14ac:dyDescent="0.2">
      <c r="A21" s="56" t="s">
        <v>179</v>
      </c>
      <c r="B21" s="57" t="s">
        <v>39</v>
      </c>
      <c r="C21" s="48">
        <v>4.5454545454545456E-2</v>
      </c>
      <c r="D21" s="48">
        <v>5.3595059550066167E-2</v>
      </c>
      <c r="E21" s="48">
        <v>5.7108006209802616E-2</v>
      </c>
      <c r="F21" s="48">
        <v>5.2044198895027621E-2</v>
      </c>
      <c r="G21" s="48">
        <v>5.2233973667170301E-2</v>
      </c>
      <c r="H21" s="48">
        <v>5.4545454545454543E-2</v>
      </c>
      <c r="I21" s="48">
        <v>5.6476628516418867E-2</v>
      </c>
      <c r="J21" s="48">
        <v>5.7535695399259651E-2</v>
      </c>
      <c r="K21" s="48">
        <v>6.7472411981082503E-2</v>
      </c>
      <c r="L21" s="48">
        <v>6.7880446221848037E-2</v>
      </c>
      <c r="M21" s="48">
        <v>6.2573161647334258E-2</v>
      </c>
      <c r="N21" s="48">
        <v>6.7313986471743401E-2</v>
      </c>
      <c r="O21" s="48">
        <v>6.7526223776223776E-2</v>
      </c>
      <c r="P21" s="48">
        <v>7.3863636363636367E-2</v>
      </c>
      <c r="Q21" s="48">
        <v>6.7753382124639605E-2</v>
      </c>
    </row>
    <row r="22" spans="1:17" x14ac:dyDescent="0.2">
      <c r="A22" s="56" t="s">
        <v>179</v>
      </c>
      <c r="B22" s="57" t="s">
        <v>40</v>
      </c>
      <c r="C22" s="48">
        <v>3.116978364503117E-2</v>
      </c>
      <c r="D22" s="48">
        <v>3.7771364035638098E-2</v>
      </c>
      <c r="E22" s="48">
        <v>2.7966835787650045E-2</v>
      </c>
      <c r="F22" s="48">
        <v>3.8395274427762735E-2</v>
      </c>
      <c r="G22" s="48">
        <v>4.3446690064141355E-2</v>
      </c>
      <c r="H22" s="48">
        <v>4.5525525525525523E-2</v>
      </c>
      <c r="I22" s="48">
        <v>5.2429973665310034E-2</v>
      </c>
      <c r="J22" s="48">
        <v>3.4541062801932365E-2</v>
      </c>
      <c r="K22" s="48">
        <v>4.4150631566521069E-2</v>
      </c>
      <c r="L22" s="48">
        <v>4.0493367465673724E-2</v>
      </c>
      <c r="M22" s="48">
        <v>4.6919770773638972E-2</v>
      </c>
      <c r="N22" s="48">
        <v>3.9753086419753086E-2</v>
      </c>
      <c r="O22" s="48">
        <v>3.2603285216525633E-2</v>
      </c>
      <c r="P22" s="48">
        <v>5.2872709262010896E-2</v>
      </c>
      <c r="Q22" s="48">
        <v>4.7048653988639173E-2</v>
      </c>
    </row>
    <row r="23" spans="1:17" ht="36.6" customHeight="1" x14ac:dyDescent="0.2">
      <c r="A23" s="57" t="s">
        <v>180</v>
      </c>
      <c r="B23" s="57" t="s">
        <v>41</v>
      </c>
      <c r="C23" s="48">
        <v>1.6468903436988543E-2</v>
      </c>
      <c r="D23" s="48">
        <v>1.994960100797984E-2</v>
      </c>
      <c r="E23" s="48">
        <v>1.9779771615008157E-2</v>
      </c>
      <c r="F23" s="48">
        <v>2.0929301021430001E-2</v>
      </c>
      <c r="G23" s="48">
        <v>1.8532969176746E-2</v>
      </c>
      <c r="H23" s="48">
        <v>2.7417840375586856E-2</v>
      </c>
      <c r="I23" s="48">
        <v>4.2984741347227393E-2</v>
      </c>
      <c r="J23" s="48">
        <v>3.2149532710280371E-2</v>
      </c>
      <c r="K23" s="48">
        <v>2.8048780487804879E-2</v>
      </c>
      <c r="L23" s="48">
        <v>3.0130756111426946E-2</v>
      </c>
      <c r="M23" s="48">
        <v>3.077357425183512E-2</v>
      </c>
      <c r="N23" s="48">
        <v>3.3440392971849614E-2</v>
      </c>
      <c r="O23" s="48">
        <v>3.8483412322274882E-2</v>
      </c>
      <c r="P23" s="48">
        <v>2.8552581982661137E-2</v>
      </c>
      <c r="Q23" s="48">
        <v>2.4535173471343683E-2</v>
      </c>
    </row>
    <row r="24" spans="1:17" x14ac:dyDescent="0.2">
      <c r="A24" s="56" t="s">
        <v>180</v>
      </c>
      <c r="B24" s="57" t="s">
        <v>42</v>
      </c>
      <c r="C24" s="48">
        <v>3.2452710795724198E-2</v>
      </c>
      <c r="D24" s="48">
        <v>3.5339414218270158E-2</v>
      </c>
      <c r="E24" s="48">
        <v>3.7490401553819053E-2</v>
      </c>
      <c r="F24" s="48">
        <v>3.7941810819138166E-2</v>
      </c>
      <c r="G24" s="48">
        <v>3.1468682505399567E-2</v>
      </c>
      <c r="H24" s="48">
        <v>3.4615138524537716E-2</v>
      </c>
      <c r="I24" s="48">
        <v>4.5166082988432561E-2</v>
      </c>
      <c r="J24" s="48">
        <v>3.8474605062001017E-2</v>
      </c>
      <c r="K24" s="48">
        <v>4.0682003384943273E-2</v>
      </c>
      <c r="L24" s="48">
        <v>4.1424162714111139E-2</v>
      </c>
      <c r="M24" s="48">
        <v>4.1587546689481045E-2</v>
      </c>
      <c r="N24" s="48">
        <v>4.19307342679726E-2</v>
      </c>
      <c r="O24" s="48">
        <v>3.955032994432861E-2</v>
      </c>
      <c r="P24" s="48">
        <v>4.2408477431184838E-2</v>
      </c>
      <c r="Q24" s="48">
        <v>4.3559959002391527E-2</v>
      </c>
    </row>
    <row r="25" spans="1:17" x14ac:dyDescent="0.2">
      <c r="A25" s="56" t="s">
        <v>180</v>
      </c>
      <c r="B25" s="57" t="s">
        <v>43</v>
      </c>
      <c r="C25" s="48">
        <v>6.3891001686563711E-2</v>
      </c>
      <c r="D25" s="48">
        <v>7.0651068158697858E-2</v>
      </c>
      <c r="E25" s="48">
        <v>7.0149934921144713E-2</v>
      </c>
      <c r="F25" s="48">
        <v>7.4800828687406312E-2</v>
      </c>
      <c r="G25" s="48">
        <v>6.7524700128870241E-2</v>
      </c>
      <c r="H25" s="48">
        <v>7.1046078223929429E-2</v>
      </c>
      <c r="I25" s="48">
        <v>6.8147062571683445E-2</v>
      </c>
      <c r="J25" s="48">
        <v>6.6564798013561258E-2</v>
      </c>
      <c r="K25" s="48">
        <v>6.5948457304999916E-2</v>
      </c>
      <c r="L25" s="48">
        <v>7.2562500000000002E-2</v>
      </c>
      <c r="M25" s="48">
        <v>6.8231142754539634E-2</v>
      </c>
      <c r="N25" s="48">
        <v>7.1380825057295649E-2</v>
      </c>
      <c r="O25" s="48">
        <v>7.1375846464905801E-2</v>
      </c>
      <c r="P25" s="48">
        <v>7.5730088140382429E-2</v>
      </c>
      <c r="Q25" s="48">
        <v>7.3410035155001593E-2</v>
      </c>
    </row>
    <row r="26" spans="1:17" x14ac:dyDescent="0.2">
      <c r="A26" s="56" t="s">
        <v>180</v>
      </c>
      <c r="B26" s="57" t="s">
        <v>44</v>
      </c>
      <c r="C26" s="48">
        <v>5.6962536333297446E-2</v>
      </c>
      <c r="D26" s="48">
        <v>6.3829787234042548E-2</v>
      </c>
      <c r="E26" s="48">
        <v>6.8512715272192798E-2</v>
      </c>
      <c r="F26" s="48">
        <v>7.1643177100404243E-2</v>
      </c>
      <c r="G26" s="48">
        <v>7.1241768705658307E-2</v>
      </c>
      <c r="H26" s="48">
        <v>7.2179536347646692E-2</v>
      </c>
      <c r="I26" s="48">
        <v>7.9587450528136719E-2</v>
      </c>
      <c r="J26" s="48">
        <v>7.8349922930219196E-2</v>
      </c>
      <c r="K26" s="48">
        <v>7.6360173747440099E-2</v>
      </c>
      <c r="L26" s="48">
        <v>8.2548540867341008E-2</v>
      </c>
      <c r="M26" s="48">
        <v>8.0937452209818017E-2</v>
      </c>
      <c r="N26" s="48">
        <v>8.1953055516170201E-2</v>
      </c>
      <c r="O26" s="48">
        <v>8.4951204318936879E-2</v>
      </c>
      <c r="P26" s="48">
        <v>8.3787616606601528E-2</v>
      </c>
      <c r="Q26" s="48">
        <v>8.5886367687880411E-2</v>
      </c>
    </row>
    <row r="27" spans="1:17" ht="28.5" customHeight="1" x14ac:dyDescent="0.2">
      <c r="A27" s="57" t="s">
        <v>181</v>
      </c>
      <c r="B27" s="57" t="s">
        <v>45</v>
      </c>
      <c r="C27" s="48">
        <v>2.5189321011423436E-2</v>
      </c>
      <c r="D27" s="48">
        <v>2.6159725882973116E-2</v>
      </c>
      <c r="E27" s="48">
        <v>2.771107794146278E-2</v>
      </c>
      <c r="F27" s="48">
        <v>2.7133269415148611E-2</v>
      </c>
      <c r="G27" s="48">
        <v>2.3737028521717517E-2</v>
      </c>
      <c r="H27" s="48">
        <v>2.8402223833695915E-2</v>
      </c>
      <c r="I27" s="48">
        <v>3.926291701794532E-2</v>
      </c>
      <c r="J27" s="48">
        <v>3.3580749431342032E-2</v>
      </c>
      <c r="K27" s="48">
        <v>3.3042911332385017E-2</v>
      </c>
      <c r="L27" s="48">
        <v>3.5132113223091864E-2</v>
      </c>
      <c r="M27" s="48">
        <v>3.6019824178417606E-2</v>
      </c>
      <c r="N27" s="48">
        <v>3.5415171093563055E-2</v>
      </c>
      <c r="O27" s="48">
        <v>3.8530788620813827E-2</v>
      </c>
      <c r="P27" s="48">
        <v>3.3382877526753861E-2</v>
      </c>
      <c r="Q27" s="48">
        <v>3.2570369927687803E-2</v>
      </c>
    </row>
    <row r="28" spans="1:17" x14ac:dyDescent="0.2">
      <c r="A28" s="56" t="s">
        <v>181</v>
      </c>
      <c r="B28" s="57" t="s">
        <v>120</v>
      </c>
      <c r="C28" s="48">
        <v>3.116978364503117E-2</v>
      </c>
      <c r="D28" s="48">
        <v>3.7771364035638098E-2</v>
      </c>
      <c r="E28" s="48">
        <v>2.7966835787650045E-2</v>
      </c>
      <c r="F28" s="48">
        <v>3.8395274427762735E-2</v>
      </c>
      <c r="G28" s="48">
        <v>4.3446690064141355E-2</v>
      </c>
      <c r="H28" s="48">
        <v>4.5525525525525523E-2</v>
      </c>
      <c r="I28" s="48">
        <v>5.2429973665310034E-2</v>
      </c>
      <c r="J28" s="48">
        <v>3.4541062801932365E-2</v>
      </c>
      <c r="K28" s="48">
        <v>4.4150631566521069E-2</v>
      </c>
      <c r="L28" s="48">
        <v>4.0493367465673724E-2</v>
      </c>
      <c r="M28" s="48">
        <v>4.6919770773638972E-2</v>
      </c>
      <c r="N28" s="48">
        <v>3.9753086419753086E-2</v>
      </c>
      <c r="O28" s="48">
        <v>3.2603285216525633E-2</v>
      </c>
      <c r="P28" s="48">
        <v>5.2872709262010896E-2</v>
      </c>
      <c r="Q28" s="48">
        <v>4.7048653988639173E-2</v>
      </c>
    </row>
    <row r="29" spans="1:17" x14ac:dyDescent="0.2">
      <c r="A29" s="56" t="s">
        <v>181</v>
      </c>
      <c r="B29" s="57" t="s">
        <v>46</v>
      </c>
      <c r="C29" s="48">
        <v>5.598012037661397E-2</v>
      </c>
      <c r="D29" s="48">
        <v>6.2089863352119197E-2</v>
      </c>
      <c r="E29" s="48">
        <v>6.4949130083010023E-2</v>
      </c>
      <c r="F29" s="48">
        <v>6.7683903174154653E-2</v>
      </c>
      <c r="G29" s="48">
        <v>6.2962894443108305E-2</v>
      </c>
      <c r="H29" s="48">
        <v>6.5348702819428811E-2</v>
      </c>
      <c r="I29" s="48">
        <v>6.9743294260282931E-2</v>
      </c>
      <c r="J29" s="48">
        <v>6.7831455286502043E-2</v>
      </c>
      <c r="K29" s="48">
        <v>6.6700266824785054E-2</v>
      </c>
      <c r="L29" s="48">
        <v>7.2310780493564764E-2</v>
      </c>
      <c r="M29" s="48">
        <v>6.9672467815943578E-2</v>
      </c>
      <c r="N29" s="48">
        <v>7.1956984375838293E-2</v>
      </c>
      <c r="O29" s="48">
        <v>7.2882251883176957E-2</v>
      </c>
      <c r="P29" s="48">
        <v>7.3946136886560654E-2</v>
      </c>
      <c r="Q29" s="48">
        <v>7.4739205855095886E-2</v>
      </c>
    </row>
    <row r="30" spans="1:17" ht="30" customHeight="1" x14ac:dyDescent="0.2">
      <c r="A30" s="57" t="s">
        <v>47</v>
      </c>
      <c r="B30" s="57" t="s">
        <v>22</v>
      </c>
      <c r="C30" s="48">
        <v>6.0083409910228314E-2</v>
      </c>
      <c r="D30" s="48">
        <v>6.0977367738215368E-2</v>
      </c>
      <c r="E30" s="48">
        <v>9.121717029087828E-2</v>
      </c>
      <c r="F30" s="48">
        <v>9.4142837408481839E-2</v>
      </c>
      <c r="G30" s="48">
        <v>9.3506841964046156E-2</v>
      </c>
      <c r="H30" s="48">
        <v>9.4930875576036869E-2</v>
      </c>
      <c r="I30" s="48">
        <v>0.10455514118273841</v>
      </c>
      <c r="J30" s="48">
        <v>0.10544456949915589</v>
      </c>
      <c r="K30" s="48">
        <v>9.9277319512373161E-2</v>
      </c>
      <c r="L30" s="48">
        <v>9.3518243844556509E-2</v>
      </c>
      <c r="M30" s="48">
        <v>8.5011999127336188E-2</v>
      </c>
      <c r="N30" s="48">
        <v>9.4476517397409893E-2</v>
      </c>
      <c r="O30" s="48">
        <v>9.6910000794344267E-2</v>
      </c>
      <c r="P30" s="48">
        <v>0.11096897985289415</v>
      </c>
      <c r="Q30" s="48">
        <v>0.11223021582733812</v>
      </c>
    </row>
    <row r="31" spans="1:17" x14ac:dyDescent="0.2">
      <c r="A31" s="56" t="s">
        <v>47</v>
      </c>
      <c r="B31" s="57" t="s">
        <v>23</v>
      </c>
      <c r="C31" s="48">
        <v>3.350418802350294E-2</v>
      </c>
      <c r="D31" s="48">
        <v>3.4064164498947107E-2</v>
      </c>
      <c r="E31" s="48">
        <v>4.2256902761104442E-2</v>
      </c>
      <c r="F31" s="48">
        <v>4.4804051078819906E-2</v>
      </c>
      <c r="G31" s="48">
        <v>2.4435074062060764E-2</v>
      </c>
      <c r="H31" s="48">
        <v>3.4156820622986035E-2</v>
      </c>
      <c r="I31" s="48">
        <v>5.1314945477870431E-2</v>
      </c>
      <c r="J31" s="48">
        <v>4.2439450141828497E-2</v>
      </c>
      <c r="K31" s="48">
        <v>3.5625067883132397E-2</v>
      </c>
      <c r="L31" s="48">
        <v>3.8073293833662494E-2</v>
      </c>
      <c r="M31" s="48">
        <v>3.8893785808726308E-2</v>
      </c>
      <c r="N31" s="48">
        <v>3.8201487491548343E-2</v>
      </c>
      <c r="O31" s="48">
        <v>3.5925367945300733E-2</v>
      </c>
      <c r="P31" s="48">
        <v>3.7371283119287287E-2</v>
      </c>
      <c r="Q31" s="48">
        <v>4.6876804064195823E-2</v>
      </c>
    </row>
    <row r="32" spans="1:17" x14ac:dyDescent="0.2">
      <c r="A32" s="56" t="s">
        <v>47</v>
      </c>
      <c r="B32" s="57" t="s">
        <v>29</v>
      </c>
      <c r="C32" s="48">
        <v>3.012704174228675E-2</v>
      </c>
      <c r="D32" s="48">
        <v>3.0882352941176472E-2</v>
      </c>
      <c r="E32" s="48">
        <v>3.2588795313072134E-2</v>
      </c>
      <c r="F32" s="48">
        <v>2.9971791255289138E-2</v>
      </c>
      <c r="G32" s="48">
        <v>2.954466458116093E-2</v>
      </c>
      <c r="H32" s="48">
        <v>3.0594706084565142E-2</v>
      </c>
      <c r="I32" s="48">
        <v>3.9049235993208829E-2</v>
      </c>
      <c r="J32" s="48">
        <v>3.6577181208053693E-2</v>
      </c>
      <c r="K32" s="48">
        <v>3.238598810310641E-2</v>
      </c>
      <c r="L32" s="48">
        <v>3.5961728802375456E-2</v>
      </c>
      <c r="M32" s="48">
        <v>3.1373844121532365E-2</v>
      </c>
      <c r="N32" s="48">
        <v>3.0707610146862484E-2</v>
      </c>
      <c r="O32" s="48">
        <v>3.0425963488843813E-2</v>
      </c>
      <c r="P32" s="48">
        <v>3.5964035964035967E-2</v>
      </c>
      <c r="Q32" s="48">
        <v>4.8080133555926545E-2</v>
      </c>
    </row>
    <row r="33" spans="1:17" x14ac:dyDescent="0.2">
      <c r="A33" s="56" t="s">
        <v>47</v>
      </c>
      <c r="B33" s="57" t="s">
        <v>24</v>
      </c>
      <c r="C33" s="48">
        <v>9.9655040245304714E-3</v>
      </c>
      <c r="D33" s="48">
        <v>9.0019569471624268E-3</v>
      </c>
      <c r="E33" s="48">
        <v>9.7341819543242235E-3</v>
      </c>
      <c r="F33" s="48">
        <v>1.0305483989694516E-2</v>
      </c>
      <c r="G33" s="48">
        <v>1.1293260473588343E-2</v>
      </c>
      <c r="H33" s="48">
        <v>1.1379800853485065E-2</v>
      </c>
      <c r="I33" s="48">
        <v>1.867145421903052E-2</v>
      </c>
      <c r="J33" s="48">
        <v>1.3605442176870748E-2</v>
      </c>
      <c r="K33" s="48">
        <v>1.8168863555397222E-2</v>
      </c>
      <c r="L33" s="48">
        <v>2.0677361853832441E-2</v>
      </c>
      <c r="M33" s="48">
        <v>1.953125E-2</v>
      </c>
      <c r="N33" s="48">
        <v>2.577873254564984E-2</v>
      </c>
      <c r="O33" s="48">
        <v>3.5050071530758224E-2</v>
      </c>
      <c r="P33" s="48">
        <v>2.8643036161833155E-2</v>
      </c>
      <c r="Q33" s="48">
        <v>1.2953367875647668E-2</v>
      </c>
    </row>
    <row r="34" spans="1:17" x14ac:dyDescent="0.2">
      <c r="A34" s="56" t="s">
        <v>47</v>
      </c>
      <c r="B34" s="57" t="s">
        <v>25</v>
      </c>
      <c r="C34" s="48">
        <v>5.5969372893346095E-2</v>
      </c>
      <c r="D34" s="48">
        <v>6.5105629239210261E-2</v>
      </c>
      <c r="E34" s="48">
        <v>6.1227120391853573E-2</v>
      </c>
      <c r="F34" s="48">
        <v>6.6264063534083387E-2</v>
      </c>
      <c r="G34" s="48">
        <v>7.5641493372248569E-2</v>
      </c>
      <c r="H34" s="48">
        <v>8.0667817152947782E-2</v>
      </c>
      <c r="I34" s="48">
        <v>8.5250445456345275E-2</v>
      </c>
      <c r="J34" s="48">
        <v>8.6750423924772627E-2</v>
      </c>
      <c r="K34" s="48">
        <v>8.1151035322777107E-2</v>
      </c>
      <c r="L34" s="48">
        <v>8.588278658311832E-2</v>
      </c>
      <c r="M34" s="48">
        <v>8.3118392850655726E-2</v>
      </c>
      <c r="N34" s="48">
        <v>8.0186020293122884E-2</v>
      </c>
      <c r="O34" s="48">
        <v>8.6756513926325246E-2</v>
      </c>
      <c r="P34" s="48">
        <v>8.7054312156631397E-2</v>
      </c>
      <c r="Q34" s="48">
        <v>9.1340909890573876E-2</v>
      </c>
    </row>
    <row r="35" spans="1:17" x14ac:dyDescent="0.2">
      <c r="A35" s="56" t="s">
        <v>47</v>
      </c>
      <c r="B35" s="57" t="s">
        <v>2</v>
      </c>
      <c r="C35" s="48">
        <v>2.7586206896551724E-2</v>
      </c>
      <c r="D35" s="48">
        <v>2.8627838104639685E-2</v>
      </c>
      <c r="E35" s="48">
        <v>4.3843283582089554E-2</v>
      </c>
      <c r="F35" s="48">
        <v>4.4214487300094071E-2</v>
      </c>
      <c r="G35" s="48">
        <v>3.9675383228133451E-2</v>
      </c>
      <c r="H35" s="48">
        <v>2.9596412556053813E-2</v>
      </c>
      <c r="I35" s="48">
        <v>2.7580071174377226E-2</v>
      </c>
      <c r="J35" s="48">
        <v>3.6166365280289332E-2</v>
      </c>
      <c r="K35" s="48">
        <v>5.21978021978022E-2</v>
      </c>
      <c r="L35" s="48">
        <v>5.5555555555555552E-2</v>
      </c>
      <c r="M35" s="48">
        <v>6.4888888888888885E-2</v>
      </c>
      <c r="N35" s="48">
        <v>0.11460258780036968</v>
      </c>
      <c r="O35" s="48">
        <v>5.3221288515406161E-2</v>
      </c>
      <c r="P35" s="48">
        <v>6.0660124888492414E-2</v>
      </c>
      <c r="Q35" s="48">
        <v>6.3909774436090222E-2</v>
      </c>
    </row>
    <row r="36" spans="1:17" x14ac:dyDescent="0.2">
      <c r="A36" s="56" t="s">
        <v>47</v>
      </c>
      <c r="B36" s="57" t="s">
        <v>3</v>
      </c>
      <c r="C36" s="48">
        <v>3.0646515533165407E-2</v>
      </c>
      <c r="D36" s="48">
        <v>4.3655039589129037E-2</v>
      </c>
      <c r="E36" s="48">
        <v>3.1203879401222854E-2</v>
      </c>
      <c r="F36" s="48">
        <v>3.5360976636497579E-2</v>
      </c>
      <c r="G36" s="48">
        <v>4.4029075804776739E-2</v>
      </c>
      <c r="H36" s="48">
        <v>4.784394250513347E-2</v>
      </c>
      <c r="I36" s="48">
        <v>5.1821862348178135E-2</v>
      </c>
      <c r="J36" s="48">
        <v>2.7676027676027677E-2</v>
      </c>
      <c r="K36" s="48">
        <v>4.6812749003984064E-2</v>
      </c>
      <c r="L36" s="48">
        <v>3.6342321219226259E-2</v>
      </c>
      <c r="M36" s="48">
        <v>4.9310064935064936E-2</v>
      </c>
      <c r="N36" s="48">
        <v>3.3599328013439733E-2</v>
      </c>
      <c r="O36" s="48">
        <v>3.6505591897024688E-2</v>
      </c>
      <c r="P36" s="48">
        <v>5.1222596964586843E-2</v>
      </c>
      <c r="Q36" s="48">
        <v>4.0492590273429344E-2</v>
      </c>
    </row>
    <row r="37" spans="1:17" x14ac:dyDescent="0.2">
      <c r="A37" s="56" t="s">
        <v>47</v>
      </c>
      <c r="B37" s="57" t="s">
        <v>30</v>
      </c>
      <c r="C37" s="48">
        <v>3.7681159420289857E-2</v>
      </c>
      <c r="D37" s="48">
        <v>3.5166632590472299E-2</v>
      </c>
      <c r="E37" s="48">
        <v>3.6046982584042125E-2</v>
      </c>
      <c r="F37" s="48">
        <v>3.7846589759158063E-2</v>
      </c>
      <c r="G37" s="48">
        <v>3.6388944124080336E-2</v>
      </c>
      <c r="H37" s="48">
        <v>3.5049931466614448E-2</v>
      </c>
      <c r="I37" s="48">
        <v>5.7937427578215531E-2</v>
      </c>
      <c r="J37" s="48">
        <v>5.0155520995334373E-2</v>
      </c>
      <c r="K37" s="48">
        <v>5.6809338521400778E-2</v>
      </c>
      <c r="L37" s="48">
        <v>5.9170434440731279E-2</v>
      </c>
      <c r="M37" s="48">
        <v>5.7696068844122823E-2</v>
      </c>
      <c r="N37" s="48">
        <v>4.8588709677419357E-2</v>
      </c>
      <c r="O37" s="48">
        <v>4.687185676926172E-2</v>
      </c>
      <c r="P37" s="48">
        <v>3.9851533502637232E-2</v>
      </c>
      <c r="Q37" s="48">
        <v>4.3820003930045197E-2</v>
      </c>
    </row>
    <row r="38" spans="1:17" x14ac:dyDescent="0.2">
      <c r="A38" s="56" t="s">
        <v>47</v>
      </c>
      <c r="B38" s="57" t="s">
        <v>4</v>
      </c>
      <c r="C38" s="48">
        <v>3.7919826652221017E-2</v>
      </c>
      <c r="D38" s="48">
        <v>5.3775322283609574E-2</v>
      </c>
      <c r="E38" s="48">
        <v>5.9124087591240874E-2</v>
      </c>
      <c r="F38" s="48">
        <v>5.9712495392554368E-2</v>
      </c>
      <c r="G38" s="48">
        <v>6.0882245716368938E-2</v>
      </c>
      <c r="H38" s="48">
        <v>6.0616929698708751E-2</v>
      </c>
      <c r="I38" s="48">
        <v>5.7712860705379405E-2</v>
      </c>
      <c r="J38" s="48">
        <v>7.0119802677942211E-2</v>
      </c>
      <c r="K38" s="48">
        <v>7.1556350626118065E-2</v>
      </c>
      <c r="L38" s="48">
        <v>8.3363148479427551E-2</v>
      </c>
      <c r="M38" s="48">
        <v>6.9166363305424097E-2</v>
      </c>
      <c r="N38" s="48">
        <v>8.5650723025583977E-2</v>
      </c>
      <c r="O38" s="48">
        <v>8.4701492537313433E-2</v>
      </c>
      <c r="P38" s="48">
        <v>7.7271013946475689E-2</v>
      </c>
      <c r="Q38" s="48">
        <v>7.3512694202349377E-2</v>
      </c>
    </row>
    <row r="39" spans="1:17" x14ac:dyDescent="0.2">
      <c r="A39" s="56" t="s">
        <v>47</v>
      </c>
      <c r="B39" s="57" t="s">
        <v>32</v>
      </c>
      <c r="C39" s="48">
        <v>5.2072263549415514E-2</v>
      </c>
      <c r="D39" s="48">
        <v>4.959128065395095E-2</v>
      </c>
      <c r="E39" s="48">
        <v>3.7705788635156667E-2</v>
      </c>
      <c r="F39" s="48">
        <v>5.233739837398374E-2</v>
      </c>
      <c r="G39" s="48">
        <v>4.4797687861271675E-2</v>
      </c>
      <c r="H39" s="48">
        <v>4.5797922568460811E-2</v>
      </c>
      <c r="I39" s="48">
        <v>9.2038656235618965E-2</v>
      </c>
      <c r="J39" s="48">
        <v>5.057471264367816E-2</v>
      </c>
      <c r="K39" s="48">
        <v>5.5709023941068143E-2</v>
      </c>
      <c r="L39" s="48">
        <v>4.8903107861060328E-2</v>
      </c>
      <c r="M39" s="48">
        <v>4.3956043956043959E-2</v>
      </c>
      <c r="N39" s="48">
        <v>3.6085022244191793E-2</v>
      </c>
      <c r="O39" s="48">
        <v>2.6915113871635612E-2</v>
      </c>
      <c r="P39" s="48">
        <v>2.5746652935118436E-2</v>
      </c>
      <c r="Q39" s="48">
        <v>2.6598465473145781E-2</v>
      </c>
    </row>
    <row r="40" spans="1:17" x14ac:dyDescent="0.2">
      <c r="A40" s="56" t="s">
        <v>47</v>
      </c>
      <c r="B40" s="57" t="s">
        <v>5</v>
      </c>
      <c r="C40" s="48">
        <v>5.7156814851001464E-2</v>
      </c>
      <c r="D40" s="48">
        <v>5.9877416313059879E-2</v>
      </c>
      <c r="E40" s="48">
        <v>6.2149532710280377E-2</v>
      </c>
      <c r="F40" s="48">
        <v>6.1688311688311688E-2</v>
      </c>
      <c r="G40" s="48">
        <v>5.3238686779059449E-2</v>
      </c>
      <c r="H40" s="48">
        <v>5.02423975319524E-2</v>
      </c>
      <c r="I40" s="48">
        <v>6.1418685121107264E-2</v>
      </c>
      <c r="J40" s="48">
        <v>5.988797931925894E-2</v>
      </c>
      <c r="K40" s="48">
        <v>6.295694557270512E-2</v>
      </c>
      <c r="L40" s="48">
        <v>6.8776865963266903E-2</v>
      </c>
      <c r="M40" s="48">
        <v>6.1728395061728392E-2</v>
      </c>
      <c r="N40" s="48">
        <v>6.0526315789473685E-2</v>
      </c>
      <c r="O40" s="48">
        <v>6.3420158550396372E-2</v>
      </c>
      <c r="P40" s="48">
        <v>6.7607726597325404E-2</v>
      </c>
      <c r="Q40" s="48">
        <v>6.3319595354065186E-2</v>
      </c>
    </row>
    <row r="41" spans="1:17" x14ac:dyDescent="0.2">
      <c r="A41" s="56" t="s">
        <v>47</v>
      </c>
      <c r="B41" s="57" t="s">
        <v>6</v>
      </c>
      <c r="C41" s="48">
        <v>2.1352313167259787E-2</v>
      </c>
      <c r="D41" s="48">
        <v>2.0423048869438368E-2</v>
      </c>
      <c r="E41" s="48">
        <v>1.884159106769016E-2</v>
      </c>
      <c r="F41" s="48">
        <v>1.8672199170124481E-2</v>
      </c>
      <c r="G41" s="48">
        <v>1.9191226867717615E-2</v>
      </c>
      <c r="H41" s="48">
        <v>1.3149243918474688E-2</v>
      </c>
      <c r="I41" s="48">
        <v>1.2978585334198572E-2</v>
      </c>
      <c r="J41" s="48">
        <v>8.7227414330218068E-3</v>
      </c>
      <c r="K41" s="48">
        <v>1.0922330097087379E-2</v>
      </c>
      <c r="L41" s="48">
        <v>1.3613861386138614E-2</v>
      </c>
      <c r="M41" s="48">
        <v>1.1131725417439703E-2</v>
      </c>
      <c r="N41" s="48">
        <v>1.9326683291770574E-2</v>
      </c>
      <c r="O41" s="48">
        <v>2.076777847702958E-2</v>
      </c>
      <c r="P41" s="48">
        <v>2.5608194622279128E-2</v>
      </c>
      <c r="Q41" s="48">
        <v>2.7353689567430027E-2</v>
      </c>
    </row>
    <row r="42" spans="1:17" x14ac:dyDescent="0.2">
      <c r="A42" s="56" t="s">
        <v>47</v>
      </c>
      <c r="B42" s="57" t="s">
        <v>8</v>
      </c>
      <c r="C42" s="48">
        <v>5.4957904583723106E-2</v>
      </c>
      <c r="D42" s="48">
        <v>6.8307989379676567E-2</v>
      </c>
      <c r="E42" s="48">
        <v>7.1104748270102602E-2</v>
      </c>
      <c r="F42" s="48">
        <v>7.753386268099019E-2</v>
      </c>
      <c r="G42" s="48">
        <v>5.886410669119338E-2</v>
      </c>
      <c r="H42" s="48">
        <v>5.9684684684684686E-2</v>
      </c>
      <c r="I42" s="48">
        <v>5.3306342780026994E-2</v>
      </c>
      <c r="J42" s="48">
        <v>4.9911268855368236E-2</v>
      </c>
      <c r="K42" s="48">
        <v>5.7438380281690141E-2</v>
      </c>
      <c r="L42" s="48">
        <v>6.9861173309449173E-2</v>
      </c>
      <c r="M42" s="48">
        <v>7.1320182094081946E-2</v>
      </c>
      <c r="N42" s="48">
        <v>9.5756750624007264E-2</v>
      </c>
      <c r="O42" s="48">
        <v>9.2947976878612712E-2</v>
      </c>
      <c r="P42" s="48">
        <v>0.11168831168831168</v>
      </c>
      <c r="Q42" s="48">
        <v>9.023354564755838E-2</v>
      </c>
    </row>
    <row r="43" spans="1:17" x14ac:dyDescent="0.2">
      <c r="A43" s="56" t="s">
        <v>47</v>
      </c>
      <c r="B43" s="57" t="s">
        <v>9</v>
      </c>
      <c r="C43" s="48">
        <v>2.8399223618347125E-2</v>
      </c>
      <c r="D43" s="48">
        <v>3.6896479021716215E-2</v>
      </c>
      <c r="E43" s="48">
        <v>3.6276595744680853E-2</v>
      </c>
      <c r="F43" s="48">
        <v>4.6638655462184875E-2</v>
      </c>
      <c r="G43" s="48">
        <v>4.0198408597705904E-2</v>
      </c>
      <c r="H43" s="48">
        <v>3.9756875249103228E-2</v>
      </c>
      <c r="I43" s="48">
        <v>3.9933606717438001E-2</v>
      </c>
      <c r="J43" s="48">
        <v>4.7484674515909313E-2</v>
      </c>
      <c r="K43" s="48">
        <v>4.0377358490566034E-2</v>
      </c>
      <c r="L43" s="48">
        <v>5.4244146834955195E-2</v>
      </c>
      <c r="M43" s="48">
        <v>4.2909370790840867E-2</v>
      </c>
      <c r="N43" s="48">
        <v>5.4140127388535034E-2</v>
      </c>
      <c r="O43" s="48">
        <v>4.9226160758861708E-2</v>
      </c>
      <c r="P43" s="48">
        <v>5.3049370764762828E-2</v>
      </c>
      <c r="Q43" s="48">
        <v>4.8195160650535501E-2</v>
      </c>
    </row>
    <row r="44" spans="1:17" x14ac:dyDescent="0.2">
      <c r="A44" s="56" t="s">
        <v>47</v>
      </c>
      <c r="B44" s="57" t="s">
        <v>33</v>
      </c>
      <c r="C44" s="48">
        <v>5.9530346587422074E-2</v>
      </c>
      <c r="D44" s="48">
        <v>6.8958454238213909E-2</v>
      </c>
      <c r="E44" s="48">
        <v>6.8791607827314902E-2</v>
      </c>
      <c r="F44" s="48">
        <v>7.0674001822538732E-2</v>
      </c>
      <c r="G44" s="48">
        <v>6.2389424842273923E-2</v>
      </c>
      <c r="H44" s="48">
        <v>6.0092754004539027E-2</v>
      </c>
      <c r="I44" s="48">
        <v>6.6435492756910908E-2</v>
      </c>
      <c r="J44" s="48">
        <v>6.368815208346669E-2</v>
      </c>
      <c r="K44" s="48">
        <v>6.5605983772819468E-2</v>
      </c>
      <c r="L44" s="48">
        <v>7.8781380093351838E-2</v>
      </c>
      <c r="M44" s="48">
        <v>8.1023786513701401E-2</v>
      </c>
      <c r="N44" s="48">
        <v>8.3707310862853684E-2</v>
      </c>
      <c r="O44" s="48">
        <v>8.458842474187743E-2</v>
      </c>
      <c r="P44" s="48">
        <v>7.7445271385420233E-2</v>
      </c>
      <c r="Q44" s="48">
        <v>7.7566586701113369E-2</v>
      </c>
    </row>
    <row r="45" spans="1:17" x14ac:dyDescent="0.2">
      <c r="A45" s="56" t="s">
        <v>47</v>
      </c>
      <c r="B45" s="57" t="s">
        <v>10</v>
      </c>
      <c r="C45" s="48">
        <v>2.9279279279279279E-2</v>
      </c>
      <c r="D45" s="48">
        <v>2.9260780287474333E-2</v>
      </c>
      <c r="E45" s="48">
        <v>3.3405584597730457E-2</v>
      </c>
      <c r="F45" s="48">
        <v>3.0077088335650197E-2</v>
      </c>
      <c r="G45" s="48">
        <v>2.7247293516603821E-2</v>
      </c>
      <c r="H45" s="48">
        <v>2.8625727521083263E-2</v>
      </c>
      <c r="I45" s="48">
        <v>3.8581356338365687E-2</v>
      </c>
      <c r="J45" s="48">
        <v>3.5714285714285712E-2</v>
      </c>
      <c r="K45" s="48">
        <v>3.6397357134577486E-2</v>
      </c>
      <c r="L45" s="48">
        <v>3.9914066033469017E-2</v>
      </c>
      <c r="M45" s="48">
        <v>4.1661897676548015E-2</v>
      </c>
      <c r="N45" s="48">
        <v>3.9485981308411217E-2</v>
      </c>
      <c r="O45" s="48">
        <v>4.0446304044630406E-2</v>
      </c>
      <c r="P45" s="48">
        <v>3.7574919317657905E-2</v>
      </c>
      <c r="Q45" s="48">
        <v>3.8328729281767955E-2</v>
      </c>
    </row>
    <row r="46" spans="1:17" x14ac:dyDescent="0.2">
      <c r="A46" s="56" t="s">
        <v>47</v>
      </c>
      <c r="B46" s="57" t="s">
        <v>11</v>
      </c>
      <c r="C46" s="48">
        <v>6.2321598477640343E-2</v>
      </c>
      <c r="D46" s="48">
        <v>1.0057471264367816E-2</v>
      </c>
      <c r="E46" s="48">
        <v>1.5903614457831325E-2</v>
      </c>
      <c r="F46" s="48">
        <v>3.5087719298245612E-2</v>
      </c>
      <c r="G46" s="48">
        <v>1.6066212268743916E-2</v>
      </c>
      <c r="H46" s="48">
        <v>1.3829279923700524E-2</v>
      </c>
      <c r="I46" s="48">
        <v>1.5602836879432624E-2</v>
      </c>
      <c r="J46" s="48">
        <v>3.4417727487034415E-2</v>
      </c>
      <c r="K46" s="48">
        <v>2.2966507177033493E-2</v>
      </c>
      <c r="L46" s="48">
        <v>2.0833333333333332E-2</v>
      </c>
      <c r="M46" s="48">
        <v>5.3442959917780058E-2</v>
      </c>
      <c r="N46" s="48">
        <v>6.2565720294426919E-2</v>
      </c>
      <c r="O46" s="48">
        <v>6.7716535433070865E-2</v>
      </c>
      <c r="P46" s="48">
        <v>3.4968684759916491E-2</v>
      </c>
      <c r="Q46" s="48">
        <v>2.5656324582338901E-2</v>
      </c>
    </row>
    <row r="47" spans="1:17" x14ac:dyDescent="0.2">
      <c r="A47" s="56" t="s">
        <v>47</v>
      </c>
      <c r="B47" s="57" t="s">
        <v>12</v>
      </c>
      <c r="C47" s="48">
        <v>4.4002095337873234E-2</v>
      </c>
      <c r="D47" s="48">
        <v>4.6121593291404611E-2</v>
      </c>
      <c r="E47" s="48">
        <v>4.0477426050856254E-2</v>
      </c>
      <c r="F47" s="48">
        <v>4.5454545454545456E-2</v>
      </c>
      <c r="G47" s="48">
        <v>5.5607917059377947E-2</v>
      </c>
      <c r="H47" s="48">
        <v>5.7753524329240566E-2</v>
      </c>
      <c r="I47" s="48">
        <v>4.3321299638989168E-2</v>
      </c>
      <c r="J47" s="48">
        <v>3.9894782989916701E-2</v>
      </c>
      <c r="K47" s="48">
        <v>2.4539877300613498E-2</v>
      </c>
      <c r="L47" s="48">
        <v>7.1187868576242624E-2</v>
      </c>
      <c r="M47" s="48">
        <v>6.4475873544093176E-2</v>
      </c>
      <c r="N47" s="48">
        <v>6.1344537815126048E-2</v>
      </c>
      <c r="O47" s="48">
        <v>6.3725490196078427E-2</v>
      </c>
      <c r="P47" s="48">
        <v>7.0569366479550921E-2</v>
      </c>
      <c r="Q47" s="48">
        <v>7.2355485646873774E-2</v>
      </c>
    </row>
    <row r="48" spans="1:17" x14ac:dyDescent="0.2">
      <c r="A48" s="56" t="s">
        <v>47</v>
      </c>
      <c r="B48" s="57" t="s">
        <v>13</v>
      </c>
      <c r="C48" s="48">
        <v>2.8867505551443375E-2</v>
      </c>
      <c r="D48" s="48">
        <v>2.8222730739893211E-2</v>
      </c>
      <c r="E48" s="48">
        <v>2.5544703230653644E-2</v>
      </c>
      <c r="F48" s="48">
        <v>2.9937933552391383E-2</v>
      </c>
      <c r="G48" s="48">
        <v>2.2942461762563728E-2</v>
      </c>
      <c r="H48" s="48">
        <v>2.9600570613409417E-2</v>
      </c>
      <c r="I48" s="48">
        <v>3.4303534303534305E-2</v>
      </c>
      <c r="J48" s="48">
        <v>0.03</v>
      </c>
      <c r="K48" s="48">
        <v>3.2246998284734131E-2</v>
      </c>
      <c r="L48" s="48">
        <v>2.9596100278551533E-2</v>
      </c>
      <c r="M48" s="48">
        <v>2.8630562262849258E-2</v>
      </c>
      <c r="N48" s="48">
        <v>2.6894865525672371E-2</v>
      </c>
      <c r="O48" s="48">
        <v>3.2698526769673011E-2</v>
      </c>
      <c r="P48" s="48">
        <v>2.9598308668076109E-2</v>
      </c>
      <c r="Q48" s="48">
        <v>2.9702970297029702E-2</v>
      </c>
    </row>
    <row r="49" spans="1:17" x14ac:dyDescent="0.2">
      <c r="A49" s="56" t="s">
        <v>47</v>
      </c>
      <c r="B49" s="57" t="s">
        <v>7</v>
      </c>
      <c r="C49" s="48" t="s">
        <v>192</v>
      </c>
      <c r="D49" s="48" t="s">
        <v>192</v>
      </c>
      <c r="E49" s="48" t="s">
        <v>192</v>
      </c>
      <c r="F49" s="48" t="s">
        <v>192</v>
      </c>
      <c r="G49" s="48" t="s">
        <v>192</v>
      </c>
      <c r="H49" s="48" t="s">
        <v>192</v>
      </c>
      <c r="I49" s="48" t="s">
        <v>192</v>
      </c>
      <c r="J49" s="48" t="s">
        <v>192</v>
      </c>
      <c r="K49" s="48" t="s">
        <v>192</v>
      </c>
      <c r="L49" s="48">
        <v>2.3676880222841225E-2</v>
      </c>
      <c r="M49" s="48">
        <v>2.3776223776223775E-2</v>
      </c>
      <c r="N49" s="48">
        <v>2.2941970310391364E-2</v>
      </c>
      <c r="O49" s="48">
        <v>2.4161073825503355E-2</v>
      </c>
      <c r="P49" s="48">
        <v>2.3622047244094488E-2</v>
      </c>
      <c r="Q49" s="48">
        <v>4.0259740259740259E-2</v>
      </c>
    </row>
    <row r="50" spans="1:17" x14ac:dyDescent="0.2">
      <c r="A50" s="56" t="s">
        <v>47</v>
      </c>
      <c r="B50" s="57" t="s">
        <v>14</v>
      </c>
      <c r="C50" s="48">
        <v>7.2473630486560053E-2</v>
      </c>
      <c r="D50" s="48">
        <v>8.0195258019525803E-2</v>
      </c>
      <c r="E50" s="48">
        <v>7.6598735066760362E-2</v>
      </c>
      <c r="F50" s="48">
        <v>7.6550051957048837E-2</v>
      </c>
      <c r="G50" s="48">
        <v>7.9079079079079073E-2</v>
      </c>
      <c r="H50" s="48">
        <v>7.996018579960186E-2</v>
      </c>
      <c r="I50" s="48">
        <v>7.9139072847682124E-2</v>
      </c>
      <c r="J50" s="48">
        <v>6.9661458333333329E-2</v>
      </c>
      <c r="K50" s="48">
        <v>8.1372549019607845E-2</v>
      </c>
      <c r="L50" s="48">
        <v>8.6899705978438421E-2</v>
      </c>
      <c r="M50" s="48">
        <v>8.8430851063829793E-2</v>
      </c>
      <c r="N50" s="48">
        <v>8.6253369272237201E-2</v>
      </c>
      <c r="O50" s="48">
        <v>8.3305113443955303E-2</v>
      </c>
      <c r="P50" s="48">
        <v>0.11375212224108659</v>
      </c>
      <c r="Q50" s="48">
        <v>0.10061391541609822</v>
      </c>
    </row>
    <row r="51" spans="1:17" x14ac:dyDescent="0.2">
      <c r="A51" s="56" t="s">
        <v>47</v>
      </c>
      <c r="B51" s="57" t="s">
        <v>31</v>
      </c>
      <c r="C51" s="48">
        <v>9.9562841530054638E-2</v>
      </c>
      <c r="D51" s="48">
        <v>0.11720418024497134</v>
      </c>
      <c r="E51" s="48">
        <v>0.12036515271046996</v>
      </c>
      <c r="F51" s="48">
        <v>0.11935341009743136</v>
      </c>
      <c r="G51" s="48">
        <v>0.11509780611693504</v>
      </c>
      <c r="H51" s="48">
        <v>0.11959531416400426</v>
      </c>
      <c r="I51" s="48">
        <v>0.10544437271357865</v>
      </c>
      <c r="J51" s="48">
        <v>0.11308595780064443</v>
      </c>
      <c r="K51" s="48">
        <v>0.10568773613805779</v>
      </c>
      <c r="L51" s="48">
        <v>0.10089141004862237</v>
      </c>
      <c r="M51" s="48">
        <v>9.0927258193445243E-2</v>
      </c>
      <c r="N51" s="48">
        <v>9.699958898479244E-2</v>
      </c>
      <c r="O51" s="48">
        <v>0.10283467825367267</v>
      </c>
      <c r="P51" s="48">
        <v>9.987694831829369E-2</v>
      </c>
      <c r="Q51" s="48">
        <v>0.10534912209064924</v>
      </c>
    </row>
    <row r="52" spans="1:17" x14ac:dyDescent="0.2">
      <c r="A52" s="56" t="s">
        <v>47</v>
      </c>
      <c r="B52" s="57" t="s">
        <v>15</v>
      </c>
      <c r="C52" s="48" t="s">
        <v>192</v>
      </c>
      <c r="D52" s="48" t="s">
        <v>192</v>
      </c>
      <c r="E52" s="48" t="s">
        <v>192</v>
      </c>
      <c r="F52" s="48" t="s">
        <v>192</v>
      </c>
      <c r="G52" s="48" t="s">
        <v>192</v>
      </c>
      <c r="H52" s="48" t="s">
        <v>192</v>
      </c>
      <c r="I52" s="48" t="s">
        <v>192</v>
      </c>
      <c r="J52" s="48" t="s">
        <v>192</v>
      </c>
      <c r="K52" s="48" t="s">
        <v>192</v>
      </c>
      <c r="L52" s="48">
        <v>2.289156626506024E-2</v>
      </c>
      <c r="M52" s="48" t="s">
        <v>192</v>
      </c>
      <c r="N52" s="48">
        <v>1.9115890083632018E-2</v>
      </c>
      <c r="O52" s="48">
        <v>2.0359281437125749E-2</v>
      </c>
      <c r="P52" s="48" t="s">
        <v>192</v>
      </c>
      <c r="Q52" s="48">
        <v>2.0166073546856466E-2</v>
      </c>
    </row>
    <row r="53" spans="1:17" x14ac:dyDescent="0.2">
      <c r="A53" s="56" t="s">
        <v>47</v>
      </c>
      <c r="B53" s="57" t="s">
        <v>16</v>
      </c>
      <c r="C53" s="48">
        <v>3.1400500866884992E-2</v>
      </c>
      <c r="D53" s="48">
        <v>3.2786885245901641E-2</v>
      </c>
      <c r="E53" s="48">
        <v>3.5448827901658091E-2</v>
      </c>
      <c r="F53" s="48">
        <v>3.1728256812243373E-2</v>
      </c>
      <c r="G53" s="48">
        <v>1.6754518072289157E-2</v>
      </c>
      <c r="H53" s="48">
        <v>1.7962962962962962E-2</v>
      </c>
      <c r="I53" s="48">
        <v>3.8792314730100641E-2</v>
      </c>
      <c r="J53" s="48">
        <v>2.3619186046511628E-2</v>
      </c>
      <c r="K53" s="48">
        <v>2.3911491791577446E-2</v>
      </c>
      <c r="L53" s="48">
        <v>2.469352014010508E-2</v>
      </c>
      <c r="M53" s="48">
        <v>2.6311173478337134E-2</v>
      </c>
      <c r="N53" s="48">
        <v>2.7305605786618444E-2</v>
      </c>
      <c r="O53" s="48">
        <v>2.538434036467644E-2</v>
      </c>
      <c r="P53" s="48" t="s">
        <v>192</v>
      </c>
      <c r="Q53" s="48">
        <v>2.4203378025422252E-2</v>
      </c>
    </row>
    <row r="54" spans="1:17" x14ac:dyDescent="0.2">
      <c r="A54" s="56" t="s">
        <v>47</v>
      </c>
      <c r="B54" s="57" t="s">
        <v>26</v>
      </c>
      <c r="C54" s="48">
        <v>6.2025120173670338E-2</v>
      </c>
      <c r="D54" s="48">
        <v>7.9432624113475181E-2</v>
      </c>
      <c r="E54" s="48">
        <v>8.5836231425861526E-2</v>
      </c>
      <c r="F54" s="48">
        <v>8.8955601200821618E-2</v>
      </c>
      <c r="G54" s="48">
        <v>8.6190917516218726E-2</v>
      </c>
      <c r="H54" s="48">
        <v>9.6441796812107544E-2</v>
      </c>
      <c r="I54" s="48">
        <v>9.4868735083532219E-2</v>
      </c>
      <c r="J54" s="48">
        <v>7.4023614895549497E-2</v>
      </c>
      <c r="K54" s="48">
        <v>7.59988419224088E-2</v>
      </c>
      <c r="L54" s="48">
        <v>8.5023073695986578E-2</v>
      </c>
      <c r="M54" s="48">
        <v>7.5461151481274455E-2</v>
      </c>
      <c r="N54" s="48">
        <v>6.8857142857142853E-2</v>
      </c>
      <c r="O54" s="48">
        <v>6.3482818870122304E-2</v>
      </c>
      <c r="P54" s="48">
        <v>7.126915637553935E-2</v>
      </c>
      <c r="Q54" s="48">
        <v>7.6143644762330501E-2</v>
      </c>
    </row>
    <row r="55" spans="1:17" x14ac:dyDescent="0.2">
      <c r="A55" s="56" t="s">
        <v>47</v>
      </c>
      <c r="B55" s="57" t="s">
        <v>17</v>
      </c>
      <c r="C55" s="48">
        <v>3.1899326894937081E-2</v>
      </c>
      <c r="D55" s="48">
        <v>2.9429611650485438E-2</v>
      </c>
      <c r="E55" s="48">
        <v>2.3367285799880167E-2</v>
      </c>
      <c r="F55" s="48">
        <v>4.2666666666666665E-2</v>
      </c>
      <c r="G55" s="48">
        <v>4.2633410672853832E-2</v>
      </c>
      <c r="H55" s="48">
        <v>4.2257597684515195E-2</v>
      </c>
      <c r="I55" s="48">
        <v>5.3309900410076154E-2</v>
      </c>
      <c r="J55" s="48">
        <v>4.4563279857397504E-2</v>
      </c>
      <c r="K55" s="48">
        <v>4.0278180237612288E-2</v>
      </c>
      <c r="L55" s="48">
        <v>4.6605293440736481E-2</v>
      </c>
      <c r="M55" s="48">
        <v>4.3503480278422275E-2</v>
      </c>
      <c r="N55" s="48">
        <v>4.8532055122828044E-2</v>
      </c>
      <c r="O55" s="48">
        <v>2.6994237185319989E-2</v>
      </c>
      <c r="P55" s="48">
        <v>5.5222088835534214E-2</v>
      </c>
      <c r="Q55" s="48">
        <v>5.6546719080737828E-2</v>
      </c>
    </row>
    <row r="56" spans="1:17" x14ac:dyDescent="0.2">
      <c r="A56" s="56" t="s">
        <v>47</v>
      </c>
      <c r="B56" s="57" t="s">
        <v>18</v>
      </c>
      <c r="C56" s="48">
        <v>5.5489964580873671E-2</v>
      </c>
      <c r="D56" s="48">
        <v>6.2796208530805683E-2</v>
      </c>
      <c r="E56" s="48" t="s">
        <v>192</v>
      </c>
      <c r="F56" s="48" t="s">
        <v>192</v>
      </c>
      <c r="G56" s="48">
        <v>4.6204620462046202E-2</v>
      </c>
      <c r="H56" s="48">
        <v>8.6956521739130432E-2</v>
      </c>
      <c r="I56" s="48">
        <v>0.12927054478301014</v>
      </c>
      <c r="J56" s="48">
        <v>9.4827586206896547E-2</v>
      </c>
      <c r="K56" s="48">
        <v>6.2886597938144329E-2</v>
      </c>
      <c r="L56" s="48">
        <v>7.0346320346320351E-2</v>
      </c>
      <c r="M56" s="48" t="s">
        <v>192</v>
      </c>
      <c r="N56" s="48">
        <v>7.8091106290672452E-2</v>
      </c>
      <c r="O56" s="48">
        <v>7.7864293659621803E-2</v>
      </c>
      <c r="P56" s="48">
        <v>4.0173724212812158E-2</v>
      </c>
      <c r="Q56" s="48">
        <v>4.9889135254988913E-2</v>
      </c>
    </row>
    <row r="57" spans="1:17" x14ac:dyDescent="0.2">
      <c r="A57" s="56" t="s">
        <v>47</v>
      </c>
      <c r="B57" s="57" t="s">
        <v>19</v>
      </c>
      <c r="C57" s="48">
        <v>2.9182879377431907E-2</v>
      </c>
      <c r="D57" s="48">
        <v>3.1563845050215207E-2</v>
      </c>
      <c r="E57" s="48">
        <v>3.9335664335664336E-2</v>
      </c>
      <c r="F57" s="48">
        <v>2.5507246376811593E-2</v>
      </c>
      <c r="G57" s="48">
        <v>2.2688598979013045E-2</v>
      </c>
      <c r="H57" s="48">
        <v>2.8184892897406989E-2</v>
      </c>
      <c r="I57" s="48">
        <v>3.6059057353776264E-2</v>
      </c>
      <c r="J57" s="48">
        <v>3.6953455571227083E-2</v>
      </c>
      <c r="K57" s="48">
        <v>5.2732240437158469E-2</v>
      </c>
      <c r="L57" s="48">
        <v>4.0043883708173342E-2</v>
      </c>
      <c r="M57" s="48">
        <v>3.6243822075782535E-2</v>
      </c>
      <c r="N57" s="48">
        <v>3.7132247929163094E-2</v>
      </c>
      <c r="O57" s="48">
        <v>4.1204887752202331E-2</v>
      </c>
      <c r="P57" s="48">
        <v>3.8266741699493526E-2</v>
      </c>
      <c r="Q57" s="48">
        <v>3.5393095445314764E-2</v>
      </c>
    </row>
    <row r="58" spans="1:17" x14ac:dyDescent="0.2">
      <c r="A58" s="56" t="s">
        <v>47</v>
      </c>
      <c r="B58" s="57" t="s">
        <v>20</v>
      </c>
      <c r="C58" s="48">
        <v>6.558289722748023E-2</v>
      </c>
      <c r="D58" s="48">
        <v>7.3980179764922799E-2</v>
      </c>
      <c r="E58" s="48">
        <v>6.5323773756686007E-2</v>
      </c>
      <c r="F58" s="48">
        <v>6.6449435587105782E-2</v>
      </c>
      <c r="G58" s="48">
        <v>7.3266412830275754E-2</v>
      </c>
      <c r="H58" s="48">
        <v>7.9860721105245419E-2</v>
      </c>
      <c r="I58" s="48">
        <v>7.7701200533570478E-2</v>
      </c>
      <c r="J58" s="48">
        <v>7.665387220591556E-2</v>
      </c>
      <c r="K58" s="48">
        <v>8.1345634563456351E-2</v>
      </c>
      <c r="L58" s="48">
        <v>8.8703306624534475E-2</v>
      </c>
      <c r="M58" s="48">
        <v>8.7490057947960456E-2</v>
      </c>
      <c r="N58" s="48">
        <v>9.0272100899217569E-2</v>
      </c>
      <c r="O58" s="48">
        <v>8.9388764574255097E-2</v>
      </c>
      <c r="P58" s="48">
        <v>9.0340103920642414E-2</v>
      </c>
      <c r="Q58" s="48">
        <v>8.3085346982502084E-2</v>
      </c>
    </row>
    <row r="59" spans="1:17" x14ac:dyDescent="0.2">
      <c r="A59" s="56" t="s">
        <v>47</v>
      </c>
      <c r="B59" s="57" t="s">
        <v>21</v>
      </c>
      <c r="C59" s="48">
        <v>4.7017337643255948E-2</v>
      </c>
      <c r="D59" s="48">
        <v>4.4684579439252338E-2</v>
      </c>
      <c r="E59" s="48">
        <v>3.6175710594315243E-2</v>
      </c>
      <c r="F59" s="48">
        <v>3.2866533295227207E-2</v>
      </c>
      <c r="G59" s="48">
        <v>3.054485415520088E-2</v>
      </c>
      <c r="H59" s="48">
        <v>4.5725108225108224E-2</v>
      </c>
      <c r="I59" s="48">
        <v>4.0245202558635396E-2</v>
      </c>
      <c r="J59" s="48">
        <v>3.8543897216274089E-2</v>
      </c>
      <c r="K59" s="48">
        <v>3.3787191124558746E-2</v>
      </c>
      <c r="L59" s="48">
        <v>3.6887316826680144E-2</v>
      </c>
      <c r="M59" s="48">
        <v>2.8810637773947302E-2</v>
      </c>
      <c r="N59" s="48">
        <v>3.4090909090909088E-2</v>
      </c>
      <c r="O59" s="48">
        <v>2.4603174603174603E-2</v>
      </c>
      <c r="P59" s="48">
        <v>4.1510444563470812E-2</v>
      </c>
      <c r="Q59" s="48">
        <v>4.2066027689030887E-2</v>
      </c>
    </row>
    <row r="60" spans="1:17" x14ac:dyDescent="0.2">
      <c r="A60" s="56" t="s">
        <v>47</v>
      </c>
      <c r="B60" s="57" t="s">
        <v>27</v>
      </c>
      <c r="C60" s="48">
        <v>7.29483282674772E-2</v>
      </c>
      <c r="D60" s="48">
        <v>6.9140823589222161E-2</v>
      </c>
      <c r="E60" s="48">
        <v>8.164326573062923E-2</v>
      </c>
      <c r="F60" s="48">
        <v>8.6677367576243974E-2</v>
      </c>
      <c r="G60" s="48">
        <v>7.3475768629494523E-2</v>
      </c>
      <c r="H60" s="48">
        <v>9.1144484722941482E-2</v>
      </c>
      <c r="I60" s="48">
        <v>7.650273224043716E-2</v>
      </c>
      <c r="J60" s="48">
        <v>9.5771777890983192E-2</v>
      </c>
      <c r="K60" s="48">
        <v>0.12070707070707071</v>
      </c>
      <c r="L60" s="48">
        <v>0.10367722165474974</v>
      </c>
      <c r="M60" s="48">
        <v>0.10329113924050633</v>
      </c>
      <c r="N60" s="48">
        <v>0.10180224062347784</v>
      </c>
      <c r="O60" s="48">
        <v>0.12017586712261846</v>
      </c>
      <c r="P60" s="48">
        <v>8.7439613526570051E-2</v>
      </c>
      <c r="Q60" s="48">
        <v>0.10265225933202357</v>
      </c>
    </row>
    <row r="61" spans="1:17" x14ac:dyDescent="0.2">
      <c r="A61" s="56" t="s">
        <v>47</v>
      </c>
      <c r="B61" s="57" t="s">
        <v>28</v>
      </c>
      <c r="C61" s="48">
        <v>9.5031355523396047E-2</v>
      </c>
      <c r="D61" s="48">
        <v>0.10020107238605898</v>
      </c>
      <c r="E61" s="48">
        <v>0.10246174318030606</v>
      </c>
      <c r="F61" s="48">
        <v>0.11235764065952746</v>
      </c>
      <c r="G61" s="48">
        <v>7.2369546621043626E-2</v>
      </c>
      <c r="H61" s="48">
        <v>6.9522352541220467E-2</v>
      </c>
      <c r="I61" s="48">
        <v>6.7688378033205626E-2</v>
      </c>
      <c r="J61" s="48">
        <v>6.3135099117108115E-2</v>
      </c>
      <c r="K61" s="48">
        <v>6.4329419546882746E-2</v>
      </c>
      <c r="L61" s="48">
        <v>6.9894249834765373E-2</v>
      </c>
      <c r="M61" s="48">
        <v>7.0172500418690331E-2</v>
      </c>
      <c r="N61" s="48">
        <v>5.6686046511627904E-2</v>
      </c>
      <c r="O61" s="48">
        <v>6.49309414192729E-2</v>
      </c>
      <c r="P61" s="48">
        <v>7.7476299444262833E-2</v>
      </c>
      <c r="Q61" s="48">
        <v>7.1473158551810231E-2</v>
      </c>
    </row>
    <row r="62" spans="1:17" ht="29.1" customHeight="1" x14ac:dyDescent="0.2">
      <c r="A62" s="57" t="s">
        <v>182</v>
      </c>
      <c r="B62" s="57" t="s">
        <v>54</v>
      </c>
      <c r="C62" s="59" t="s">
        <v>190</v>
      </c>
      <c r="D62" s="59" t="s">
        <v>190</v>
      </c>
      <c r="E62" s="59" t="s">
        <v>190</v>
      </c>
      <c r="F62" s="59" t="s">
        <v>190</v>
      </c>
      <c r="G62" s="59" t="s">
        <v>190</v>
      </c>
      <c r="H62" s="48">
        <v>7.8012853591030634E-2</v>
      </c>
      <c r="I62" s="48">
        <v>9.2810272388235845E-2</v>
      </c>
      <c r="J62" s="48">
        <v>9.1740850642927793E-2</v>
      </c>
      <c r="K62" s="48">
        <v>8.1131788448861625E-2</v>
      </c>
      <c r="L62" s="48">
        <v>7.8886549227055625E-2</v>
      </c>
      <c r="M62" s="48">
        <v>7.4548307100561775E-2</v>
      </c>
      <c r="N62" s="48">
        <v>8.1097069104598005E-2</v>
      </c>
      <c r="O62" s="48">
        <v>8.1602292137307839E-2</v>
      </c>
      <c r="P62" s="48">
        <v>9.158661808545876E-2</v>
      </c>
      <c r="Q62" s="48">
        <v>9.596791913865084E-2</v>
      </c>
    </row>
    <row r="63" spans="1:17" x14ac:dyDescent="0.2">
      <c r="A63" s="56" t="s">
        <v>182</v>
      </c>
      <c r="B63" s="56" t="s">
        <v>55</v>
      </c>
      <c r="C63" s="59" t="s">
        <v>190</v>
      </c>
      <c r="D63" s="59" t="s">
        <v>190</v>
      </c>
      <c r="E63" s="59" t="s">
        <v>190</v>
      </c>
      <c r="F63" s="59" t="s">
        <v>190</v>
      </c>
      <c r="G63" s="59" t="s">
        <v>190</v>
      </c>
      <c r="H63" s="48" t="s">
        <v>192</v>
      </c>
      <c r="I63" s="48">
        <v>5.5256064690026953E-2</v>
      </c>
      <c r="J63" s="48">
        <v>4.4973544973544971E-2</v>
      </c>
      <c r="K63" s="48">
        <v>4.8877146631439897E-2</v>
      </c>
      <c r="L63" s="48">
        <v>4.960835509138381E-2</v>
      </c>
      <c r="M63" s="48">
        <v>5.1144010767160158E-2</v>
      </c>
      <c r="N63" s="48" t="s">
        <v>192</v>
      </c>
      <c r="O63" s="48">
        <v>4.3785310734463276E-2</v>
      </c>
      <c r="P63" s="48">
        <v>5.007587253414264E-2</v>
      </c>
      <c r="Q63" s="48">
        <v>4.843347964280309E-2</v>
      </c>
    </row>
    <row r="64" spans="1:17" x14ac:dyDescent="0.2">
      <c r="A64" s="56" t="s">
        <v>182</v>
      </c>
      <c r="B64" s="56" t="s">
        <v>56</v>
      </c>
      <c r="C64" s="59" t="s">
        <v>190</v>
      </c>
      <c r="D64" s="59" t="s">
        <v>190</v>
      </c>
      <c r="E64" s="59" t="s">
        <v>190</v>
      </c>
      <c r="F64" s="59" t="s">
        <v>190</v>
      </c>
      <c r="G64" s="59" t="s">
        <v>190</v>
      </c>
      <c r="H64" s="48">
        <v>1.8754688672168042E-2</v>
      </c>
      <c r="I64" s="48">
        <v>3.6630036630036632E-2</v>
      </c>
      <c r="J64" s="48">
        <v>3.5871156661786238E-2</v>
      </c>
      <c r="K64" s="48">
        <v>2.4211298606016139E-2</v>
      </c>
      <c r="L64" s="48">
        <v>3.058994901675164E-2</v>
      </c>
      <c r="M64" s="48">
        <v>2.1613832853025938E-2</v>
      </c>
      <c r="N64" s="48">
        <v>2.1292217327459617E-2</v>
      </c>
      <c r="O64" s="48">
        <v>2.2522522522522521E-2</v>
      </c>
      <c r="P64" s="48">
        <v>4.0675364543361472E-2</v>
      </c>
      <c r="Q64" s="48">
        <v>6.9188191881918826E-2</v>
      </c>
    </row>
    <row r="65" spans="1:17" x14ac:dyDescent="0.2">
      <c r="A65" s="56" t="s">
        <v>182</v>
      </c>
      <c r="B65" s="56" t="s">
        <v>57</v>
      </c>
      <c r="C65" s="59" t="s">
        <v>190</v>
      </c>
      <c r="D65" s="59" t="s">
        <v>190</v>
      </c>
      <c r="E65" s="59" t="s">
        <v>190</v>
      </c>
      <c r="F65" s="59" t="s">
        <v>190</v>
      </c>
      <c r="G65" s="59" t="s">
        <v>190</v>
      </c>
      <c r="H65" s="48" t="s">
        <v>192</v>
      </c>
      <c r="I65" s="48" t="s">
        <v>192</v>
      </c>
      <c r="J65" s="48" t="s">
        <v>192</v>
      </c>
      <c r="K65" s="48" t="s">
        <v>192</v>
      </c>
      <c r="L65" s="48">
        <v>1.8796992481203006E-2</v>
      </c>
      <c r="M65" s="48">
        <v>1.5414258188824663E-2</v>
      </c>
      <c r="N65" s="48">
        <v>1.6949152542372881E-2</v>
      </c>
      <c r="O65" s="48">
        <v>4.8872180451127817E-2</v>
      </c>
      <c r="P65" s="48">
        <v>1.8691588785046728E-2</v>
      </c>
      <c r="Q65" s="48">
        <v>1.5097188148707303E-2</v>
      </c>
    </row>
    <row r="66" spans="1:17" x14ac:dyDescent="0.2">
      <c r="A66" s="56" t="s">
        <v>182</v>
      </c>
      <c r="B66" s="56" t="s">
        <v>58</v>
      </c>
      <c r="C66" s="59" t="s">
        <v>190</v>
      </c>
      <c r="D66" s="59" t="s">
        <v>190</v>
      </c>
      <c r="E66" s="59" t="s">
        <v>190</v>
      </c>
      <c r="F66" s="59" t="s">
        <v>190</v>
      </c>
      <c r="G66" s="59" t="s">
        <v>190</v>
      </c>
      <c r="H66" s="48">
        <v>3.0864197530864196E-2</v>
      </c>
      <c r="I66" s="48">
        <v>3.6911879386534965E-2</v>
      </c>
      <c r="J66" s="48">
        <v>3.8102643856920686E-2</v>
      </c>
      <c r="K66" s="48">
        <v>3.8911495422177006E-2</v>
      </c>
      <c r="L66" s="48">
        <v>3.8481012658227849E-2</v>
      </c>
      <c r="M66" s="48">
        <v>3.6924633282751647E-2</v>
      </c>
      <c r="N66" s="48">
        <v>3.8804404824331409E-2</v>
      </c>
      <c r="O66" s="48">
        <v>4.1139240506329111E-2</v>
      </c>
      <c r="P66" s="48">
        <v>4.0614423327258529E-2</v>
      </c>
      <c r="Q66" s="48">
        <v>3.7461200899068819E-2</v>
      </c>
    </row>
    <row r="67" spans="1:17" x14ac:dyDescent="0.2">
      <c r="A67" s="56" t="s">
        <v>182</v>
      </c>
      <c r="B67" s="56" t="s">
        <v>96</v>
      </c>
      <c r="C67" s="59" t="s">
        <v>190</v>
      </c>
      <c r="D67" s="59" t="s">
        <v>190</v>
      </c>
      <c r="E67" s="59" t="s">
        <v>190</v>
      </c>
      <c r="F67" s="59" t="s">
        <v>190</v>
      </c>
      <c r="G67" s="59" t="s">
        <v>190</v>
      </c>
      <c r="H67" s="48" t="s">
        <v>192</v>
      </c>
      <c r="I67" s="48" t="s">
        <v>192</v>
      </c>
      <c r="J67" s="48" t="s">
        <v>192</v>
      </c>
      <c r="K67" s="48" t="s">
        <v>192</v>
      </c>
      <c r="L67" s="48" t="s">
        <v>192</v>
      </c>
      <c r="M67" s="48" t="s">
        <v>192</v>
      </c>
      <c r="N67" s="48" t="s">
        <v>192</v>
      </c>
      <c r="O67" s="48" t="s">
        <v>192</v>
      </c>
      <c r="P67" s="48" t="s">
        <v>192</v>
      </c>
      <c r="Q67" s="48" t="s">
        <v>192</v>
      </c>
    </row>
    <row r="68" spans="1:17" x14ac:dyDescent="0.2">
      <c r="A68" s="56" t="s">
        <v>182</v>
      </c>
      <c r="B68" s="56" t="s">
        <v>59</v>
      </c>
      <c r="C68" s="59" t="s">
        <v>190</v>
      </c>
      <c r="D68" s="59" t="s">
        <v>190</v>
      </c>
      <c r="E68" s="59" t="s">
        <v>190</v>
      </c>
      <c r="F68" s="59" t="s">
        <v>190</v>
      </c>
      <c r="G68" s="59" t="s">
        <v>190</v>
      </c>
      <c r="H68" s="48" t="s">
        <v>192</v>
      </c>
      <c r="I68" s="48" t="s">
        <v>192</v>
      </c>
      <c r="J68" s="48" t="s">
        <v>192</v>
      </c>
      <c r="K68" s="48" t="s">
        <v>192</v>
      </c>
      <c r="L68" s="48" t="s">
        <v>192</v>
      </c>
      <c r="M68" s="48" t="s">
        <v>192</v>
      </c>
      <c r="N68" s="48" t="s">
        <v>192</v>
      </c>
      <c r="O68" s="48" t="s">
        <v>192</v>
      </c>
      <c r="P68" s="48" t="s">
        <v>192</v>
      </c>
      <c r="Q68" s="48" t="s">
        <v>192</v>
      </c>
    </row>
    <row r="69" spans="1:17" x14ac:dyDescent="0.2">
      <c r="A69" s="56" t="s">
        <v>182</v>
      </c>
      <c r="B69" s="56" t="s">
        <v>60</v>
      </c>
      <c r="C69" s="59" t="s">
        <v>190</v>
      </c>
      <c r="D69" s="59" t="s">
        <v>190</v>
      </c>
      <c r="E69" s="59" t="s">
        <v>190</v>
      </c>
      <c r="F69" s="59" t="s">
        <v>190</v>
      </c>
      <c r="G69" s="59" t="s">
        <v>190</v>
      </c>
      <c r="H69" s="48" t="s">
        <v>192</v>
      </c>
      <c r="I69" s="48" t="s">
        <v>192</v>
      </c>
      <c r="J69" s="48" t="s">
        <v>192</v>
      </c>
      <c r="K69" s="48" t="s">
        <v>192</v>
      </c>
      <c r="L69" s="48" t="s">
        <v>192</v>
      </c>
      <c r="M69" s="48" t="s">
        <v>192</v>
      </c>
      <c r="N69" s="48" t="s">
        <v>192</v>
      </c>
      <c r="O69" s="48" t="s">
        <v>192</v>
      </c>
      <c r="P69" s="48" t="s">
        <v>192</v>
      </c>
      <c r="Q69" s="48" t="s">
        <v>192</v>
      </c>
    </row>
    <row r="70" spans="1:17" x14ac:dyDescent="0.2">
      <c r="A70" s="56" t="s">
        <v>182</v>
      </c>
      <c r="B70" s="56" t="s">
        <v>97</v>
      </c>
      <c r="C70" s="59" t="s">
        <v>190</v>
      </c>
      <c r="D70" s="59" t="s">
        <v>190</v>
      </c>
      <c r="E70" s="59" t="s">
        <v>190</v>
      </c>
      <c r="F70" s="59" t="s">
        <v>190</v>
      </c>
      <c r="G70" s="59" t="s">
        <v>190</v>
      </c>
      <c r="H70" s="48" t="s">
        <v>192</v>
      </c>
      <c r="I70" s="48" t="s">
        <v>192</v>
      </c>
      <c r="J70" s="48" t="s">
        <v>192</v>
      </c>
      <c r="K70" s="48" t="s">
        <v>192</v>
      </c>
      <c r="L70" s="48" t="s">
        <v>192</v>
      </c>
      <c r="M70" s="48" t="s">
        <v>192</v>
      </c>
      <c r="N70" s="48" t="s">
        <v>192</v>
      </c>
      <c r="O70" s="48" t="s">
        <v>192</v>
      </c>
      <c r="P70" s="48" t="s">
        <v>192</v>
      </c>
      <c r="Q70" s="48" t="s">
        <v>192</v>
      </c>
    </row>
    <row r="71" spans="1:17" x14ac:dyDescent="0.2">
      <c r="A71" s="56" t="s">
        <v>182</v>
      </c>
      <c r="B71" s="56" t="s">
        <v>61</v>
      </c>
      <c r="C71" s="59" t="s">
        <v>190</v>
      </c>
      <c r="D71" s="59" t="s">
        <v>190</v>
      </c>
      <c r="E71" s="59" t="s">
        <v>190</v>
      </c>
      <c r="F71" s="59" t="s">
        <v>190</v>
      </c>
      <c r="G71" s="59" t="s">
        <v>190</v>
      </c>
      <c r="H71" s="48" t="s">
        <v>192</v>
      </c>
      <c r="I71" s="48" t="s">
        <v>192</v>
      </c>
      <c r="J71" s="48" t="s">
        <v>192</v>
      </c>
      <c r="K71" s="48" t="s">
        <v>192</v>
      </c>
      <c r="L71" s="48" t="s">
        <v>192</v>
      </c>
      <c r="M71" s="48" t="s">
        <v>192</v>
      </c>
      <c r="N71" s="48" t="s">
        <v>192</v>
      </c>
      <c r="O71" s="48" t="s">
        <v>192</v>
      </c>
      <c r="P71" s="48" t="s">
        <v>192</v>
      </c>
      <c r="Q71" s="48" t="s">
        <v>192</v>
      </c>
    </row>
    <row r="72" spans="1:17" x14ac:dyDescent="0.2">
      <c r="A72" s="56" t="s">
        <v>182</v>
      </c>
      <c r="B72" s="56" t="s">
        <v>62</v>
      </c>
      <c r="C72" s="59" t="s">
        <v>190</v>
      </c>
      <c r="D72" s="59" t="s">
        <v>190</v>
      </c>
      <c r="E72" s="59" t="s">
        <v>190</v>
      </c>
      <c r="F72" s="59" t="s">
        <v>190</v>
      </c>
      <c r="G72" s="59" t="s">
        <v>190</v>
      </c>
      <c r="H72" s="48">
        <v>7.9256965944272451E-2</v>
      </c>
      <c r="I72" s="48">
        <v>6.0255629945222156E-2</v>
      </c>
      <c r="J72" s="48">
        <v>7.9171741778319121E-2</v>
      </c>
      <c r="K72" s="48">
        <v>0.10520023909145249</v>
      </c>
      <c r="L72" s="48">
        <v>8.6206896551724144E-2</v>
      </c>
      <c r="M72" s="48">
        <v>8.4388185654008435E-2</v>
      </c>
      <c r="N72" s="48">
        <v>8.9199029126213594E-2</v>
      </c>
      <c r="O72" s="48">
        <v>0.1105072463768116</v>
      </c>
      <c r="P72" s="48">
        <v>6.5269461077844315E-2</v>
      </c>
      <c r="Q72" s="48">
        <v>7.6122038852688631E-2</v>
      </c>
    </row>
    <row r="73" spans="1:17" x14ac:dyDescent="0.2">
      <c r="A73" s="56" t="s">
        <v>182</v>
      </c>
      <c r="B73" s="56" t="s">
        <v>63</v>
      </c>
      <c r="C73" s="59" t="s">
        <v>190</v>
      </c>
      <c r="D73" s="59" t="s">
        <v>190</v>
      </c>
      <c r="E73" s="59" t="s">
        <v>190</v>
      </c>
      <c r="F73" s="59" t="s">
        <v>190</v>
      </c>
      <c r="G73" s="59" t="s">
        <v>190</v>
      </c>
      <c r="H73" s="48">
        <v>5.1273677335075117E-2</v>
      </c>
      <c r="I73" s="48">
        <v>5.5158987670343933E-2</v>
      </c>
      <c r="J73" s="48">
        <v>2.9051000645577793E-2</v>
      </c>
      <c r="K73" s="48">
        <v>5.6973848069738479E-2</v>
      </c>
      <c r="L73" s="48">
        <v>4.2410714285714288E-2</v>
      </c>
      <c r="M73" s="48">
        <v>6.1617458279845959E-2</v>
      </c>
      <c r="N73" s="48">
        <v>3.7086092715231792E-2</v>
      </c>
      <c r="O73" s="48">
        <v>4.1379310344827586E-2</v>
      </c>
      <c r="P73" s="48">
        <v>4.6920821114369501E-2</v>
      </c>
      <c r="Q73" s="48">
        <v>4.0187757201646093E-2</v>
      </c>
    </row>
    <row r="74" spans="1:17" x14ac:dyDescent="0.2">
      <c r="A74" s="56" t="s">
        <v>182</v>
      </c>
      <c r="B74" s="56" t="s">
        <v>64</v>
      </c>
      <c r="C74" s="59" t="s">
        <v>190</v>
      </c>
      <c r="D74" s="59" t="s">
        <v>190</v>
      </c>
      <c r="E74" s="59" t="s">
        <v>190</v>
      </c>
      <c r="F74" s="59" t="s">
        <v>190</v>
      </c>
      <c r="G74" s="59" t="s">
        <v>190</v>
      </c>
      <c r="H74" s="48">
        <v>3.491166077738516E-2</v>
      </c>
      <c r="I74" s="48">
        <v>5.1285634432643938E-2</v>
      </c>
      <c r="J74" s="48">
        <v>4.4553072625698326E-2</v>
      </c>
      <c r="K74" s="48">
        <v>5.1895931358981455E-2</v>
      </c>
      <c r="L74" s="48">
        <v>5.3892215568862277E-2</v>
      </c>
      <c r="M74" s="48">
        <v>5.2646239554317548E-2</v>
      </c>
      <c r="N74" s="48">
        <v>4.6455462423639723E-2</v>
      </c>
      <c r="O74" s="48">
        <v>4.4655514601644457E-2</v>
      </c>
      <c r="P74" s="48">
        <v>3.9730547154248008E-2</v>
      </c>
      <c r="Q74" s="48">
        <v>4.2506210322936791E-2</v>
      </c>
    </row>
    <row r="75" spans="1:17" x14ac:dyDescent="0.2">
      <c r="A75" s="56" t="s">
        <v>182</v>
      </c>
      <c r="B75" s="56" t="s">
        <v>65</v>
      </c>
      <c r="C75" s="59" t="s">
        <v>190</v>
      </c>
      <c r="D75" s="59" t="s">
        <v>190</v>
      </c>
      <c r="E75" s="59" t="s">
        <v>190</v>
      </c>
      <c r="F75" s="59" t="s">
        <v>190</v>
      </c>
      <c r="G75" s="59" t="s">
        <v>190</v>
      </c>
      <c r="H75" s="48">
        <v>4.1568432808040699E-2</v>
      </c>
      <c r="I75" s="48">
        <v>4.2851865533801256E-2</v>
      </c>
      <c r="J75" s="48">
        <v>5.3601541797157315E-2</v>
      </c>
      <c r="K75" s="48">
        <v>4.5481393975191964E-2</v>
      </c>
      <c r="L75" s="48">
        <v>6.3472909376131287E-2</v>
      </c>
      <c r="M75" s="48">
        <v>4.9553894381480591E-2</v>
      </c>
      <c r="N75" s="48">
        <v>6.3653250773993808E-2</v>
      </c>
      <c r="O75" s="48">
        <v>5.8167230788516988E-2</v>
      </c>
      <c r="P75" s="48">
        <v>6.3100303951367787E-2</v>
      </c>
      <c r="Q75" s="48">
        <v>5.6581149609052986E-2</v>
      </c>
    </row>
    <row r="76" spans="1:17" x14ac:dyDescent="0.2">
      <c r="A76" s="56" t="s">
        <v>182</v>
      </c>
      <c r="B76" s="56" t="s">
        <v>66</v>
      </c>
      <c r="C76" s="59" t="s">
        <v>190</v>
      </c>
      <c r="D76" s="59" t="s">
        <v>190</v>
      </c>
      <c r="E76" s="59" t="s">
        <v>190</v>
      </c>
      <c r="F76" s="59" t="s">
        <v>190</v>
      </c>
      <c r="G76" s="59" t="s">
        <v>190</v>
      </c>
      <c r="H76" s="48" t="s">
        <v>192</v>
      </c>
      <c r="I76" s="48" t="s">
        <v>192</v>
      </c>
      <c r="J76" s="48" t="s">
        <v>192</v>
      </c>
      <c r="K76" s="48" t="s">
        <v>192</v>
      </c>
      <c r="L76" s="48" t="s">
        <v>192</v>
      </c>
      <c r="M76" s="48" t="s">
        <v>192</v>
      </c>
      <c r="N76" s="48" t="s">
        <v>192</v>
      </c>
      <c r="O76" s="48" t="s">
        <v>192</v>
      </c>
      <c r="P76" s="48" t="s">
        <v>192</v>
      </c>
      <c r="Q76" s="48" t="s">
        <v>192</v>
      </c>
    </row>
    <row r="77" spans="1:17" x14ac:dyDescent="0.2">
      <c r="A77" s="56" t="s">
        <v>182</v>
      </c>
      <c r="B77" s="56" t="s">
        <v>67</v>
      </c>
      <c r="C77" s="59" t="s">
        <v>190</v>
      </c>
      <c r="D77" s="59" t="s">
        <v>190</v>
      </c>
      <c r="E77" s="59" t="s">
        <v>190</v>
      </c>
      <c r="F77" s="59" t="s">
        <v>190</v>
      </c>
      <c r="G77" s="59" t="s">
        <v>190</v>
      </c>
      <c r="H77" s="48">
        <v>7.629963715283665E-2</v>
      </c>
      <c r="I77" s="48">
        <v>8.0004015257980329E-2</v>
      </c>
      <c r="J77" s="48">
        <v>8.0973509069555E-2</v>
      </c>
      <c r="K77" s="48">
        <v>7.5039166160437376E-2</v>
      </c>
      <c r="L77" s="48">
        <v>8.3211542647470382E-2</v>
      </c>
      <c r="M77" s="48">
        <v>7.9863878839904354E-2</v>
      </c>
      <c r="N77" s="48">
        <v>7.7095205418146018E-2</v>
      </c>
      <c r="O77" s="48">
        <v>8.2952239619612955E-2</v>
      </c>
      <c r="P77" s="48">
        <v>8.3930114828991237E-2</v>
      </c>
      <c r="Q77" s="48">
        <v>8.7467014558069198E-2</v>
      </c>
    </row>
    <row r="78" spans="1:17" x14ac:dyDescent="0.2">
      <c r="A78" s="56" t="s">
        <v>182</v>
      </c>
      <c r="B78" s="56" t="s">
        <v>68</v>
      </c>
      <c r="C78" s="59" t="s">
        <v>190</v>
      </c>
      <c r="D78" s="59" t="s">
        <v>190</v>
      </c>
      <c r="E78" s="59" t="s">
        <v>190</v>
      </c>
      <c r="F78" s="59" t="s">
        <v>190</v>
      </c>
      <c r="G78" s="59" t="s">
        <v>190</v>
      </c>
      <c r="H78" s="48">
        <v>2.7723418134377037E-2</v>
      </c>
      <c r="I78" s="48">
        <v>3.2473734479465138E-2</v>
      </c>
      <c r="J78" s="48">
        <v>2.8146742567994938E-2</v>
      </c>
      <c r="K78" s="48">
        <v>3.0331753554502371E-2</v>
      </c>
      <c r="L78" s="48">
        <v>2.8160000000000001E-2</v>
      </c>
      <c r="M78" s="48">
        <v>2.7423469387755101E-2</v>
      </c>
      <c r="N78" s="48">
        <v>2.5798129635601418E-2</v>
      </c>
      <c r="O78" s="48">
        <v>3.0907278165503489E-2</v>
      </c>
      <c r="P78" s="48">
        <v>2.8031290743155149E-2</v>
      </c>
      <c r="Q78" s="48">
        <v>2.8248587570621469E-2</v>
      </c>
    </row>
    <row r="79" spans="1:17" x14ac:dyDescent="0.2">
      <c r="A79" s="56" t="s">
        <v>182</v>
      </c>
      <c r="B79" s="56" t="s">
        <v>69</v>
      </c>
      <c r="C79" s="59" t="s">
        <v>190</v>
      </c>
      <c r="D79" s="59" t="s">
        <v>190</v>
      </c>
      <c r="E79" s="59" t="s">
        <v>190</v>
      </c>
      <c r="F79" s="59" t="s">
        <v>190</v>
      </c>
      <c r="G79" s="59" t="s">
        <v>190</v>
      </c>
      <c r="H79" s="48">
        <v>5.2348391435937676E-2</v>
      </c>
      <c r="I79" s="48">
        <v>4.6928993423252706E-2</v>
      </c>
      <c r="J79" s="48">
        <v>4.4150355871886121E-2</v>
      </c>
      <c r="K79" s="48">
        <v>4.7531398873971419E-2</v>
      </c>
      <c r="L79" s="48">
        <v>5.5083823209231442E-2</v>
      </c>
      <c r="M79" s="48">
        <v>5.3279558480152832E-2</v>
      </c>
      <c r="N79" s="48">
        <v>7.297416648266726E-2</v>
      </c>
      <c r="O79" s="48">
        <v>6.0526913468089936E-2</v>
      </c>
      <c r="P79" s="48">
        <v>7.7575340896069669E-2</v>
      </c>
      <c r="Q79" s="48">
        <v>6.9152823376708375E-2</v>
      </c>
    </row>
    <row r="80" spans="1:17" x14ac:dyDescent="0.2">
      <c r="A80" s="56" t="s">
        <v>182</v>
      </c>
      <c r="B80" s="56" t="s">
        <v>70</v>
      </c>
      <c r="C80" s="59" t="s">
        <v>190</v>
      </c>
      <c r="D80" s="59" t="s">
        <v>190</v>
      </c>
      <c r="E80" s="59" t="s">
        <v>190</v>
      </c>
      <c r="F80" s="59" t="s">
        <v>190</v>
      </c>
      <c r="G80" s="59" t="s">
        <v>190</v>
      </c>
      <c r="H80" s="48" t="s">
        <v>192</v>
      </c>
      <c r="I80" s="48">
        <v>1.4687882496940025E-2</v>
      </c>
      <c r="J80" s="48">
        <v>1.3221153846153846E-2</v>
      </c>
      <c r="K80" s="48">
        <v>1.8847006651884702E-2</v>
      </c>
      <c r="L80" s="48">
        <v>2.6905829596412557E-2</v>
      </c>
      <c r="M80" s="48">
        <v>2.1420518602029311E-2</v>
      </c>
      <c r="N80" s="48">
        <v>2.2485207100591716E-2</v>
      </c>
      <c r="O80" s="48">
        <v>2.0905923344947737E-2</v>
      </c>
      <c r="P80" s="48">
        <v>4.0494938132733409E-2</v>
      </c>
      <c r="Q80" s="48">
        <v>4.5213066576240531E-2</v>
      </c>
    </row>
    <row r="81" spans="1:17" x14ac:dyDescent="0.2">
      <c r="A81" s="56" t="s">
        <v>182</v>
      </c>
      <c r="B81" s="56" t="s">
        <v>71</v>
      </c>
      <c r="C81" s="59" t="s">
        <v>190</v>
      </c>
      <c r="D81" s="59" t="s">
        <v>190</v>
      </c>
      <c r="E81" s="59" t="s">
        <v>190</v>
      </c>
      <c r="F81" s="59" t="s">
        <v>190</v>
      </c>
      <c r="G81" s="59" t="s">
        <v>190</v>
      </c>
      <c r="H81" s="48" t="s">
        <v>192</v>
      </c>
      <c r="I81" s="48" t="s">
        <v>192</v>
      </c>
      <c r="J81" s="48" t="s">
        <v>192</v>
      </c>
      <c r="K81" s="48" t="s">
        <v>192</v>
      </c>
      <c r="L81" s="48" t="s">
        <v>192</v>
      </c>
      <c r="M81" s="48" t="s">
        <v>192</v>
      </c>
      <c r="N81" s="48" t="s">
        <v>192</v>
      </c>
      <c r="O81" s="48" t="s">
        <v>192</v>
      </c>
      <c r="P81" s="48" t="s">
        <v>192</v>
      </c>
      <c r="Q81" s="48">
        <v>2.3032109470261481E-2</v>
      </c>
    </row>
    <row r="82" spans="1:17" x14ac:dyDescent="0.2">
      <c r="A82" s="56" t="s">
        <v>182</v>
      </c>
      <c r="B82" s="56" t="s">
        <v>72</v>
      </c>
      <c r="C82" s="59" t="s">
        <v>190</v>
      </c>
      <c r="D82" s="59" t="s">
        <v>190</v>
      </c>
      <c r="E82" s="59" t="s">
        <v>190</v>
      </c>
      <c r="F82" s="59" t="s">
        <v>190</v>
      </c>
      <c r="G82" s="59" t="s">
        <v>190</v>
      </c>
      <c r="H82" s="48">
        <v>2.4174528301886794E-2</v>
      </c>
      <c r="I82" s="48">
        <v>2.5338833235120803E-2</v>
      </c>
      <c r="J82" s="48">
        <v>2.318668252080856E-2</v>
      </c>
      <c r="K82" s="48">
        <v>1.7877739331026529E-2</v>
      </c>
      <c r="L82" s="48">
        <v>2.105862265224815E-2</v>
      </c>
      <c r="M82" s="48">
        <v>1.7321016166281754E-2</v>
      </c>
      <c r="N82" s="48">
        <v>1.6119402985074627E-2</v>
      </c>
      <c r="O82" s="48">
        <v>2.0444978953698137E-2</v>
      </c>
      <c r="P82" s="48">
        <v>3.1933767001774097E-2</v>
      </c>
      <c r="Q82" s="48">
        <v>3.9453717754172987E-2</v>
      </c>
    </row>
    <row r="83" spans="1:17" x14ac:dyDescent="0.2">
      <c r="A83" s="56" t="s">
        <v>182</v>
      </c>
      <c r="B83" s="56" t="s">
        <v>73</v>
      </c>
      <c r="C83" s="59" t="s">
        <v>190</v>
      </c>
      <c r="D83" s="59" t="s">
        <v>190</v>
      </c>
      <c r="E83" s="59" t="s">
        <v>190</v>
      </c>
      <c r="F83" s="59" t="s">
        <v>190</v>
      </c>
      <c r="G83" s="59" t="s">
        <v>190</v>
      </c>
      <c r="H83" s="48" t="s">
        <v>192</v>
      </c>
      <c r="I83" s="48" t="s">
        <v>192</v>
      </c>
      <c r="J83" s="48" t="s">
        <v>192</v>
      </c>
      <c r="K83" s="48" t="s">
        <v>192</v>
      </c>
      <c r="L83" s="48" t="s">
        <v>192</v>
      </c>
      <c r="M83" s="48" t="s">
        <v>192</v>
      </c>
      <c r="N83" s="48" t="s">
        <v>192</v>
      </c>
      <c r="O83" s="48" t="s">
        <v>192</v>
      </c>
      <c r="P83" s="48" t="s">
        <v>192</v>
      </c>
      <c r="Q83" s="48" t="s">
        <v>192</v>
      </c>
    </row>
    <row r="84" spans="1:17" x14ac:dyDescent="0.2">
      <c r="A84" s="56" t="s">
        <v>182</v>
      </c>
      <c r="B84" s="56" t="s">
        <v>53</v>
      </c>
      <c r="C84" s="59" t="s">
        <v>190</v>
      </c>
      <c r="D84" s="59" t="s">
        <v>190</v>
      </c>
      <c r="E84" s="59" t="s">
        <v>190</v>
      </c>
      <c r="F84" s="59" t="s">
        <v>190</v>
      </c>
      <c r="G84" s="59" t="s">
        <v>190</v>
      </c>
      <c r="H84" s="48">
        <v>6.7567283652331028E-2</v>
      </c>
      <c r="I84" s="48">
        <v>7.2897196261682243E-2</v>
      </c>
      <c r="J84" s="48">
        <v>6.6763306723289575E-2</v>
      </c>
      <c r="K84" s="48">
        <v>6.9134162540755953E-2</v>
      </c>
      <c r="L84" s="48">
        <v>8.1162024558250973E-2</v>
      </c>
      <c r="M84" s="48">
        <v>7.9540038131553858E-2</v>
      </c>
      <c r="N84" s="48">
        <v>8.0154680919987037E-2</v>
      </c>
      <c r="O84" s="48">
        <v>8.1012197342071726E-2</v>
      </c>
      <c r="P84" s="48">
        <v>7.6754562263847581E-2</v>
      </c>
      <c r="Q84" s="48">
        <v>7.727702214493859E-2</v>
      </c>
    </row>
    <row r="85" spans="1:17" x14ac:dyDescent="0.2">
      <c r="A85" s="56" t="s">
        <v>182</v>
      </c>
      <c r="B85" s="56" t="s">
        <v>74</v>
      </c>
      <c r="C85" s="59" t="s">
        <v>190</v>
      </c>
      <c r="D85" s="59" t="s">
        <v>190</v>
      </c>
      <c r="E85" s="59" t="s">
        <v>190</v>
      </c>
      <c r="F85" s="59" t="s">
        <v>190</v>
      </c>
      <c r="G85" s="59" t="s">
        <v>190</v>
      </c>
      <c r="H85" s="48" t="s">
        <v>192</v>
      </c>
      <c r="I85" s="48" t="s">
        <v>192</v>
      </c>
      <c r="J85" s="48" t="s">
        <v>192</v>
      </c>
      <c r="K85" s="48" t="s">
        <v>192</v>
      </c>
      <c r="L85" s="48" t="s">
        <v>192</v>
      </c>
      <c r="M85" s="48" t="s">
        <v>192</v>
      </c>
      <c r="N85" s="48" t="s">
        <v>192</v>
      </c>
      <c r="O85" s="48" t="s">
        <v>192</v>
      </c>
      <c r="P85" s="48" t="s">
        <v>192</v>
      </c>
      <c r="Q85" s="48" t="s">
        <v>192</v>
      </c>
    </row>
    <row r="86" spans="1:17" x14ac:dyDescent="0.2">
      <c r="A86" s="56" t="s">
        <v>182</v>
      </c>
      <c r="B86" s="56" t="s">
        <v>75</v>
      </c>
      <c r="C86" s="59" t="s">
        <v>190</v>
      </c>
      <c r="D86" s="59" t="s">
        <v>190</v>
      </c>
      <c r="E86" s="59" t="s">
        <v>190</v>
      </c>
      <c r="F86" s="59" t="s">
        <v>190</v>
      </c>
      <c r="G86" s="59" t="s">
        <v>190</v>
      </c>
      <c r="H86" s="48">
        <v>1.3718070009460738E-2</v>
      </c>
      <c r="I86" s="48">
        <v>1.5485687470671047E-2</v>
      </c>
      <c r="J86" s="48">
        <v>3.4144059869036486E-2</v>
      </c>
      <c r="K86" s="48">
        <v>2.2770398481973434E-2</v>
      </c>
      <c r="L86" s="48">
        <v>2.0653218059558116E-2</v>
      </c>
      <c r="M86" s="48">
        <v>5.2899287894201424E-2</v>
      </c>
      <c r="N86" s="48">
        <v>6.1979166666666669E-2</v>
      </c>
      <c r="O86" s="48">
        <v>6.701298701298701E-2</v>
      </c>
      <c r="P86" s="48">
        <v>3.4697048161574311E-2</v>
      </c>
      <c r="Q86" s="48">
        <v>2.540770503427086E-2</v>
      </c>
    </row>
    <row r="87" spans="1:17" x14ac:dyDescent="0.2">
      <c r="A87" s="56" t="s">
        <v>182</v>
      </c>
      <c r="B87" s="56" t="s">
        <v>76</v>
      </c>
      <c r="C87" s="59" t="s">
        <v>190</v>
      </c>
      <c r="D87" s="59" t="s">
        <v>190</v>
      </c>
      <c r="E87" s="59" t="s">
        <v>190</v>
      </c>
      <c r="F87" s="59" t="s">
        <v>190</v>
      </c>
      <c r="G87" s="59" t="s">
        <v>190</v>
      </c>
      <c r="H87" s="48">
        <v>2.960222016651249E-2</v>
      </c>
      <c r="I87" s="48">
        <v>5.3384175405147762E-2</v>
      </c>
      <c r="J87" s="48" t="s">
        <v>192</v>
      </c>
      <c r="K87" s="48" t="s">
        <v>192</v>
      </c>
      <c r="L87" s="48">
        <v>3.1822565091610418E-2</v>
      </c>
      <c r="M87" s="48">
        <v>3.0303030303030304E-2</v>
      </c>
      <c r="N87" s="48">
        <v>4.2574257425742577E-2</v>
      </c>
      <c r="O87" s="48">
        <v>3.7336024217961658E-2</v>
      </c>
      <c r="P87" s="48">
        <v>4.2743538767395624E-2</v>
      </c>
      <c r="Q87" s="48">
        <v>4.2872454448017148E-2</v>
      </c>
    </row>
    <row r="88" spans="1:17" x14ac:dyDescent="0.2">
      <c r="A88" s="56" t="s">
        <v>182</v>
      </c>
      <c r="B88" s="56" t="s">
        <v>77</v>
      </c>
      <c r="C88" s="59" t="s">
        <v>190</v>
      </c>
      <c r="D88" s="59" t="s">
        <v>190</v>
      </c>
      <c r="E88" s="59" t="s">
        <v>190</v>
      </c>
      <c r="F88" s="59" t="s">
        <v>190</v>
      </c>
      <c r="G88" s="59" t="s">
        <v>190</v>
      </c>
      <c r="H88" s="48">
        <v>4.2029957522915266E-2</v>
      </c>
      <c r="I88" s="48">
        <v>5.1782111634162742E-2</v>
      </c>
      <c r="J88" s="48">
        <v>4.9286351471900088E-2</v>
      </c>
      <c r="K88" s="48">
        <v>4.8535198950590296E-2</v>
      </c>
      <c r="L88" s="48">
        <v>5.2374893977947416E-2</v>
      </c>
      <c r="M88" s="48">
        <v>5.6761986669533436E-2</v>
      </c>
      <c r="N88" s="48">
        <v>5.4224738675958187E-2</v>
      </c>
      <c r="O88" s="48">
        <v>5.2072032978954221E-2</v>
      </c>
      <c r="P88" s="48">
        <v>4.5912894228706286E-2</v>
      </c>
      <c r="Q88" s="48">
        <v>4.7403439406500436E-2</v>
      </c>
    </row>
    <row r="89" spans="1:17" x14ac:dyDescent="0.2">
      <c r="A89" s="56" t="s">
        <v>182</v>
      </c>
      <c r="B89" s="56" t="s">
        <v>78</v>
      </c>
      <c r="C89" s="59" t="s">
        <v>190</v>
      </c>
      <c r="D89" s="59" t="s">
        <v>190</v>
      </c>
      <c r="E89" s="59" t="s">
        <v>190</v>
      </c>
      <c r="F89" s="59" t="s">
        <v>190</v>
      </c>
      <c r="G89" s="59" t="s">
        <v>190</v>
      </c>
      <c r="H89" s="48">
        <v>7.780921584478577E-2</v>
      </c>
      <c r="I89" s="48">
        <v>7.6522435897435903E-2</v>
      </c>
      <c r="J89" s="48">
        <v>7.7271831263552138E-2</v>
      </c>
      <c r="K89" s="48">
        <v>8.3750751352434386E-2</v>
      </c>
      <c r="L89" s="48">
        <v>9.4849870749652024E-2</v>
      </c>
      <c r="M89" s="48">
        <v>8.8952071486596257E-2</v>
      </c>
      <c r="N89" s="48">
        <v>9.5179233621755246E-2</v>
      </c>
      <c r="O89" s="48">
        <v>9.2489137181874612E-2</v>
      </c>
      <c r="P89" s="48">
        <v>0.10626304801670146</v>
      </c>
      <c r="Q89" s="48">
        <v>9.6810096810096807E-2</v>
      </c>
    </row>
    <row r="90" spans="1:17" x14ac:dyDescent="0.2">
      <c r="A90" s="56" t="s">
        <v>182</v>
      </c>
      <c r="B90" s="56" t="s">
        <v>79</v>
      </c>
      <c r="C90" s="59" t="s">
        <v>190</v>
      </c>
      <c r="D90" s="59" t="s">
        <v>190</v>
      </c>
      <c r="E90" s="59" t="s">
        <v>190</v>
      </c>
      <c r="F90" s="59" t="s">
        <v>190</v>
      </c>
      <c r="G90" s="59" t="s">
        <v>190</v>
      </c>
      <c r="H90" s="48">
        <v>7.0022229279136233E-2</v>
      </c>
      <c r="I90" s="48">
        <v>6.7916041979010494E-2</v>
      </c>
      <c r="J90" s="48">
        <v>6.2295081967213117E-2</v>
      </c>
      <c r="K90" s="48">
        <v>6.330289428880978E-2</v>
      </c>
      <c r="L90" s="48">
        <v>6.8533415841584164E-2</v>
      </c>
      <c r="M90" s="48">
        <v>6.8825277647426866E-2</v>
      </c>
      <c r="N90" s="48">
        <v>5.6455274708642346E-2</v>
      </c>
      <c r="O90" s="48">
        <v>6.4194221030682161E-2</v>
      </c>
      <c r="P90" s="48">
        <v>7.5922240930659732E-2</v>
      </c>
      <c r="Q90" s="48">
        <v>7.0385359845152207E-2</v>
      </c>
    </row>
    <row r="91" spans="1:17" x14ac:dyDescent="0.2">
      <c r="A91" s="56" t="s">
        <v>182</v>
      </c>
      <c r="B91" s="56" t="s">
        <v>80</v>
      </c>
      <c r="C91" s="59" t="s">
        <v>190</v>
      </c>
      <c r="D91" s="59" t="s">
        <v>190</v>
      </c>
      <c r="E91" s="59" t="s">
        <v>190</v>
      </c>
      <c r="F91" s="59" t="s">
        <v>190</v>
      </c>
      <c r="G91" s="59" t="s">
        <v>190</v>
      </c>
      <c r="H91" s="48" t="s">
        <v>192</v>
      </c>
      <c r="I91" s="48" t="s">
        <v>192</v>
      </c>
      <c r="J91" s="48" t="s">
        <v>192</v>
      </c>
      <c r="K91" s="48" t="s">
        <v>192</v>
      </c>
      <c r="L91" s="48" t="s">
        <v>192</v>
      </c>
      <c r="M91" s="48" t="s">
        <v>192</v>
      </c>
      <c r="N91" s="48" t="s">
        <v>192</v>
      </c>
      <c r="O91" s="48" t="s">
        <v>192</v>
      </c>
      <c r="P91" s="48" t="s">
        <v>192</v>
      </c>
      <c r="Q91" s="48" t="s">
        <v>192</v>
      </c>
    </row>
    <row r="92" spans="1:17" x14ac:dyDescent="0.2">
      <c r="A92" s="56" t="s">
        <v>182</v>
      </c>
      <c r="B92" s="56" t="s">
        <v>81</v>
      </c>
      <c r="C92" s="59" t="s">
        <v>190</v>
      </c>
      <c r="D92" s="59" t="s">
        <v>190</v>
      </c>
      <c r="E92" s="59" t="s">
        <v>190</v>
      </c>
      <c r="F92" s="59" t="s">
        <v>190</v>
      </c>
      <c r="G92" s="59" t="s">
        <v>190</v>
      </c>
      <c r="H92" s="48">
        <v>9.9851827461310508E-2</v>
      </c>
      <c r="I92" s="48">
        <v>9.0841828345938833E-2</v>
      </c>
      <c r="J92" s="48">
        <v>9.446464646464646E-2</v>
      </c>
      <c r="K92" s="48">
        <v>9.1374619939190271E-2</v>
      </c>
      <c r="L92" s="48">
        <v>8.2464379527182996E-2</v>
      </c>
      <c r="M92" s="48">
        <v>7.992094861660079E-2</v>
      </c>
      <c r="N92" s="48">
        <v>8.5905056591482773E-2</v>
      </c>
      <c r="O92" s="48">
        <v>8.5421318117919462E-2</v>
      </c>
      <c r="P92" s="48">
        <v>8.7060571051328597E-2</v>
      </c>
      <c r="Q92" s="48">
        <v>8.9518490082093768E-2</v>
      </c>
    </row>
    <row r="93" spans="1:17" x14ac:dyDescent="0.2">
      <c r="A93" s="56" t="s">
        <v>182</v>
      </c>
      <c r="B93" s="56" t="s">
        <v>82</v>
      </c>
      <c r="C93" s="59" t="s">
        <v>190</v>
      </c>
      <c r="D93" s="59" t="s">
        <v>190</v>
      </c>
      <c r="E93" s="59" t="s">
        <v>190</v>
      </c>
      <c r="F93" s="59" t="s">
        <v>190</v>
      </c>
      <c r="G93" s="59" t="s">
        <v>190</v>
      </c>
      <c r="H93" s="48" t="s">
        <v>192</v>
      </c>
      <c r="I93" s="48" t="s">
        <v>192</v>
      </c>
      <c r="J93" s="48" t="s">
        <v>192</v>
      </c>
      <c r="K93" s="48" t="s">
        <v>192</v>
      </c>
      <c r="L93" s="48" t="s">
        <v>192</v>
      </c>
      <c r="M93" s="48" t="s">
        <v>192</v>
      </c>
      <c r="N93" s="48" t="s">
        <v>192</v>
      </c>
      <c r="O93" s="48" t="s">
        <v>192</v>
      </c>
      <c r="P93" s="48" t="s">
        <v>192</v>
      </c>
      <c r="Q93" s="48" t="s">
        <v>192</v>
      </c>
    </row>
    <row r="94" spans="1:17" x14ac:dyDescent="0.2">
      <c r="A94" s="56" t="s">
        <v>182</v>
      </c>
      <c r="B94" s="56" t="s">
        <v>83</v>
      </c>
      <c r="C94" s="59" t="s">
        <v>190</v>
      </c>
      <c r="D94" s="59" t="s">
        <v>190</v>
      </c>
      <c r="E94" s="59" t="s">
        <v>190</v>
      </c>
      <c r="F94" s="59" t="s">
        <v>190</v>
      </c>
      <c r="G94" s="59" t="s">
        <v>190</v>
      </c>
      <c r="H94" s="48" t="s">
        <v>192</v>
      </c>
      <c r="I94" s="48" t="s">
        <v>192</v>
      </c>
      <c r="J94" s="48" t="s">
        <v>192</v>
      </c>
      <c r="K94" s="48" t="s">
        <v>192</v>
      </c>
      <c r="L94" s="48" t="s">
        <v>192</v>
      </c>
      <c r="M94" s="48" t="s">
        <v>192</v>
      </c>
      <c r="N94" s="48" t="s">
        <v>192</v>
      </c>
      <c r="O94" s="48" t="s">
        <v>192</v>
      </c>
      <c r="P94" s="48" t="s">
        <v>192</v>
      </c>
      <c r="Q94" s="48" t="s">
        <v>192</v>
      </c>
    </row>
    <row r="95" spans="1:17" x14ac:dyDescent="0.2">
      <c r="A95" s="56" t="s">
        <v>182</v>
      </c>
      <c r="B95" s="56" t="s">
        <v>84</v>
      </c>
      <c r="C95" s="59" t="s">
        <v>190</v>
      </c>
      <c r="D95" s="59" t="s">
        <v>190</v>
      </c>
      <c r="E95" s="59" t="s">
        <v>190</v>
      </c>
      <c r="F95" s="59" t="s">
        <v>190</v>
      </c>
      <c r="G95" s="59" t="s">
        <v>190</v>
      </c>
      <c r="H95" s="48">
        <v>1.7543859649122806E-2</v>
      </c>
      <c r="I95" s="48">
        <v>2.2288261515601784E-2</v>
      </c>
      <c r="J95" s="48">
        <v>1.951951951951952E-2</v>
      </c>
      <c r="K95" s="48">
        <v>2.2156573116691284E-2</v>
      </c>
      <c r="L95" s="48">
        <v>2.3774145616641901E-2</v>
      </c>
      <c r="M95" s="48">
        <v>2.2288261515601784E-2</v>
      </c>
      <c r="N95" s="48">
        <v>1.7830609212481426E-2</v>
      </c>
      <c r="O95" s="48">
        <v>1.8209408194233688E-2</v>
      </c>
      <c r="P95" s="48">
        <v>1.5082956259426848E-2</v>
      </c>
      <c r="Q95" s="48">
        <v>1.4909795735798419E-2</v>
      </c>
    </row>
    <row r="96" spans="1:17" x14ac:dyDescent="0.2">
      <c r="A96" s="56" t="s">
        <v>182</v>
      </c>
      <c r="B96" s="56" t="s">
        <v>15</v>
      </c>
      <c r="C96" s="59" t="s">
        <v>190</v>
      </c>
      <c r="D96" s="59" t="s">
        <v>190</v>
      </c>
      <c r="E96" s="59" t="s">
        <v>190</v>
      </c>
      <c r="F96" s="59" t="s">
        <v>190</v>
      </c>
      <c r="G96" s="59" t="s">
        <v>190</v>
      </c>
      <c r="H96" s="48" t="s">
        <v>192</v>
      </c>
      <c r="I96" s="48" t="s">
        <v>192</v>
      </c>
      <c r="J96" s="48" t="s">
        <v>192</v>
      </c>
      <c r="K96" s="48" t="s">
        <v>192</v>
      </c>
      <c r="L96" s="48">
        <v>2.289156626506024E-2</v>
      </c>
      <c r="M96" s="48" t="s">
        <v>192</v>
      </c>
      <c r="N96" s="48">
        <v>1.9115890083632018E-2</v>
      </c>
      <c r="O96" s="48">
        <v>2.0359281437125749E-2</v>
      </c>
      <c r="P96" s="48" t="s">
        <v>192</v>
      </c>
      <c r="Q96" s="48">
        <v>2.0168466010202873E-2</v>
      </c>
    </row>
    <row r="97" spans="1:17" x14ac:dyDescent="0.2">
      <c r="A97" s="56" t="s">
        <v>182</v>
      </c>
      <c r="B97" s="56" t="s">
        <v>85</v>
      </c>
      <c r="C97" s="59" t="s">
        <v>190</v>
      </c>
      <c r="D97" s="59" t="s">
        <v>190</v>
      </c>
      <c r="E97" s="59" t="s">
        <v>190</v>
      </c>
      <c r="F97" s="59" t="s">
        <v>190</v>
      </c>
      <c r="G97" s="59" t="s">
        <v>190</v>
      </c>
      <c r="H97" s="48">
        <v>2.0309050772626933E-2</v>
      </c>
      <c r="I97" s="48">
        <v>4.5385450597176982E-2</v>
      </c>
      <c r="J97" s="48">
        <v>2.717391304347826E-2</v>
      </c>
      <c r="K97" s="48">
        <v>2.4265644955300127E-2</v>
      </c>
      <c r="L97" s="48">
        <v>2.4765868886576482E-2</v>
      </c>
      <c r="M97" s="48">
        <v>2.6830282861896839E-2</v>
      </c>
      <c r="N97" s="48">
        <v>2.696871628910464E-2</v>
      </c>
      <c r="O97" s="48">
        <v>2.5091143040960755E-2</v>
      </c>
      <c r="P97" s="48">
        <v>2.0364870598218072E-2</v>
      </c>
      <c r="Q97" s="48">
        <v>2.2079697192724214E-2</v>
      </c>
    </row>
    <row r="98" spans="1:17" x14ac:dyDescent="0.2">
      <c r="A98" s="56" t="s">
        <v>182</v>
      </c>
      <c r="B98" s="56" t="s">
        <v>86</v>
      </c>
      <c r="C98" s="59" t="s">
        <v>190</v>
      </c>
      <c r="D98" s="59" t="s">
        <v>190</v>
      </c>
      <c r="E98" s="59" t="s">
        <v>190</v>
      </c>
      <c r="F98" s="59" t="s">
        <v>190</v>
      </c>
      <c r="G98" s="59" t="s">
        <v>190</v>
      </c>
      <c r="H98" s="48">
        <v>2.2455089820359281E-2</v>
      </c>
      <c r="I98" s="48">
        <v>1.1851851851851851E-2</v>
      </c>
      <c r="J98" s="48">
        <v>1.8518518518518517E-2</v>
      </c>
      <c r="K98" s="48">
        <v>1.5953589557650472E-2</v>
      </c>
      <c r="L98" s="48">
        <v>2.6925953627524309E-2</v>
      </c>
      <c r="M98" s="48">
        <v>2.7169811320754716E-2</v>
      </c>
      <c r="N98" s="48">
        <v>2.2376543209876542E-2</v>
      </c>
      <c r="O98" s="48">
        <v>2.6113671274961597E-2</v>
      </c>
      <c r="P98" s="48">
        <v>2.1909233176838811E-2</v>
      </c>
      <c r="Q98" s="48">
        <v>2.6591584545596746E-2</v>
      </c>
    </row>
    <row r="99" spans="1:17" x14ac:dyDescent="0.2">
      <c r="A99" s="56" t="s">
        <v>182</v>
      </c>
      <c r="B99" s="56" t="s">
        <v>87</v>
      </c>
      <c r="C99" s="59" t="s">
        <v>190</v>
      </c>
      <c r="D99" s="59" t="s">
        <v>190</v>
      </c>
      <c r="E99" s="59" t="s">
        <v>190</v>
      </c>
      <c r="F99" s="59" t="s">
        <v>190</v>
      </c>
      <c r="G99" s="59" t="s">
        <v>190</v>
      </c>
      <c r="H99" s="48" t="s">
        <v>192</v>
      </c>
      <c r="I99" s="48" t="s">
        <v>192</v>
      </c>
      <c r="J99" s="48" t="s">
        <v>192</v>
      </c>
      <c r="K99" s="48" t="s">
        <v>192</v>
      </c>
      <c r="L99" s="48" t="s">
        <v>192</v>
      </c>
      <c r="M99" s="48" t="s">
        <v>192</v>
      </c>
      <c r="N99" s="48" t="s">
        <v>192</v>
      </c>
      <c r="O99" s="48" t="s">
        <v>192</v>
      </c>
      <c r="P99" s="48" t="s">
        <v>192</v>
      </c>
      <c r="Q99" s="48" t="s">
        <v>192</v>
      </c>
    </row>
    <row r="100" spans="1:17" x14ac:dyDescent="0.2">
      <c r="A100" s="56" t="s">
        <v>182</v>
      </c>
      <c r="B100" s="56" t="s">
        <v>88</v>
      </c>
      <c r="C100" s="59" t="s">
        <v>190</v>
      </c>
      <c r="D100" s="59" t="s">
        <v>190</v>
      </c>
      <c r="E100" s="59" t="s">
        <v>190</v>
      </c>
      <c r="F100" s="59" t="s">
        <v>190</v>
      </c>
      <c r="G100" s="59" t="s">
        <v>190</v>
      </c>
      <c r="H100" s="48" t="s">
        <v>192</v>
      </c>
      <c r="I100" s="48" t="s">
        <v>192</v>
      </c>
      <c r="J100" s="48" t="s">
        <v>192</v>
      </c>
      <c r="K100" s="48" t="s">
        <v>192</v>
      </c>
      <c r="L100" s="48" t="s">
        <v>192</v>
      </c>
      <c r="M100" s="48" t="s">
        <v>192</v>
      </c>
      <c r="N100" s="48" t="s">
        <v>192</v>
      </c>
      <c r="O100" s="48" t="s">
        <v>192</v>
      </c>
      <c r="P100" s="48" t="s">
        <v>192</v>
      </c>
      <c r="Q100" s="48" t="s">
        <v>192</v>
      </c>
    </row>
    <row r="101" spans="1:17" x14ac:dyDescent="0.2">
      <c r="A101" s="56" t="s">
        <v>182</v>
      </c>
      <c r="B101" s="56" t="s">
        <v>18</v>
      </c>
      <c r="C101" s="59" t="s">
        <v>190</v>
      </c>
      <c r="D101" s="59" t="s">
        <v>190</v>
      </c>
      <c r="E101" s="59" t="s">
        <v>190</v>
      </c>
      <c r="F101" s="59" t="s">
        <v>190</v>
      </c>
      <c r="G101" s="59" t="s">
        <v>190</v>
      </c>
      <c r="H101" s="48">
        <v>8.6956521739130432E-2</v>
      </c>
      <c r="I101" s="48">
        <v>0.12927054478301014</v>
      </c>
      <c r="J101" s="48">
        <v>9.4827586206896547E-2</v>
      </c>
      <c r="K101" s="48">
        <v>6.2886597938144329E-2</v>
      </c>
      <c r="L101" s="48">
        <v>7.0346320346320351E-2</v>
      </c>
      <c r="M101" s="48" t="s">
        <v>192</v>
      </c>
      <c r="N101" s="48">
        <v>7.8091106290672452E-2</v>
      </c>
      <c r="O101" s="48">
        <v>7.7864293659621803E-2</v>
      </c>
      <c r="P101" s="48">
        <v>4.0173724212812158E-2</v>
      </c>
      <c r="Q101" s="48">
        <v>4.9867021276595744E-2</v>
      </c>
    </row>
    <row r="102" spans="1:17" x14ac:dyDescent="0.2">
      <c r="A102" s="56" t="s">
        <v>182</v>
      </c>
      <c r="B102" s="56" t="s">
        <v>89</v>
      </c>
      <c r="C102" s="59" t="s">
        <v>190</v>
      </c>
      <c r="D102" s="59" t="s">
        <v>190</v>
      </c>
      <c r="E102" s="59" t="s">
        <v>190</v>
      </c>
      <c r="F102" s="59" t="s">
        <v>190</v>
      </c>
      <c r="G102" s="59" t="s">
        <v>190</v>
      </c>
      <c r="H102" s="48">
        <v>1.7574692442882251E-2</v>
      </c>
      <c r="I102" s="48">
        <v>1.607717041800643E-2</v>
      </c>
      <c r="J102" s="48">
        <v>1.8976423231742381E-2</v>
      </c>
      <c r="K102" s="48">
        <v>1.8927444794952682E-2</v>
      </c>
      <c r="L102" s="48">
        <v>1.6304347826086956E-2</v>
      </c>
      <c r="M102" s="48">
        <v>1.6172506738544475E-2</v>
      </c>
      <c r="N102" s="48">
        <v>1.4359563469270534E-2</v>
      </c>
      <c r="O102" s="48">
        <v>1.3281682346430549E-2</v>
      </c>
      <c r="P102" s="48">
        <v>1.2806830309498399E-2</v>
      </c>
      <c r="Q102" s="48">
        <v>1.5053763440860216E-2</v>
      </c>
    </row>
    <row r="103" spans="1:17" x14ac:dyDescent="0.2">
      <c r="A103" s="56" t="s">
        <v>182</v>
      </c>
      <c r="B103" s="56" t="s">
        <v>90</v>
      </c>
      <c r="C103" s="59" t="s">
        <v>190</v>
      </c>
      <c r="D103" s="59" t="s">
        <v>190</v>
      </c>
      <c r="E103" s="59" t="s">
        <v>190</v>
      </c>
      <c r="F103" s="59" t="s">
        <v>190</v>
      </c>
      <c r="G103" s="59" t="s">
        <v>190</v>
      </c>
      <c r="H103" s="48">
        <v>0.12014787430683918</v>
      </c>
      <c r="I103" s="48">
        <v>0.12969924812030076</v>
      </c>
      <c r="J103" s="48">
        <v>6.4646464646464646E-2</v>
      </c>
      <c r="K103" s="48">
        <v>7.459677419354839E-2</v>
      </c>
      <c r="L103" s="48">
        <v>8.0321285140562249E-2</v>
      </c>
      <c r="M103" s="48">
        <v>7.9831932773109238E-2</v>
      </c>
      <c r="N103" s="48">
        <v>7.6923076923076927E-2</v>
      </c>
      <c r="O103" s="48">
        <v>7.7894736842105267E-2</v>
      </c>
      <c r="P103" s="48">
        <v>0.10208333333333333</v>
      </c>
      <c r="Q103" s="48">
        <v>7.3289902280130298E-2</v>
      </c>
    </row>
    <row r="104" spans="1:17" x14ac:dyDescent="0.2">
      <c r="A104" s="56" t="s">
        <v>182</v>
      </c>
      <c r="B104" s="56" t="s">
        <v>91</v>
      </c>
      <c r="C104" s="59" t="s">
        <v>190</v>
      </c>
      <c r="D104" s="59" t="s">
        <v>190</v>
      </c>
      <c r="E104" s="59" t="s">
        <v>190</v>
      </c>
      <c r="F104" s="59" t="s">
        <v>190</v>
      </c>
      <c r="G104" s="59" t="s">
        <v>190</v>
      </c>
      <c r="H104" s="48" t="s">
        <v>192</v>
      </c>
      <c r="I104" s="48">
        <v>4.1036717062634988E-2</v>
      </c>
      <c r="J104" s="48" t="s">
        <v>192</v>
      </c>
      <c r="K104" s="48">
        <v>3.6559139784946237E-2</v>
      </c>
      <c r="L104" s="48">
        <v>3.5269709543568464E-2</v>
      </c>
      <c r="M104" s="48">
        <v>3.3898305084745763E-2</v>
      </c>
      <c r="N104" s="48">
        <v>3.2327586206896554E-2</v>
      </c>
      <c r="O104" s="48">
        <v>3.1847133757961783E-2</v>
      </c>
      <c r="P104" s="48">
        <v>3.9665970772442591E-2</v>
      </c>
      <c r="Q104" s="48">
        <v>3.8014311270125223E-2</v>
      </c>
    </row>
    <row r="105" spans="1:17" x14ac:dyDescent="0.2">
      <c r="A105" s="56" t="s">
        <v>182</v>
      </c>
      <c r="B105" s="56" t="s">
        <v>92</v>
      </c>
      <c r="C105" s="59" t="s">
        <v>190</v>
      </c>
      <c r="D105" s="59" t="s">
        <v>190</v>
      </c>
      <c r="E105" s="59" t="s">
        <v>190</v>
      </c>
      <c r="F105" s="59" t="s">
        <v>190</v>
      </c>
      <c r="G105" s="59" t="s">
        <v>190</v>
      </c>
      <c r="H105" s="48" t="s">
        <v>192</v>
      </c>
      <c r="I105" s="48" t="s">
        <v>192</v>
      </c>
      <c r="J105" s="48" t="s">
        <v>192</v>
      </c>
      <c r="K105" s="48" t="s">
        <v>192</v>
      </c>
      <c r="L105" s="48" t="s">
        <v>192</v>
      </c>
      <c r="M105" s="48" t="s">
        <v>192</v>
      </c>
      <c r="N105" s="48" t="s">
        <v>192</v>
      </c>
      <c r="O105" s="48" t="s">
        <v>192</v>
      </c>
      <c r="P105" s="48" t="s">
        <v>192</v>
      </c>
      <c r="Q105" s="48" t="s">
        <v>192</v>
      </c>
    </row>
    <row r="106" spans="1:17" x14ac:dyDescent="0.2">
      <c r="A106" s="56" t="s">
        <v>182</v>
      </c>
      <c r="B106" s="56" t="s">
        <v>93</v>
      </c>
      <c r="C106" s="59" t="s">
        <v>190</v>
      </c>
      <c r="D106" s="59" t="s">
        <v>190</v>
      </c>
      <c r="E106" s="59" t="s">
        <v>190</v>
      </c>
      <c r="F106" s="59" t="s">
        <v>190</v>
      </c>
      <c r="G106" s="59" t="s">
        <v>190</v>
      </c>
      <c r="H106" s="48" t="s">
        <v>192</v>
      </c>
      <c r="I106" s="48" t="s">
        <v>192</v>
      </c>
      <c r="J106" s="48" t="s">
        <v>192</v>
      </c>
      <c r="K106" s="48" t="s">
        <v>192</v>
      </c>
      <c r="L106" s="48" t="s">
        <v>192</v>
      </c>
      <c r="M106" s="48" t="s">
        <v>192</v>
      </c>
      <c r="N106" s="48" t="s">
        <v>192</v>
      </c>
      <c r="O106" s="48" t="s">
        <v>192</v>
      </c>
      <c r="P106" s="48" t="s">
        <v>192</v>
      </c>
      <c r="Q106" s="48" t="s">
        <v>192</v>
      </c>
    </row>
    <row r="107" spans="1:17" x14ac:dyDescent="0.2">
      <c r="A107" s="56" t="s">
        <v>182</v>
      </c>
      <c r="B107" s="56" t="s">
        <v>94</v>
      </c>
      <c r="C107" s="59" t="s">
        <v>190</v>
      </c>
      <c r="D107" s="59" t="s">
        <v>190</v>
      </c>
      <c r="E107" s="59" t="s">
        <v>190</v>
      </c>
      <c r="F107" s="59" t="s">
        <v>190</v>
      </c>
      <c r="G107" s="59" t="s">
        <v>190</v>
      </c>
      <c r="H107" s="48" t="s">
        <v>192</v>
      </c>
      <c r="I107" s="48" t="s">
        <v>192</v>
      </c>
      <c r="J107" s="48" t="s">
        <v>192</v>
      </c>
      <c r="K107" s="48" t="s">
        <v>192</v>
      </c>
      <c r="L107" s="48">
        <v>2.3676880222841225E-2</v>
      </c>
      <c r="M107" s="48">
        <v>2.3776223776223775E-2</v>
      </c>
      <c r="N107" s="48">
        <v>2.2941970310391364E-2</v>
      </c>
      <c r="O107" s="48">
        <v>2.4161073825503355E-2</v>
      </c>
      <c r="P107" s="48">
        <v>2.3622047244094488E-2</v>
      </c>
      <c r="Q107" s="48">
        <v>4.0280665280665283E-2</v>
      </c>
    </row>
    <row r="108" spans="1:17" x14ac:dyDescent="0.2">
      <c r="A108" s="56" t="s">
        <v>182</v>
      </c>
      <c r="B108" s="56" t="s">
        <v>95</v>
      </c>
      <c r="C108" s="59" t="s">
        <v>190</v>
      </c>
      <c r="D108" s="59" t="s">
        <v>190</v>
      </c>
      <c r="E108" s="59" t="s">
        <v>190</v>
      </c>
      <c r="F108" s="59" t="s">
        <v>190</v>
      </c>
      <c r="G108" s="59" t="s">
        <v>190</v>
      </c>
      <c r="H108" s="48" t="s">
        <v>192</v>
      </c>
      <c r="I108" s="48" t="s">
        <v>192</v>
      </c>
      <c r="J108" s="48" t="s">
        <v>192</v>
      </c>
      <c r="K108" s="48" t="s">
        <v>192</v>
      </c>
      <c r="L108" s="48" t="s">
        <v>192</v>
      </c>
      <c r="M108" s="48" t="s">
        <v>192</v>
      </c>
      <c r="N108" s="48" t="s">
        <v>192</v>
      </c>
      <c r="O108" s="48" t="s">
        <v>192</v>
      </c>
      <c r="P108" s="48" t="s">
        <v>192</v>
      </c>
      <c r="Q108" s="48" t="s">
        <v>192</v>
      </c>
    </row>
    <row r="109" spans="1:17" ht="27" customHeight="1" x14ac:dyDescent="0.2">
      <c r="A109" s="57" t="s">
        <v>183</v>
      </c>
      <c r="B109" s="42" t="s">
        <v>112</v>
      </c>
      <c r="C109" s="59" t="s">
        <v>190</v>
      </c>
      <c r="D109" s="59" t="s">
        <v>190</v>
      </c>
      <c r="E109" s="59" t="s">
        <v>190</v>
      </c>
      <c r="F109" s="59" t="s">
        <v>190</v>
      </c>
      <c r="G109" s="59" t="s">
        <v>190</v>
      </c>
      <c r="H109" s="48">
        <v>1.2608695652173913E-2</v>
      </c>
      <c r="I109" s="48">
        <v>1.7241379310344827E-2</v>
      </c>
      <c r="J109" s="48">
        <v>1.2334801762114538E-2</v>
      </c>
      <c r="K109" s="48">
        <v>1.4146772767462422E-2</v>
      </c>
      <c r="L109" s="48">
        <v>1.6321129245699163E-2</v>
      </c>
      <c r="M109" s="48">
        <v>1.5845070422535211E-2</v>
      </c>
      <c r="N109" s="48">
        <v>2.3872679045092837E-2</v>
      </c>
      <c r="O109" s="48">
        <v>3.5366931918656058E-2</v>
      </c>
      <c r="P109" s="48">
        <v>3.5651408450704226E-2</v>
      </c>
      <c r="Q109" s="48">
        <v>1.4496692941922623E-2</v>
      </c>
    </row>
    <row r="110" spans="1:17" x14ac:dyDescent="0.2">
      <c r="A110" s="56" t="s">
        <v>183</v>
      </c>
      <c r="B110" s="42" t="s">
        <v>113</v>
      </c>
      <c r="C110" s="59" t="s">
        <v>190</v>
      </c>
      <c r="D110" s="59" t="s">
        <v>190</v>
      </c>
      <c r="E110" s="59" t="s">
        <v>190</v>
      </c>
      <c r="F110" s="59" t="s">
        <v>190</v>
      </c>
      <c r="G110" s="59" t="s">
        <v>190</v>
      </c>
      <c r="H110" s="48">
        <v>1.7964071856287425E-2</v>
      </c>
      <c r="I110" s="48">
        <v>2.4369016536118365E-2</v>
      </c>
      <c r="J110" s="48">
        <v>2.3376623376623377E-2</v>
      </c>
      <c r="K110" s="48">
        <v>2.056555269922879E-2</v>
      </c>
      <c r="L110" s="48">
        <v>2.2537562604340568E-2</v>
      </c>
      <c r="M110" s="48">
        <v>2.3708721422523286E-2</v>
      </c>
      <c r="N110" s="48">
        <v>2.2222222222222223E-2</v>
      </c>
      <c r="O110" s="48">
        <v>2.3057216054654141E-2</v>
      </c>
      <c r="P110" s="48">
        <v>2.4786324786324785E-2</v>
      </c>
      <c r="Q110" s="48">
        <v>2.1731571627260082E-2</v>
      </c>
    </row>
    <row r="111" spans="1:17" x14ac:dyDescent="0.2">
      <c r="A111" s="56" t="s">
        <v>183</v>
      </c>
      <c r="B111" s="42" t="s">
        <v>114</v>
      </c>
      <c r="C111" s="59" t="s">
        <v>190</v>
      </c>
      <c r="D111" s="59" t="s">
        <v>190</v>
      </c>
      <c r="E111" s="59" t="s">
        <v>190</v>
      </c>
      <c r="F111" s="59" t="s">
        <v>190</v>
      </c>
      <c r="G111" s="59" t="s">
        <v>190</v>
      </c>
      <c r="H111" s="48">
        <v>3.6017316017316017E-2</v>
      </c>
      <c r="I111" s="48">
        <v>4.8009776536312852E-2</v>
      </c>
      <c r="J111" s="48">
        <v>4.4758133930108454E-2</v>
      </c>
      <c r="K111" s="48">
        <v>4.5069467976956962E-2</v>
      </c>
      <c r="L111" s="48">
        <v>4.8736163885676524E-2</v>
      </c>
      <c r="M111" s="48">
        <v>5.2083333333333336E-2</v>
      </c>
      <c r="N111" s="48">
        <v>4.9009562841530054E-2</v>
      </c>
      <c r="O111" s="48">
        <v>5.0271739130434784E-2</v>
      </c>
      <c r="P111" s="48">
        <v>4.3618465716225394E-2</v>
      </c>
      <c r="Q111" s="48">
        <v>4.4308169213403643E-2</v>
      </c>
    </row>
    <row r="112" spans="1:17" x14ac:dyDescent="0.2">
      <c r="A112" s="56" t="s">
        <v>183</v>
      </c>
      <c r="B112" s="42" t="s">
        <v>115</v>
      </c>
      <c r="C112" s="59" t="s">
        <v>190</v>
      </c>
      <c r="D112" s="59" t="s">
        <v>190</v>
      </c>
      <c r="E112" s="59" t="s">
        <v>190</v>
      </c>
      <c r="F112" s="59" t="s">
        <v>190</v>
      </c>
      <c r="G112" s="59" t="s">
        <v>190</v>
      </c>
      <c r="H112" s="48">
        <v>8.8195386702849387E-3</v>
      </c>
      <c r="I112" s="48">
        <v>1.2933968686181076E-2</v>
      </c>
      <c r="J112" s="48">
        <v>1.0053619302949061E-2</v>
      </c>
      <c r="K112" s="48">
        <v>1.5414258188824663E-2</v>
      </c>
      <c r="L112" s="48">
        <v>1.8832391713747645E-2</v>
      </c>
      <c r="M112" s="48">
        <v>1.5586034912718205E-2</v>
      </c>
      <c r="N112" s="48">
        <v>1.6297262059973925E-2</v>
      </c>
      <c r="O112" s="48">
        <v>1.5533980582524271E-2</v>
      </c>
      <c r="P112" s="48">
        <v>2.4783147459727387E-2</v>
      </c>
      <c r="Q112" s="48">
        <v>2.7474242897283795E-2</v>
      </c>
    </row>
    <row r="113" spans="1:17" x14ac:dyDescent="0.2">
      <c r="A113" s="56" t="s">
        <v>183</v>
      </c>
      <c r="B113" s="42" t="s">
        <v>13</v>
      </c>
      <c r="C113" s="59" t="s">
        <v>190</v>
      </c>
      <c r="D113" s="59" t="s">
        <v>190</v>
      </c>
      <c r="E113" s="59" t="s">
        <v>190</v>
      </c>
      <c r="F113" s="59" t="s">
        <v>190</v>
      </c>
      <c r="G113" s="59" t="s">
        <v>190</v>
      </c>
      <c r="H113" s="48">
        <v>2.9600570613409417E-2</v>
      </c>
      <c r="I113" s="48">
        <v>3.4303534303534305E-2</v>
      </c>
      <c r="J113" s="48">
        <v>0.03</v>
      </c>
      <c r="K113" s="48">
        <v>3.2246998284734131E-2</v>
      </c>
      <c r="L113" s="48">
        <v>2.9596100278551533E-2</v>
      </c>
      <c r="M113" s="48">
        <v>2.8630562262849258E-2</v>
      </c>
      <c r="N113" s="48">
        <v>2.6894865525672371E-2</v>
      </c>
      <c r="O113" s="48">
        <v>3.2698526769673011E-2</v>
      </c>
      <c r="P113" s="48">
        <v>2.9598308668076109E-2</v>
      </c>
      <c r="Q113" s="48">
        <v>2.9708222811671087E-2</v>
      </c>
    </row>
    <row r="114" spans="1:17" x14ac:dyDescent="0.2">
      <c r="A114" s="56" t="s">
        <v>183</v>
      </c>
      <c r="B114" s="42" t="s">
        <v>116</v>
      </c>
      <c r="C114" s="59" t="s">
        <v>190</v>
      </c>
      <c r="D114" s="59" t="s">
        <v>190</v>
      </c>
      <c r="E114" s="59" t="s">
        <v>190</v>
      </c>
      <c r="F114" s="59" t="s">
        <v>190</v>
      </c>
      <c r="G114" s="59" t="s">
        <v>190</v>
      </c>
      <c r="H114" s="48" t="s">
        <v>192</v>
      </c>
      <c r="I114" s="48" t="s">
        <v>192</v>
      </c>
      <c r="J114" s="48" t="s">
        <v>192</v>
      </c>
      <c r="K114" s="48" t="s">
        <v>192</v>
      </c>
      <c r="L114" s="48">
        <v>2.289156626506024E-2</v>
      </c>
      <c r="M114" s="48" t="s">
        <v>192</v>
      </c>
      <c r="N114" s="48">
        <v>1.9115890083632018E-2</v>
      </c>
      <c r="O114" s="48">
        <v>2.0359281437125749E-2</v>
      </c>
      <c r="P114" s="48">
        <v>2.0481927710843374E-2</v>
      </c>
      <c r="Q114" s="48">
        <v>2.0168466010202873E-2</v>
      </c>
    </row>
    <row r="115" spans="1:17" x14ac:dyDescent="0.2">
      <c r="A115" s="56" t="s">
        <v>183</v>
      </c>
      <c r="B115" s="42" t="s">
        <v>117</v>
      </c>
      <c r="C115" s="59" t="s">
        <v>190</v>
      </c>
      <c r="D115" s="59" t="s">
        <v>190</v>
      </c>
      <c r="E115" s="59" t="s">
        <v>190</v>
      </c>
      <c r="F115" s="59" t="s">
        <v>190</v>
      </c>
      <c r="G115" s="59" t="s">
        <v>190</v>
      </c>
      <c r="H115" s="48" t="s">
        <v>192</v>
      </c>
      <c r="I115" s="48" t="s">
        <v>192</v>
      </c>
      <c r="J115" s="48" t="s">
        <v>192</v>
      </c>
      <c r="K115" s="48" t="s">
        <v>192</v>
      </c>
      <c r="L115" s="48">
        <v>2.3676880222841225E-2</v>
      </c>
      <c r="M115" s="48">
        <v>2.3776223776223775E-2</v>
      </c>
      <c r="N115" s="48">
        <v>2.2941970310391364E-2</v>
      </c>
      <c r="O115" s="48">
        <v>2.4161073825503355E-2</v>
      </c>
      <c r="P115" s="48">
        <v>2.3622047244094488E-2</v>
      </c>
      <c r="Q115" s="48">
        <v>4.0280665280665283E-2</v>
      </c>
    </row>
    <row r="116" spans="1:17" x14ac:dyDescent="0.2">
      <c r="A116" s="56" t="s">
        <v>183</v>
      </c>
      <c r="B116" s="42" t="s">
        <v>118</v>
      </c>
      <c r="C116" s="59" t="s">
        <v>190</v>
      </c>
      <c r="D116" s="59" t="s">
        <v>190</v>
      </c>
      <c r="E116" s="59" t="s">
        <v>190</v>
      </c>
      <c r="F116" s="59" t="s">
        <v>190</v>
      </c>
      <c r="G116" s="59" t="s">
        <v>190</v>
      </c>
      <c r="H116" s="48">
        <v>8.6956521739130432E-2</v>
      </c>
      <c r="I116" s="48">
        <v>0.12927054478301014</v>
      </c>
      <c r="J116" s="48">
        <v>9.4827586206896547E-2</v>
      </c>
      <c r="K116" s="48">
        <v>6.2886597938144329E-2</v>
      </c>
      <c r="L116" s="48">
        <v>7.0346320346320351E-2</v>
      </c>
      <c r="M116" s="48" t="s">
        <v>192</v>
      </c>
      <c r="N116" s="48">
        <v>7.8091106290672452E-2</v>
      </c>
      <c r="O116" s="48">
        <v>7.7864293659621803E-2</v>
      </c>
      <c r="P116" s="48">
        <v>4.0173724212812158E-2</v>
      </c>
      <c r="Q116" s="48">
        <v>4.9867021276595744E-2</v>
      </c>
    </row>
    <row r="117" spans="1:17" x14ac:dyDescent="0.2">
      <c r="A117" s="56" t="s">
        <v>183</v>
      </c>
      <c r="B117" s="42" t="s">
        <v>184</v>
      </c>
      <c r="C117" s="59" t="s">
        <v>190</v>
      </c>
      <c r="D117" s="59" t="s">
        <v>190</v>
      </c>
      <c r="E117" s="59" t="s">
        <v>190</v>
      </c>
      <c r="F117" s="59" t="s">
        <v>190</v>
      </c>
      <c r="G117" s="59" t="s">
        <v>190</v>
      </c>
      <c r="H117" s="48">
        <v>2.9121975555001248E-2</v>
      </c>
      <c r="I117" s="48">
        <v>3.9796045268001491E-2</v>
      </c>
      <c r="J117" s="48">
        <v>3.4109868380399186E-2</v>
      </c>
      <c r="K117" s="48">
        <v>3.2951552642861516E-2</v>
      </c>
      <c r="L117" s="48">
        <v>3.4883014281373442E-2</v>
      </c>
      <c r="M117" s="48">
        <v>3.6027798098024873E-2</v>
      </c>
      <c r="N117" s="48">
        <v>3.5460554766170382E-2</v>
      </c>
      <c r="O117" s="29">
        <v>3.8630867489303652E-2</v>
      </c>
      <c r="P117" s="29">
        <v>3.4517031510748995E-2</v>
      </c>
      <c r="Q117" s="29">
        <v>3.3348935174350572E-2</v>
      </c>
    </row>
    <row r="118" spans="1:17" ht="28.5" customHeight="1" x14ac:dyDescent="0.2">
      <c r="A118" s="57" t="s">
        <v>185</v>
      </c>
      <c r="B118" s="57" t="s">
        <v>111</v>
      </c>
      <c r="C118" s="59" t="s">
        <v>190</v>
      </c>
      <c r="D118" s="59" t="s">
        <v>190</v>
      </c>
      <c r="E118" s="59" t="s">
        <v>190</v>
      </c>
      <c r="F118" s="59" t="s">
        <v>190</v>
      </c>
      <c r="G118" s="59" t="s">
        <v>190</v>
      </c>
      <c r="H118" s="48">
        <v>4.5123726346433773E-2</v>
      </c>
      <c r="I118" s="48">
        <v>3.1757233592095979E-2</v>
      </c>
      <c r="J118" s="48">
        <v>2.199528672427337E-2</v>
      </c>
      <c r="K118" s="48">
        <v>2.4E-2</v>
      </c>
      <c r="L118" s="48">
        <v>4.3852779953014877E-2</v>
      </c>
      <c r="M118" s="48">
        <v>3.918495297805643E-2</v>
      </c>
      <c r="N118" s="48">
        <v>3.8087520259319288E-2</v>
      </c>
      <c r="O118" s="48">
        <v>3.9308176100628929E-2</v>
      </c>
      <c r="P118" s="48">
        <v>5.1712558764271326E-2</v>
      </c>
      <c r="Q118" s="48">
        <v>4.348648137644167E-2</v>
      </c>
    </row>
    <row r="119" spans="1:17" x14ac:dyDescent="0.2">
      <c r="A119" s="57" t="s">
        <v>185</v>
      </c>
      <c r="B119" s="42" t="s">
        <v>186</v>
      </c>
      <c r="C119" s="59" t="s">
        <v>190</v>
      </c>
      <c r="D119" s="59" t="s">
        <v>190</v>
      </c>
      <c r="E119" s="59" t="s">
        <v>190</v>
      </c>
      <c r="F119" s="59" t="s">
        <v>190</v>
      </c>
      <c r="G119" s="59" t="s">
        <v>190</v>
      </c>
      <c r="H119" s="48">
        <v>7.2611622816075333E-2</v>
      </c>
      <c r="I119" s="48">
        <v>7.7481254535193098E-2</v>
      </c>
      <c r="J119" s="48">
        <v>7.3114912069380866E-2</v>
      </c>
      <c r="K119" s="48">
        <v>7.3842005076142136E-2</v>
      </c>
      <c r="L119" s="48">
        <v>8.9576040451186306E-2</v>
      </c>
      <c r="M119" s="48">
        <v>9.1575513337171371E-2</v>
      </c>
      <c r="N119" s="48">
        <v>9.812230299731757E-2</v>
      </c>
      <c r="O119" s="48">
        <v>9.5937366104467722E-2</v>
      </c>
      <c r="P119" s="48">
        <v>8.6151710308125407E-2</v>
      </c>
      <c r="Q119" s="48">
        <v>8.7086575415081122E-2</v>
      </c>
    </row>
    <row r="120" spans="1:17" x14ac:dyDescent="0.2">
      <c r="A120" s="57" t="s">
        <v>185</v>
      </c>
      <c r="B120" s="42" t="s">
        <v>151</v>
      </c>
      <c r="C120" s="59" t="s">
        <v>190</v>
      </c>
      <c r="D120" s="59" t="s">
        <v>190</v>
      </c>
      <c r="E120" s="59" t="s">
        <v>190</v>
      </c>
      <c r="F120" s="59" t="s">
        <v>190</v>
      </c>
      <c r="G120" s="59" t="s">
        <v>190</v>
      </c>
      <c r="H120" s="48">
        <v>7.2471519495106163E-2</v>
      </c>
      <c r="I120" s="48">
        <v>7.1940181031090122E-2</v>
      </c>
      <c r="J120" s="48">
        <v>7.1160951241088621E-2</v>
      </c>
      <c r="K120" s="48">
        <v>7.3884794165232803E-2</v>
      </c>
      <c r="L120" s="48">
        <v>8.140148185357278E-2</v>
      </c>
      <c r="M120" s="48">
        <v>8.4034034034034033E-2</v>
      </c>
      <c r="N120" s="48">
        <v>8.6668202882965922E-2</v>
      </c>
      <c r="O120" s="48">
        <v>8.8311820825468082E-2</v>
      </c>
      <c r="P120" s="48">
        <v>8.0084973509764276E-2</v>
      </c>
      <c r="Q120" s="48">
        <v>8.0834246280805572E-2</v>
      </c>
    </row>
    <row r="121" spans="1:17" ht="28.5" customHeight="1" x14ac:dyDescent="0.2">
      <c r="A121" s="106" t="s">
        <v>270</v>
      </c>
      <c r="B121" s="107" t="s">
        <v>271</v>
      </c>
      <c r="C121" s="108" t="s">
        <v>190</v>
      </c>
      <c r="D121" s="108" t="s">
        <v>190</v>
      </c>
      <c r="E121" s="108" t="s">
        <v>190</v>
      </c>
      <c r="F121" s="108" t="s">
        <v>190</v>
      </c>
      <c r="G121" s="108" t="s">
        <v>190</v>
      </c>
      <c r="H121" s="73" t="s">
        <v>192</v>
      </c>
      <c r="I121" s="73" t="s">
        <v>192</v>
      </c>
      <c r="J121" s="73" t="s">
        <v>192</v>
      </c>
      <c r="K121" s="73" t="s">
        <v>192</v>
      </c>
      <c r="L121" s="73" t="s">
        <v>192</v>
      </c>
      <c r="M121" s="73" t="s">
        <v>192</v>
      </c>
      <c r="N121" s="73" t="s">
        <v>192</v>
      </c>
      <c r="O121" s="73" t="s">
        <v>192</v>
      </c>
      <c r="P121" s="73" t="s">
        <v>192</v>
      </c>
      <c r="Q121" s="73" t="s">
        <v>192</v>
      </c>
    </row>
    <row r="122" spans="1:17" x14ac:dyDescent="0.2">
      <c r="A122" s="106" t="s">
        <v>270</v>
      </c>
      <c r="B122" s="107" t="s">
        <v>272</v>
      </c>
      <c r="C122" s="108" t="s">
        <v>190</v>
      </c>
      <c r="D122" s="108" t="s">
        <v>190</v>
      </c>
      <c r="E122" s="108" t="s">
        <v>190</v>
      </c>
      <c r="F122" s="108" t="s">
        <v>190</v>
      </c>
      <c r="G122" s="108" t="s">
        <v>190</v>
      </c>
      <c r="H122" s="73" t="s">
        <v>192</v>
      </c>
      <c r="I122" s="73" t="s">
        <v>192</v>
      </c>
      <c r="J122" s="73" t="s">
        <v>192</v>
      </c>
      <c r="K122" s="73" t="s">
        <v>192</v>
      </c>
      <c r="L122" s="73" t="s">
        <v>192</v>
      </c>
      <c r="M122" s="73" t="s">
        <v>192</v>
      </c>
      <c r="N122" s="73" t="s">
        <v>192</v>
      </c>
      <c r="O122" s="73" t="s">
        <v>192</v>
      </c>
      <c r="P122" s="73" t="s">
        <v>192</v>
      </c>
      <c r="Q122" s="73" t="s">
        <v>192</v>
      </c>
    </row>
    <row r="123" spans="1:17" x14ac:dyDescent="0.2">
      <c r="A123" s="106" t="s">
        <v>270</v>
      </c>
      <c r="B123" s="107" t="s">
        <v>273</v>
      </c>
      <c r="C123" s="108" t="s">
        <v>190</v>
      </c>
      <c r="D123" s="108" t="s">
        <v>190</v>
      </c>
      <c r="E123" s="108" t="s">
        <v>190</v>
      </c>
      <c r="F123" s="108" t="s">
        <v>190</v>
      </c>
      <c r="G123" s="108" t="s">
        <v>190</v>
      </c>
      <c r="H123" s="73" t="s">
        <v>192</v>
      </c>
      <c r="I123" s="73" t="s">
        <v>192</v>
      </c>
      <c r="J123" s="73" t="s">
        <v>192</v>
      </c>
      <c r="K123" s="73" t="s">
        <v>192</v>
      </c>
      <c r="L123" s="73" t="s">
        <v>192</v>
      </c>
      <c r="M123" s="73" t="s">
        <v>192</v>
      </c>
      <c r="N123" s="73" t="s">
        <v>192</v>
      </c>
      <c r="O123" s="73" t="s">
        <v>192</v>
      </c>
      <c r="P123" s="73" t="s">
        <v>192</v>
      </c>
      <c r="Q123" s="73" t="s">
        <v>192</v>
      </c>
    </row>
    <row r="124" spans="1:17" x14ac:dyDescent="0.2">
      <c r="A124" s="106" t="s">
        <v>270</v>
      </c>
      <c r="B124" s="107" t="s">
        <v>274</v>
      </c>
      <c r="C124" s="108" t="s">
        <v>190</v>
      </c>
      <c r="D124" s="108" t="s">
        <v>190</v>
      </c>
      <c r="E124" s="108" t="s">
        <v>190</v>
      </c>
      <c r="F124" s="108" t="s">
        <v>190</v>
      </c>
      <c r="G124" s="108" t="s">
        <v>190</v>
      </c>
      <c r="H124" s="73" t="s">
        <v>192</v>
      </c>
      <c r="I124" s="73" t="s">
        <v>192</v>
      </c>
      <c r="J124" s="73" t="s">
        <v>192</v>
      </c>
      <c r="K124" s="73" t="s">
        <v>192</v>
      </c>
      <c r="L124" s="48" t="s">
        <v>192</v>
      </c>
      <c r="M124" s="73">
        <v>2.23463687150838E-2</v>
      </c>
      <c r="N124" s="73">
        <v>2.3465703971119134E-2</v>
      </c>
      <c r="O124" s="73">
        <v>2.355072463768116E-2</v>
      </c>
      <c r="P124" s="73">
        <v>2.6501766784452298E-2</v>
      </c>
      <c r="Q124" s="73">
        <v>4.5510239803955889E-2</v>
      </c>
    </row>
    <row r="125" spans="1:17" x14ac:dyDescent="0.2">
      <c r="A125" s="106" t="s">
        <v>270</v>
      </c>
      <c r="B125" s="107" t="s">
        <v>275</v>
      </c>
      <c r="C125" s="108" t="s">
        <v>190</v>
      </c>
      <c r="D125" s="108" t="s">
        <v>190</v>
      </c>
      <c r="E125" s="108" t="s">
        <v>190</v>
      </c>
      <c r="F125" s="108" t="s">
        <v>190</v>
      </c>
      <c r="G125" s="108" t="s">
        <v>190</v>
      </c>
      <c r="H125" s="73" t="s">
        <v>192</v>
      </c>
      <c r="I125" s="73" t="s">
        <v>192</v>
      </c>
      <c r="J125" s="73" t="s">
        <v>192</v>
      </c>
      <c r="K125" s="73" t="s">
        <v>192</v>
      </c>
      <c r="L125" s="73">
        <v>1.9230769230769232E-2</v>
      </c>
      <c r="M125" s="73">
        <v>1.7379679144385027E-2</v>
      </c>
      <c r="N125" s="73">
        <v>1.4945652173913044E-2</v>
      </c>
      <c r="O125" s="73">
        <v>1.6371077762619372E-2</v>
      </c>
      <c r="P125" s="73">
        <v>1.4945652173913044E-2</v>
      </c>
      <c r="Q125" s="73">
        <v>1.6023501134997998E-2</v>
      </c>
    </row>
    <row r="126" spans="1:17" x14ac:dyDescent="0.2">
      <c r="A126" s="106" t="s">
        <v>270</v>
      </c>
      <c r="B126" s="107" t="s">
        <v>276</v>
      </c>
      <c r="C126" s="108" t="s">
        <v>190</v>
      </c>
      <c r="D126" s="108" t="s">
        <v>190</v>
      </c>
      <c r="E126" s="108" t="s">
        <v>190</v>
      </c>
      <c r="F126" s="108" t="s">
        <v>190</v>
      </c>
      <c r="G126" s="108" t="s">
        <v>190</v>
      </c>
      <c r="H126" s="73" t="s">
        <v>192</v>
      </c>
      <c r="I126" s="73" t="s">
        <v>192</v>
      </c>
      <c r="J126" s="73" t="s">
        <v>192</v>
      </c>
      <c r="K126" s="73" t="s">
        <v>192</v>
      </c>
      <c r="L126" s="48" t="s">
        <v>192</v>
      </c>
      <c r="M126" s="48" t="s">
        <v>192</v>
      </c>
      <c r="N126" s="48" t="s">
        <v>192</v>
      </c>
      <c r="O126" s="48" t="s">
        <v>192</v>
      </c>
      <c r="P126" s="73" t="s">
        <v>192</v>
      </c>
      <c r="Q126" s="73" t="s">
        <v>192</v>
      </c>
    </row>
    <row r="127" spans="1:17" x14ac:dyDescent="0.2">
      <c r="A127" s="106" t="s">
        <v>270</v>
      </c>
      <c r="B127" s="107" t="s">
        <v>277</v>
      </c>
      <c r="C127" s="108" t="s">
        <v>190</v>
      </c>
      <c r="D127" s="108" t="s">
        <v>190</v>
      </c>
      <c r="E127" s="108" t="s">
        <v>190</v>
      </c>
      <c r="F127" s="108" t="s">
        <v>190</v>
      </c>
      <c r="G127" s="108" t="s">
        <v>190</v>
      </c>
      <c r="H127" s="73">
        <v>9.2243186582809222E-2</v>
      </c>
      <c r="I127" s="73">
        <v>0.13614103819784526</v>
      </c>
      <c r="J127" s="73">
        <v>0.1014344262295082</v>
      </c>
      <c r="K127" s="73">
        <v>6.6445182724252497E-2</v>
      </c>
      <c r="L127" s="73">
        <v>7.4332171893147503E-2</v>
      </c>
      <c r="M127" s="73">
        <v>8.3236994219653179E-2</v>
      </c>
      <c r="N127" s="73">
        <v>8.3432657926102508E-2</v>
      </c>
      <c r="O127" s="73">
        <v>8.3231334149326805E-2</v>
      </c>
      <c r="P127" s="73">
        <v>4.4524669073405534E-2</v>
      </c>
      <c r="Q127" s="73">
        <v>5.2631578947368418E-2</v>
      </c>
    </row>
    <row r="128" spans="1:17" x14ac:dyDescent="0.2">
      <c r="A128" s="106" t="s">
        <v>270</v>
      </c>
      <c r="B128" s="107" t="s">
        <v>278</v>
      </c>
      <c r="C128" s="108" t="s">
        <v>190</v>
      </c>
      <c r="D128" s="108" t="s">
        <v>190</v>
      </c>
      <c r="E128" s="108" t="s">
        <v>190</v>
      </c>
      <c r="F128" s="108" t="s">
        <v>190</v>
      </c>
      <c r="G128" s="108" t="s">
        <v>190</v>
      </c>
      <c r="H128" s="48" t="s">
        <v>192</v>
      </c>
      <c r="I128" s="48" t="s">
        <v>192</v>
      </c>
      <c r="J128" s="48" t="s">
        <v>192</v>
      </c>
      <c r="K128" s="48" t="s">
        <v>192</v>
      </c>
      <c r="L128" s="48" t="s">
        <v>192</v>
      </c>
      <c r="M128" s="48" t="s">
        <v>192</v>
      </c>
      <c r="N128" s="48" t="s">
        <v>192</v>
      </c>
      <c r="O128" s="48" t="s">
        <v>192</v>
      </c>
      <c r="P128" s="73" t="s">
        <v>192</v>
      </c>
      <c r="Q128" s="73" t="s">
        <v>192</v>
      </c>
    </row>
    <row r="129" spans="1:17" x14ac:dyDescent="0.2">
      <c r="A129" s="106" t="s">
        <v>270</v>
      </c>
      <c r="B129" s="107" t="s">
        <v>279</v>
      </c>
      <c r="C129" s="108" t="s">
        <v>190</v>
      </c>
      <c r="D129" s="108" t="s">
        <v>190</v>
      </c>
      <c r="E129" s="108" t="s">
        <v>190</v>
      </c>
      <c r="F129" s="108" t="s">
        <v>190</v>
      </c>
      <c r="G129" s="108" t="s">
        <v>190</v>
      </c>
      <c r="H129" s="48" t="s">
        <v>192</v>
      </c>
      <c r="I129" s="48" t="s">
        <v>192</v>
      </c>
      <c r="J129" s="48" t="s">
        <v>192</v>
      </c>
      <c r="K129" s="48" t="s">
        <v>192</v>
      </c>
      <c r="L129" s="48" t="s">
        <v>192</v>
      </c>
      <c r="M129" s="48" t="s">
        <v>192</v>
      </c>
      <c r="N129" s="48" t="s">
        <v>192</v>
      </c>
      <c r="O129" s="48" t="s">
        <v>192</v>
      </c>
      <c r="P129" s="73" t="s">
        <v>192</v>
      </c>
      <c r="Q129" s="73" t="s">
        <v>192</v>
      </c>
    </row>
    <row r="130" spans="1:17" ht="28.5" customHeight="1" x14ac:dyDescent="0.2">
      <c r="A130" s="106" t="s">
        <v>263</v>
      </c>
      <c r="B130" s="107" t="s">
        <v>280</v>
      </c>
      <c r="C130" s="108" t="s">
        <v>190</v>
      </c>
      <c r="D130" s="108" t="s">
        <v>190</v>
      </c>
      <c r="E130" s="108" t="s">
        <v>190</v>
      </c>
      <c r="F130" s="108" t="s">
        <v>190</v>
      </c>
      <c r="G130" s="108" t="s">
        <v>190</v>
      </c>
      <c r="H130" s="73">
        <v>4.9522182140370866E-2</v>
      </c>
      <c r="I130" s="73">
        <v>5.3999999999999999E-2</v>
      </c>
      <c r="J130" s="73">
        <v>5.8027202237193341E-2</v>
      </c>
      <c r="K130" s="73">
        <v>6.3158888504264085E-2</v>
      </c>
      <c r="L130" s="73">
        <v>6.303634528016154E-2</v>
      </c>
      <c r="M130" s="73">
        <v>6.1034799987310852E-2</v>
      </c>
      <c r="N130" s="73">
        <v>6.9279883104094539E-2</v>
      </c>
      <c r="O130" s="73">
        <v>7.0717451345622712E-2</v>
      </c>
      <c r="P130" s="73">
        <v>6.5882874889086063E-2</v>
      </c>
      <c r="Q130" s="73">
        <v>6.6017957394202395E-2</v>
      </c>
    </row>
    <row r="131" spans="1:17" x14ac:dyDescent="0.2">
      <c r="A131" s="106" t="s">
        <v>263</v>
      </c>
      <c r="B131" s="107" t="s">
        <v>264</v>
      </c>
      <c r="C131" s="108" t="s">
        <v>190</v>
      </c>
      <c r="D131" s="108" t="s">
        <v>190</v>
      </c>
      <c r="E131" s="108" t="s">
        <v>190</v>
      </c>
      <c r="F131" s="108" t="s">
        <v>190</v>
      </c>
      <c r="G131" s="108" t="s">
        <v>190</v>
      </c>
      <c r="H131" s="73">
        <v>6.6688469190308783E-2</v>
      </c>
      <c r="I131" s="73">
        <v>7.0126039152587819E-2</v>
      </c>
      <c r="J131" s="73">
        <v>6.6384984155358734E-2</v>
      </c>
      <c r="K131" s="73">
        <v>6.7949746057203955E-2</v>
      </c>
      <c r="L131" s="73">
        <v>6.5818836877907128E-2</v>
      </c>
      <c r="M131" s="73">
        <v>6.3739149072982532E-2</v>
      </c>
      <c r="N131" s="73">
        <v>6.7816693763950511E-2</v>
      </c>
      <c r="O131" s="73">
        <v>6.8151373074346946E-2</v>
      </c>
      <c r="P131" s="73">
        <v>7.0415484732187547E-2</v>
      </c>
      <c r="Q131" s="73">
        <v>6.9293515830222585E-2</v>
      </c>
    </row>
    <row r="132" spans="1:17" x14ac:dyDescent="0.2">
      <c r="A132" s="106" t="s">
        <v>263</v>
      </c>
      <c r="B132" s="107" t="s">
        <v>265</v>
      </c>
      <c r="C132" s="108" t="s">
        <v>190</v>
      </c>
      <c r="D132" s="108" t="s">
        <v>190</v>
      </c>
      <c r="E132" s="108" t="s">
        <v>190</v>
      </c>
      <c r="F132" s="108" t="s">
        <v>190</v>
      </c>
      <c r="G132" s="108" t="s">
        <v>190</v>
      </c>
      <c r="H132" s="73">
        <v>5.4033003942948937E-2</v>
      </c>
      <c r="I132" s="73">
        <v>7.1974218190498929E-2</v>
      </c>
      <c r="J132" s="73">
        <v>6.5258260093058226E-2</v>
      </c>
      <c r="K132" s="73">
        <v>6.4040876180001829E-2</v>
      </c>
      <c r="L132" s="73">
        <v>6.9165561126975916E-2</v>
      </c>
      <c r="M132" s="73">
        <v>6.6630747126436782E-2</v>
      </c>
      <c r="N132" s="73">
        <v>6.3330287481549161E-2</v>
      </c>
      <c r="O132" s="73">
        <v>6.1473475552199355E-2</v>
      </c>
      <c r="P132" s="73">
        <v>6.4771852922660828E-2</v>
      </c>
      <c r="Q132" s="73">
        <v>7.1747299470071746E-2</v>
      </c>
    </row>
    <row r="133" spans="1:17" x14ac:dyDescent="0.2">
      <c r="A133" s="106" t="s">
        <v>263</v>
      </c>
      <c r="B133" s="107" t="s">
        <v>266</v>
      </c>
      <c r="C133" s="108" t="s">
        <v>190</v>
      </c>
      <c r="D133" s="108" t="s">
        <v>190</v>
      </c>
      <c r="E133" s="108" t="s">
        <v>190</v>
      </c>
      <c r="F133" s="108" t="s">
        <v>190</v>
      </c>
      <c r="G133" s="108" t="s">
        <v>190</v>
      </c>
      <c r="H133" s="73">
        <v>6.8339064506773836E-2</v>
      </c>
      <c r="I133" s="73">
        <v>7.6277173364552003E-2</v>
      </c>
      <c r="J133" s="73">
        <v>6.8082360296045336E-2</v>
      </c>
      <c r="K133" s="73">
        <v>6.5084150212621539E-2</v>
      </c>
      <c r="L133" s="73">
        <v>7.6722736796757202E-2</v>
      </c>
      <c r="M133" s="73">
        <v>7.3431035149452845E-2</v>
      </c>
      <c r="N133" s="73">
        <v>7.4280815393408264E-2</v>
      </c>
      <c r="O133" s="73">
        <v>7.6238760283145204E-2</v>
      </c>
      <c r="P133" s="73">
        <v>7.9155467258774495E-2</v>
      </c>
      <c r="Q133" s="73">
        <v>7.486761214924828E-2</v>
      </c>
    </row>
    <row r="134" spans="1:17" x14ac:dyDescent="0.2">
      <c r="A134" s="106" t="s">
        <v>263</v>
      </c>
      <c r="B134" s="107" t="s">
        <v>281</v>
      </c>
      <c r="C134" s="108" t="s">
        <v>190</v>
      </c>
      <c r="D134" s="108" t="s">
        <v>190</v>
      </c>
      <c r="E134" s="108" t="s">
        <v>190</v>
      </c>
      <c r="F134" s="108" t="s">
        <v>190</v>
      </c>
      <c r="G134" s="108" t="s">
        <v>190</v>
      </c>
      <c r="H134" s="73">
        <v>6.512937306256722E-2</v>
      </c>
      <c r="I134" s="73">
        <v>5.1073467955466231E-2</v>
      </c>
      <c r="J134" s="73">
        <v>5.5312350215689407E-2</v>
      </c>
      <c r="K134" s="73">
        <v>5.0725803855933567E-2</v>
      </c>
      <c r="L134" s="73">
        <v>5.7403890235116904E-2</v>
      </c>
      <c r="M134" s="73">
        <v>5.9046251264810522E-2</v>
      </c>
      <c r="N134" s="73">
        <v>5.8628953319607116E-2</v>
      </c>
      <c r="O134" s="73">
        <v>6.0875744450460206E-2</v>
      </c>
      <c r="P134" s="73">
        <v>6.227625802093887E-2</v>
      </c>
      <c r="Q134" s="73">
        <v>6.3380738122934072E-2</v>
      </c>
    </row>
  </sheetData>
  <phoneticPr fontId="44" type="noConversion"/>
  <hyperlinks>
    <hyperlink ref="A11" location="Contents!A1" display="This cell contains a hyperlink to the Table of Contents" xr:uid="{00000000-0004-0000-0900-000000000000}"/>
    <hyperlink ref="A8" r:id="rId1" xr:uid="{57AFE6FC-F50A-4E8E-87FD-27121D7A3FB8}"/>
    <hyperlink ref="A9" r:id="rId2" xr:uid="{716E8C91-A407-48BF-981D-3C21357161E2}"/>
  </hyperlinks>
  <pageMargins left="0.7" right="0.7" top="0.75" bottom="0.75" header="0.3" footer="0.3"/>
  <pageSetup paperSize="9" scale="30" orientation="portrait"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134"/>
  <sheetViews>
    <sheetView showGridLines="0" zoomScaleNormal="100" workbookViewId="0"/>
  </sheetViews>
  <sheetFormatPr defaultColWidth="9.140625" defaultRowHeight="15" x14ac:dyDescent="0.2"/>
  <cols>
    <col min="1" max="1" width="61.42578125" style="13" customWidth="1"/>
    <col min="2" max="2" width="54.42578125" style="9" customWidth="1"/>
    <col min="3" max="14" width="13.42578125" style="14" customWidth="1"/>
    <col min="15" max="16384" width="9.140625" style="13"/>
  </cols>
  <sheetData>
    <row r="1" spans="1:14" ht="20.25" x14ac:dyDescent="0.3">
      <c r="A1" s="22" t="s">
        <v>306</v>
      </c>
      <c r="B1" s="13"/>
      <c r="I1" s="14" t="s">
        <v>0</v>
      </c>
    </row>
    <row r="2" spans="1:14" x14ac:dyDescent="0.2">
      <c r="A2" s="9" t="s">
        <v>152</v>
      </c>
      <c r="B2" s="13"/>
    </row>
    <row r="3" spans="1:14" x14ac:dyDescent="0.2">
      <c r="A3" s="9" t="s">
        <v>233</v>
      </c>
      <c r="B3" s="13"/>
    </row>
    <row r="4" spans="1:14" x14ac:dyDescent="0.2">
      <c r="A4" s="9" t="s">
        <v>297</v>
      </c>
      <c r="B4" s="13"/>
    </row>
    <row r="5" spans="1:14" x14ac:dyDescent="0.2">
      <c r="A5" s="9" t="s">
        <v>302</v>
      </c>
      <c r="B5" s="13"/>
    </row>
    <row r="6" spans="1:14" x14ac:dyDescent="0.2">
      <c r="A6" s="9" t="s">
        <v>191</v>
      </c>
      <c r="B6" s="13"/>
    </row>
    <row r="7" spans="1:14" ht="15" customHeight="1" x14ac:dyDescent="0.2">
      <c r="A7" s="9" t="s">
        <v>317</v>
      </c>
      <c r="B7" s="13"/>
    </row>
    <row r="8" spans="1:14" x14ac:dyDescent="0.2">
      <c r="A8" s="3" t="s">
        <v>319</v>
      </c>
      <c r="B8" s="13"/>
    </row>
    <row r="9" spans="1:14" x14ac:dyDescent="0.2">
      <c r="A9" s="3" t="s">
        <v>318</v>
      </c>
      <c r="B9" s="13"/>
    </row>
    <row r="10" spans="1:14" s="27" customFormat="1" x14ac:dyDescent="0.25">
      <c r="A10" s="26" t="s">
        <v>338</v>
      </c>
      <c r="C10" s="28"/>
      <c r="D10" s="28"/>
      <c r="E10" s="28"/>
      <c r="F10" s="28"/>
      <c r="G10" s="28"/>
      <c r="H10" s="28"/>
      <c r="I10" s="28"/>
      <c r="J10" s="28"/>
      <c r="K10" s="28"/>
      <c r="L10" s="28"/>
      <c r="M10" s="28"/>
      <c r="N10" s="28"/>
    </row>
    <row r="11" spans="1:14" s="27" customFormat="1" ht="30" customHeight="1" x14ac:dyDescent="0.25">
      <c r="A11" s="35" t="s">
        <v>232</v>
      </c>
      <c r="C11" s="28"/>
      <c r="D11" s="28"/>
      <c r="E11" s="28"/>
      <c r="F11" s="28"/>
      <c r="G11" s="28"/>
      <c r="H11" s="28"/>
      <c r="I11" s="28"/>
      <c r="J11" s="28"/>
      <c r="K11" s="28"/>
      <c r="L11" s="28"/>
      <c r="M11" s="28"/>
      <c r="N11" s="28"/>
    </row>
    <row r="12" spans="1:14" ht="15.75" customHeight="1" x14ac:dyDescent="0.25">
      <c r="A12" s="23" t="s">
        <v>156</v>
      </c>
      <c r="B12" s="23" t="s">
        <v>157</v>
      </c>
      <c r="C12" s="24" t="s">
        <v>98</v>
      </c>
      <c r="D12" s="24" t="s">
        <v>99</v>
      </c>
      <c r="E12" s="24" t="s">
        <v>100</v>
      </c>
      <c r="F12" s="24" t="s">
        <v>101</v>
      </c>
      <c r="G12" s="24" t="s">
        <v>102</v>
      </c>
      <c r="H12" s="24" t="s">
        <v>103</v>
      </c>
      <c r="I12" s="24" t="s">
        <v>104</v>
      </c>
      <c r="J12" s="24" t="s">
        <v>122</v>
      </c>
      <c r="K12" s="24" t="s">
        <v>188</v>
      </c>
      <c r="L12" s="24" t="s">
        <v>262</v>
      </c>
      <c r="M12" s="24" t="s">
        <v>320</v>
      </c>
      <c r="N12" s="24" t="s">
        <v>342</v>
      </c>
    </row>
    <row r="13" spans="1:14" x14ac:dyDescent="0.2">
      <c r="A13" s="16" t="s">
        <v>178</v>
      </c>
      <c r="B13" s="17" t="s">
        <v>48</v>
      </c>
      <c r="C13" s="18" t="s">
        <v>190</v>
      </c>
      <c r="D13" s="18" t="s">
        <v>190</v>
      </c>
      <c r="E13" s="18" t="s">
        <v>190</v>
      </c>
      <c r="F13" s="18" t="s">
        <v>190</v>
      </c>
      <c r="G13" s="18" t="s">
        <v>190</v>
      </c>
      <c r="H13" s="18" t="s">
        <v>190</v>
      </c>
      <c r="I13" s="18" t="s">
        <v>190</v>
      </c>
      <c r="J13" s="18" t="s">
        <v>190</v>
      </c>
      <c r="K13" s="18" t="s">
        <v>190</v>
      </c>
      <c r="L13" s="69" t="s">
        <v>190</v>
      </c>
      <c r="M13" s="69" t="s">
        <v>190</v>
      </c>
      <c r="N13" s="69" t="s">
        <v>190</v>
      </c>
    </row>
    <row r="14" spans="1:14" x14ac:dyDescent="0.2">
      <c r="A14" s="16" t="s">
        <v>178</v>
      </c>
      <c r="B14" s="17" t="s">
        <v>1</v>
      </c>
      <c r="C14" s="18">
        <v>1255</v>
      </c>
      <c r="D14" s="18">
        <v>1515</v>
      </c>
      <c r="E14" s="18">
        <v>1925</v>
      </c>
      <c r="F14" s="18">
        <v>2060</v>
      </c>
      <c r="G14" s="18">
        <v>2075</v>
      </c>
      <c r="H14" s="18">
        <v>1820</v>
      </c>
      <c r="I14" s="18">
        <v>1880</v>
      </c>
      <c r="J14" s="18">
        <v>1845</v>
      </c>
      <c r="K14" s="18">
        <v>2050</v>
      </c>
      <c r="L14" s="18">
        <v>1530</v>
      </c>
      <c r="M14" s="18">
        <v>1895</v>
      </c>
      <c r="N14" s="18">
        <v>2685</v>
      </c>
    </row>
    <row r="15" spans="1:14" ht="35.450000000000003" customHeight="1" x14ac:dyDescent="0.2">
      <c r="A15" s="17" t="s">
        <v>179</v>
      </c>
      <c r="B15" s="17" t="s">
        <v>35</v>
      </c>
      <c r="C15" s="18">
        <v>290</v>
      </c>
      <c r="D15" s="18">
        <v>360</v>
      </c>
      <c r="E15" s="18">
        <v>440</v>
      </c>
      <c r="F15" s="18">
        <v>440</v>
      </c>
      <c r="G15" s="18">
        <v>325</v>
      </c>
      <c r="H15" s="18">
        <v>255</v>
      </c>
      <c r="I15" s="18">
        <v>255</v>
      </c>
      <c r="J15" s="18">
        <v>280</v>
      </c>
      <c r="K15" s="18">
        <v>365</v>
      </c>
      <c r="L15" s="18">
        <v>220</v>
      </c>
      <c r="M15" s="18">
        <v>260</v>
      </c>
      <c r="N15" s="18">
        <v>360</v>
      </c>
    </row>
    <row r="16" spans="1:14" x14ac:dyDescent="0.2">
      <c r="A16" s="16" t="s">
        <v>179</v>
      </c>
      <c r="B16" s="17" t="s">
        <v>36</v>
      </c>
      <c r="C16" s="18">
        <v>490</v>
      </c>
      <c r="D16" s="18">
        <v>595</v>
      </c>
      <c r="E16" s="18">
        <v>700</v>
      </c>
      <c r="F16" s="18">
        <v>780</v>
      </c>
      <c r="G16" s="18">
        <v>845</v>
      </c>
      <c r="H16" s="18">
        <v>765</v>
      </c>
      <c r="I16" s="18">
        <v>780</v>
      </c>
      <c r="J16" s="18">
        <v>730</v>
      </c>
      <c r="K16" s="18">
        <v>790</v>
      </c>
      <c r="L16" s="18">
        <v>610</v>
      </c>
      <c r="M16" s="18">
        <v>710</v>
      </c>
      <c r="N16" s="18">
        <v>945</v>
      </c>
    </row>
    <row r="17" spans="1:14" x14ac:dyDescent="0.2">
      <c r="A17" s="16" t="s">
        <v>179</v>
      </c>
      <c r="B17" s="17" t="s">
        <v>37</v>
      </c>
      <c r="C17" s="18">
        <v>465</v>
      </c>
      <c r="D17" s="18">
        <v>490</v>
      </c>
      <c r="E17" s="18">
        <v>600</v>
      </c>
      <c r="F17" s="18">
        <v>680</v>
      </c>
      <c r="G17" s="18">
        <v>705</v>
      </c>
      <c r="H17" s="18">
        <v>650</v>
      </c>
      <c r="I17" s="18">
        <v>695</v>
      </c>
      <c r="J17" s="18">
        <v>640</v>
      </c>
      <c r="K17" s="18">
        <v>675</v>
      </c>
      <c r="L17" s="18">
        <v>540</v>
      </c>
      <c r="M17" s="18">
        <v>665</v>
      </c>
      <c r="N17" s="18">
        <v>885</v>
      </c>
    </row>
    <row r="18" spans="1:14" x14ac:dyDescent="0.2">
      <c r="A18" s="16" t="s">
        <v>179</v>
      </c>
      <c r="B18" s="17" t="s">
        <v>236</v>
      </c>
      <c r="C18" s="18">
        <v>120</v>
      </c>
      <c r="D18" s="18">
        <v>115</v>
      </c>
      <c r="E18" s="18">
        <v>135</v>
      </c>
      <c r="F18" s="18">
        <v>145</v>
      </c>
      <c r="G18" s="18">
        <v>175</v>
      </c>
      <c r="H18" s="18">
        <v>170</v>
      </c>
      <c r="I18" s="18">
        <v>165</v>
      </c>
      <c r="J18" s="18">
        <v>165</v>
      </c>
      <c r="K18" s="18">
        <v>150</v>
      </c>
      <c r="L18" s="18">
        <v>115</v>
      </c>
      <c r="M18" s="18">
        <v>170</v>
      </c>
      <c r="N18" s="18">
        <v>175</v>
      </c>
    </row>
    <row r="19" spans="1:14" x14ac:dyDescent="0.2">
      <c r="A19" s="16" t="s">
        <v>179</v>
      </c>
      <c r="B19" s="17" t="s">
        <v>38</v>
      </c>
      <c r="C19" s="18">
        <v>240</v>
      </c>
      <c r="D19" s="18">
        <v>255</v>
      </c>
      <c r="E19" s="18">
        <v>330</v>
      </c>
      <c r="F19" s="18">
        <v>335</v>
      </c>
      <c r="G19" s="18">
        <v>340</v>
      </c>
      <c r="H19" s="18">
        <v>315</v>
      </c>
      <c r="I19" s="18">
        <v>330</v>
      </c>
      <c r="J19" s="18">
        <v>295</v>
      </c>
      <c r="K19" s="18">
        <v>300</v>
      </c>
      <c r="L19" s="18">
        <v>240</v>
      </c>
      <c r="M19" s="18">
        <v>325</v>
      </c>
      <c r="N19" s="18">
        <v>490</v>
      </c>
    </row>
    <row r="20" spans="1:14" x14ac:dyDescent="0.2">
      <c r="A20" s="16" t="s">
        <v>179</v>
      </c>
      <c r="B20" s="17" t="s">
        <v>121</v>
      </c>
      <c r="C20" s="18">
        <v>215</v>
      </c>
      <c r="D20" s="18">
        <v>240</v>
      </c>
      <c r="E20" s="18">
        <v>290</v>
      </c>
      <c r="F20" s="18">
        <v>310</v>
      </c>
      <c r="G20" s="18">
        <v>295</v>
      </c>
      <c r="H20" s="18">
        <v>275</v>
      </c>
      <c r="I20" s="18">
        <v>250</v>
      </c>
      <c r="J20" s="18">
        <v>260</v>
      </c>
      <c r="K20" s="18">
        <v>270</v>
      </c>
      <c r="L20" s="18">
        <v>195</v>
      </c>
      <c r="M20" s="18">
        <v>250</v>
      </c>
      <c r="N20" s="18">
        <v>440</v>
      </c>
    </row>
    <row r="21" spans="1:14" x14ac:dyDescent="0.2">
      <c r="A21" s="16" t="s">
        <v>179</v>
      </c>
      <c r="B21" s="17" t="s">
        <v>39</v>
      </c>
      <c r="C21" s="18">
        <v>115</v>
      </c>
      <c r="D21" s="18">
        <v>135</v>
      </c>
      <c r="E21" s="18">
        <v>160</v>
      </c>
      <c r="F21" s="18">
        <v>155</v>
      </c>
      <c r="G21" s="18">
        <v>165</v>
      </c>
      <c r="H21" s="18">
        <v>160</v>
      </c>
      <c r="I21" s="18">
        <v>165</v>
      </c>
      <c r="J21" s="18">
        <v>165</v>
      </c>
      <c r="K21" s="18">
        <v>145</v>
      </c>
      <c r="L21" s="18">
        <v>115</v>
      </c>
      <c r="M21" s="18">
        <v>140</v>
      </c>
      <c r="N21" s="18">
        <v>200</v>
      </c>
    </row>
    <row r="22" spans="1:14" x14ac:dyDescent="0.2">
      <c r="A22" s="16" t="s">
        <v>179</v>
      </c>
      <c r="B22" s="17" t="s">
        <v>40</v>
      </c>
      <c r="C22" s="18">
        <v>105</v>
      </c>
      <c r="D22" s="18">
        <v>100</v>
      </c>
      <c r="E22" s="18">
        <v>140</v>
      </c>
      <c r="F22" s="18">
        <v>145</v>
      </c>
      <c r="G22" s="18">
        <v>150</v>
      </c>
      <c r="H22" s="18">
        <v>125</v>
      </c>
      <c r="I22" s="18">
        <v>135</v>
      </c>
      <c r="J22" s="18">
        <v>120</v>
      </c>
      <c r="K22" s="18">
        <v>135</v>
      </c>
      <c r="L22" s="18">
        <v>90</v>
      </c>
      <c r="M22" s="18">
        <v>135</v>
      </c>
      <c r="N22" s="18">
        <v>185</v>
      </c>
    </row>
    <row r="23" spans="1:14" ht="36.6" customHeight="1" x14ac:dyDescent="0.2">
      <c r="A23" s="17" t="s">
        <v>180</v>
      </c>
      <c r="B23" s="17" t="s">
        <v>41</v>
      </c>
      <c r="C23" s="18">
        <v>85</v>
      </c>
      <c r="D23" s="18">
        <v>85</v>
      </c>
      <c r="E23" s="18">
        <v>120</v>
      </c>
      <c r="F23" s="18">
        <v>115</v>
      </c>
      <c r="G23" s="18">
        <v>125</v>
      </c>
      <c r="H23" s="18">
        <v>105</v>
      </c>
      <c r="I23" s="18">
        <v>80</v>
      </c>
      <c r="J23" s="18">
        <v>90</v>
      </c>
      <c r="K23" s="18">
        <v>90</v>
      </c>
      <c r="L23" s="18">
        <v>70</v>
      </c>
      <c r="M23" s="18">
        <v>90</v>
      </c>
      <c r="N23" s="18">
        <v>155</v>
      </c>
    </row>
    <row r="24" spans="1:14" x14ac:dyDescent="0.2">
      <c r="A24" s="16" t="s">
        <v>180</v>
      </c>
      <c r="B24" s="17" t="s">
        <v>42</v>
      </c>
      <c r="C24" s="18">
        <v>440</v>
      </c>
      <c r="D24" s="18">
        <v>505</v>
      </c>
      <c r="E24" s="18">
        <v>645</v>
      </c>
      <c r="F24" s="18">
        <v>680</v>
      </c>
      <c r="G24" s="18">
        <v>645</v>
      </c>
      <c r="H24" s="18">
        <v>570</v>
      </c>
      <c r="I24" s="18">
        <v>590</v>
      </c>
      <c r="J24" s="18">
        <v>585</v>
      </c>
      <c r="K24" s="18">
        <v>650</v>
      </c>
      <c r="L24" s="18">
        <v>440</v>
      </c>
      <c r="M24" s="18">
        <v>615</v>
      </c>
      <c r="N24" s="18">
        <v>930</v>
      </c>
    </row>
    <row r="25" spans="1:14" x14ac:dyDescent="0.2">
      <c r="A25" s="16" t="s">
        <v>180</v>
      </c>
      <c r="B25" s="17" t="s">
        <v>43</v>
      </c>
      <c r="C25" s="18">
        <v>530</v>
      </c>
      <c r="D25" s="18">
        <v>605</v>
      </c>
      <c r="E25" s="18">
        <v>710</v>
      </c>
      <c r="F25" s="18">
        <v>760</v>
      </c>
      <c r="G25" s="18">
        <v>815</v>
      </c>
      <c r="H25" s="18">
        <v>740</v>
      </c>
      <c r="I25" s="18">
        <v>770</v>
      </c>
      <c r="J25" s="18">
        <v>735</v>
      </c>
      <c r="K25" s="18">
        <v>755</v>
      </c>
      <c r="L25" s="18">
        <v>590</v>
      </c>
      <c r="M25" s="18">
        <v>765</v>
      </c>
      <c r="N25" s="18">
        <v>985</v>
      </c>
    </row>
    <row r="26" spans="1:14" x14ac:dyDescent="0.2">
      <c r="A26" s="16" t="s">
        <v>180</v>
      </c>
      <c r="B26" s="17" t="s">
        <v>44</v>
      </c>
      <c r="C26" s="18">
        <v>575</v>
      </c>
      <c r="D26" s="18">
        <v>685</v>
      </c>
      <c r="E26" s="18">
        <v>870</v>
      </c>
      <c r="F26" s="18">
        <v>955</v>
      </c>
      <c r="G26" s="18">
        <v>950</v>
      </c>
      <c r="H26" s="18">
        <v>825</v>
      </c>
      <c r="I26" s="18">
        <v>845</v>
      </c>
      <c r="J26" s="18">
        <v>825</v>
      </c>
      <c r="K26" s="18">
        <v>935</v>
      </c>
      <c r="L26" s="18">
        <v>720</v>
      </c>
      <c r="M26" s="18">
        <v>805</v>
      </c>
      <c r="N26" s="18">
        <v>1085</v>
      </c>
    </row>
    <row r="27" spans="1:14" ht="28.5" customHeight="1" x14ac:dyDescent="0.2">
      <c r="A27" s="17" t="s">
        <v>181</v>
      </c>
      <c r="B27" s="17" t="s">
        <v>45</v>
      </c>
      <c r="C27" s="18">
        <v>215</v>
      </c>
      <c r="D27" s="18">
        <v>240</v>
      </c>
      <c r="E27" s="18">
        <v>290</v>
      </c>
      <c r="F27" s="18">
        <v>310</v>
      </c>
      <c r="G27" s="18">
        <v>295</v>
      </c>
      <c r="H27" s="18">
        <v>275</v>
      </c>
      <c r="I27" s="18">
        <v>250</v>
      </c>
      <c r="J27" s="18">
        <v>260</v>
      </c>
      <c r="K27" s="18">
        <v>270</v>
      </c>
      <c r="L27" s="18">
        <v>195</v>
      </c>
      <c r="M27" s="18">
        <v>250</v>
      </c>
      <c r="N27" s="18">
        <v>440</v>
      </c>
    </row>
    <row r="28" spans="1:14" x14ac:dyDescent="0.2">
      <c r="A28" s="16" t="s">
        <v>181</v>
      </c>
      <c r="B28" s="17" t="s">
        <v>120</v>
      </c>
      <c r="C28" s="18">
        <v>105</v>
      </c>
      <c r="D28" s="18">
        <v>100</v>
      </c>
      <c r="E28" s="18">
        <v>140</v>
      </c>
      <c r="F28" s="18">
        <v>145</v>
      </c>
      <c r="G28" s="18">
        <v>150</v>
      </c>
      <c r="H28" s="18">
        <v>125</v>
      </c>
      <c r="I28" s="18">
        <v>135</v>
      </c>
      <c r="J28" s="18">
        <v>120</v>
      </c>
      <c r="K28" s="18">
        <v>135</v>
      </c>
      <c r="L28" s="18">
        <v>90</v>
      </c>
      <c r="M28" s="18">
        <v>135</v>
      </c>
      <c r="N28" s="18">
        <v>185</v>
      </c>
    </row>
    <row r="29" spans="1:14" x14ac:dyDescent="0.2">
      <c r="A29" s="16" t="s">
        <v>181</v>
      </c>
      <c r="B29" s="17" t="s">
        <v>46</v>
      </c>
      <c r="C29" s="18">
        <v>1100</v>
      </c>
      <c r="D29" s="18">
        <v>1320</v>
      </c>
      <c r="E29" s="18">
        <v>1690</v>
      </c>
      <c r="F29" s="18">
        <v>1800</v>
      </c>
      <c r="G29" s="18">
        <v>1805</v>
      </c>
      <c r="H29" s="18">
        <v>1595</v>
      </c>
      <c r="I29" s="18">
        <v>1660</v>
      </c>
      <c r="J29" s="18">
        <v>1625</v>
      </c>
      <c r="K29" s="18">
        <v>1795</v>
      </c>
      <c r="L29" s="18">
        <v>1360</v>
      </c>
      <c r="M29" s="18">
        <v>1660</v>
      </c>
      <c r="N29" s="18">
        <v>2260</v>
      </c>
    </row>
    <row r="30" spans="1:14" ht="30" customHeight="1" x14ac:dyDescent="0.2">
      <c r="A30" s="17" t="s">
        <v>47</v>
      </c>
      <c r="B30" s="17" t="s">
        <v>22</v>
      </c>
      <c r="C30" s="21">
        <v>215</v>
      </c>
      <c r="D30" s="21">
        <v>250</v>
      </c>
      <c r="E30" s="21">
        <v>295</v>
      </c>
      <c r="F30" s="21">
        <v>290</v>
      </c>
      <c r="G30" s="21">
        <v>225</v>
      </c>
      <c r="H30" s="21">
        <v>180</v>
      </c>
      <c r="I30" s="21">
        <v>165</v>
      </c>
      <c r="J30" s="21">
        <v>195</v>
      </c>
      <c r="K30" s="21">
        <v>250</v>
      </c>
      <c r="L30" s="21">
        <v>150</v>
      </c>
      <c r="M30" s="21">
        <v>155</v>
      </c>
      <c r="N30" s="21">
        <v>220</v>
      </c>
    </row>
    <row r="31" spans="1:14" x14ac:dyDescent="0.2">
      <c r="A31" s="16" t="s">
        <v>47</v>
      </c>
      <c r="B31" s="17" t="s">
        <v>23</v>
      </c>
      <c r="C31" s="21">
        <v>100</v>
      </c>
      <c r="D31" s="21">
        <v>140</v>
      </c>
      <c r="E31" s="21">
        <v>185</v>
      </c>
      <c r="F31" s="21">
        <v>185</v>
      </c>
      <c r="G31" s="21">
        <v>140</v>
      </c>
      <c r="H31" s="21">
        <v>115</v>
      </c>
      <c r="I31" s="21">
        <v>120</v>
      </c>
      <c r="J31" s="21">
        <v>105</v>
      </c>
      <c r="K31" s="21">
        <v>145</v>
      </c>
      <c r="L31" s="21">
        <v>90</v>
      </c>
      <c r="M31" s="21">
        <v>125</v>
      </c>
      <c r="N31" s="21">
        <v>165</v>
      </c>
    </row>
    <row r="32" spans="1:14" x14ac:dyDescent="0.2">
      <c r="A32" s="16" t="s">
        <v>47</v>
      </c>
      <c r="B32" s="17" t="s">
        <v>29</v>
      </c>
      <c r="C32" s="21">
        <v>50</v>
      </c>
      <c r="D32" s="21">
        <v>55</v>
      </c>
      <c r="E32" s="21">
        <v>65</v>
      </c>
      <c r="F32" s="21">
        <v>65</v>
      </c>
      <c r="G32" s="21">
        <v>60</v>
      </c>
      <c r="H32" s="21">
        <v>50</v>
      </c>
      <c r="I32" s="21">
        <v>55</v>
      </c>
      <c r="J32" s="21">
        <v>50</v>
      </c>
      <c r="K32" s="21">
        <v>65</v>
      </c>
      <c r="L32" s="21">
        <v>40</v>
      </c>
      <c r="M32" s="21">
        <v>55</v>
      </c>
      <c r="N32" s="21">
        <v>90</v>
      </c>
    </row>
    <row r="33" spans="1:14" x14ac:dyDescent="0.2">
      <c r="A33" s="16" t="s">
        <v>47</v>
      </c>
      <c r="B33" s="17" t="s">
        <v>24</v>
      </c>
      <c r="C33" s="21">
        <v>45</v>
      </c>
      <c r="D33" s="21">
        <v>50</v>
      </c>
      <c r="E33" s="21">
        <v>60</v>
      </c>
      <c r="F33" s="21">
        <v>65</v>
      </c>
      <c r="G33" s="21">
        <v>65</v>
      </c>
      <c r="H33" s="21">
        <v>65</v>
      </c>
      <c r="I33" s="21">
        <v>50</v>
      </c>
      <c r="J33" s="21">
        <v>60</v>
      </c>
      <c r="K33" s="21">
        <v>55</v>
      </c>
      <c r="L33" s="21">
        <v>40</v>
      </c>
      <c r="M33" s="21">
        <v>55</v>
      </c>
      <c r="N33" s="21">
        <v>85</v>
      </c>
    </row>
    <row r="34" spans="1:14" x14ac:dyDescent="0.2">
      <c r="A34" s="16" t="s">
        <v>47</v>
      </c>
      <c r="B34" s="17" t="s">
        <v>25</v>
      </c>
      <c r="C34" s="21">
        <v>265</v>
      </c>
      <c r="D34" s="21">
        <v>280</v>
      </c>
      <c r="E34" s="21">
        <v>340</v>
      </c>
      <c r="F34" s="21">
        <v>400</v>
      </c>
      <c r="G34" s="21">
        <v>430</v>
      </c>
      <c r="H34" s="21">
        <v>395</v>
      </c>
      <c r="I34" s="21">
        <v>400</v>
      </c>
      <c r="J34" s="21">
        <v>375</v>
      </c>
      <c r="K34" s="21">
        <v>395</v>
      </c>
      <c r="L34" s="21">
        <v>320</v>
      </c>
      <c r="M34" s="21">
        <v>350</v>
      </c>
      <c r="N34" s="21">
        <v>490</v>
      </c>
    </row>
    <row r="35" spans="1:14" x14ac:dyDescent="0.2">
      <c r="A35" s="16" t="s">
        <v>47</v>
      </c>
      <c r="B35" s="17" t="s">
        <v>2</v>
      </c>
      <c r="C35" s="21">
        <v>20</v>
      </c>
      <c r="D35" s="21">
        <v>20</v>
      </c>
      <c r="E35" s="21">
        <v>15</v>
      </c>
      <c r="F35" s="21">
        <v>25</v>
      </c>
      <c r="G35" s="21">
        <v>35</v>
      </c>
      <c r="H35" s="21">
        <v>30</v>
      </c>
      <c r="I35" s="21">
        <v>30</v>
      </c>
      <c r="J35" s="21">
        <v>30</v>
      </c>
      <c r="K35" s="21">
        <v>25</v>
      </c>
      <c r="L35" s="21">
        <v>20</v>
      </c>
      <c r="M35" s="21">
        <v>25</v>
      </c>
      <c r="N35" s="21">
        <v>25</v>
      </c>
    </row>
    <row r="36" spans="1:14" x14ac:dyDescent="0.2">
      <c r="A36" s="16" t="s">
        <v>47</v>
      </c>
      <c r="B36" s="17" t="s">
        <v>3</v>
      </c>
      <c r="C36" s="21">
        <v>75</v>
      </c>
      <c r="D36" s="21">
        <v>70</v>
      </c>
      <c r="E36" s="21">
        <v>100</v>
      </c>
      <c r="F36" s="21">
        <v>105</v>
      </c>
      <c r="G36" s="21">
        <v>110</v>
      </c>
      <c r="H36" s="21">
        <v>85</v>
      </c>
      <c r="I36" s="21">
        <v>90</v>
      </c>
      <c r="J36" s="21">
        <v>80</v>
      </c>
      <c r="K36" s="21">
        <v>90</v>
      </c>
      <c r="L36" s="21">
        <v>55</v>
      </c>
      <c r="M36" s="21">
        <v>90</v>
      </c>
      <c r="N36" s="21">
        <v>115</v>
      </c>
    </row>
    <row r="37" spans="1:14" x14ac:dyDescent="0.2">
      <c r="A37" s="16" t="s">
        <v>47</v>
      </c>
      <c r="B37" s="17" t="s">
        <v>30</v>
      </c>
      <c r="C37" s="21">
        <v>70</v>
      </c>
      <c r="D37" s="21">
        <v>85</v>
      </c>
      <c r="E37" s="21">
        <v>105</v>
      </c>
      <c r="F37" s="21">
        <v>110</v>
      </c>
      <c r="G37" s="21">
        <v>115</v>
      </c>
      <c r="H37" s="21">
        <v>110</v>
      </c>
      <c r="I37" s="21">
        <v>115</v>
      </c>
      <c r="J37" s="21">
        <v>90</v>
      </c>
      <c r="K37" s="21">
        <v>90</v>
      </c>
      <c r="L37" s="21">
        <v>70</v>
      </c>
      <c r="M37" s="21">
        <v>95</v>
      </c>
      <c r="N37" s="21">
        <v>130</v>
      </c>
    </row>
    <row r="38" spans="1:14" x14ac:dyDescent="0.2">
      <c r="A38" s="16" t="s">
        <v>47</v>
      </c>
      <c r="B38" s="17" t="s">
        <v>4</v>
      </c>
      <c r="C38" s="21">
        <v>45</v>
      </c>
      <c r="D38" s="21">
        <v>50</v>
      </c>
      <c r="E38" s="21">
        <v>65</v>
      </c>
      <c r="F38" s="21">
        <v>55</v>
      </c>
      <c r="G38" s="21">
        <v>65</v>
      </c>
      <c r="H38" s="21">
        <v>60</v>
      </c>
      <c r="I38" s="21">
        <v>60</v>
      </c>
      <c r="J38" s="21">
        <v>50</v>
      </c>
      <c r="K38" s="21">
        <v>55</v>
      </c>
      <c r="L38" s="21">
        <v>45</v>
      </c>
      <c r="M38" s="21">
        <v>60</v>
      </c>
      <c r="N38" s="21">
        <v>75</v>
      </c>
    </row>
    <row r="39" spans="1:14" x14ac:dyDescent="0.2">
      <c r="A39" s="16" t="s">
        <v>47</v>
      </c>
      <c r="B39" s="17" t="s">
        <v>32</v>
      </c>
      <c r="C39" s="21">
        <v>30</v>
      </c>
      <c r="D39" s="21">
        <v>40</v>
      </c>
      <c r="E39" s="21">
        <v>45</v>
      </c>
      <c r="F39" s="21">
        <v>45</v>
      </c>
      <c r="G39" s="21">
        <v>50</v>
      </c>
      <c r="H39" s="21">
        <v>50</v>
      </c>
      <c r="I39" s="21">
        <v>40</v>
      </c>
      <c r="J39" s="21">
        <v>35</v>
      </c>
      <c r="K39" s="21">
        <v>35</v>
      </c>
      <c r="L39" s="21">
        <v>25</v>
      </c>
      <c r="M39" s="21">
        <v>30</v>
      </c>
      <c r="N39" s="21">
        <v>50</v>
      </c>
    </row>
    <row r="40" spans="1:14" x14ac:dyDescent="0.2">
      <c r="A40" s="16" t="s">
        <v>47</v>
      </c>
      <c r="B40" s="17" t="s">
        <v>5</v>
      </c>
      <c r="C40" s="21">
        <v>40</v>
      </c>
      <c r="D40" s="21">
        <v>35</v>
      </c>
      <c r="E40" s="21">
        <v>50</v>
      </c>
      <c r="F40" s="21">
        <v>60</v>
      </c>
      <c r="G40" s="21">
        <v>50</v>
      </c>
      <c r="H40" s="21">
        <v>50</v>
      </c>
      <c r="I40" s="21">
        <v>60</v>
      </c>
      <c r="J40" s="21">
        <v>50</v>
      </c>
      <c r="K40" s="21">
        <v>50</v>
      </c>
      <c r="L40" s="21">
        <v>45</v>
      </c>
      <c r="M40" s="21">
        <v>60</v>
      </c>
      <c r="N40" s="21">
        <v>70</v>
      </c>
    </row>
    <row r="41" spans="1:14" x14ac:dyDescent="0.2">
      <c r="A41" s="16" t="s">
        <v>47</v>
      </c>
      <c r="B41" s="17" t="s">
        <v>6</v>
      </c>
      <c r="C41" s="21">
        <v>15</v>
      </c>
      <c r="D41" s="21">
        <v>20</v>
      </c>
      <c r="E41" s="21">
        <v>25</v>
      </c>
      <c r="F41" s="21">
        <v>30</v>
      </c>
      <c r="G41" s="21">
        <v>35</v>
      </c>
      <c r="H41" s="21">
        <v>35</v>
      </c>
      <c r="I41" s="21">
        <v>35</v>
      </c>
      <c r="J41" s="21">
        <v>30</v>
      </c>
      <c r="K41" s="21">
        <v>30</v>
      </c>
      <c r="L41" s="21">
        <v>25</v>
      </c>
      <c r="M41" s="21">
        <v>20</v>
      </c>
      <c r="N41" s="21">
        <v>35</v>
      </c>
    </row>
    <row r="42" spans="1:14" x14ac:dyDescent="0.2">
      <c r="A42" s="16" t="s">
        <v>47</v>
      </c>
      <c r="B42" s="17" t="s">
        <v>8</v>
      </c>
      <c r="C42" s="21">
        <v>60</v>
      </c>
      <c r="D42" s="21">
        <v>55</v>
      </c>
      <c r="E42" s="21">
        <v>80</v>
      </c>
      <c r="F42" s="21">
        <v>80</v>
      </c>
      <c r="G42" s="21">
        <v>90</v>
      </c>
      <c r="H42" s="21">
        <v>90</v>
      </c>
      <c r="I42" s="21">
        <v>80</v>
      </c>
      <c r="J42" s="21">
        <v>75</v>
      </c>
      <c r="K42" s="21">
        <v>70</v>
      </c>
      <c r="L42" s="21">
        <v>55</v>
      </c>
      <c r="M42" s="21">
        <v>80</v>
      </c>
      <c r="N42" s="21">
        <v>90</v>
      </c>
    </row>
    <row r="43" spans="1:14" x14ac:dyDescent="0.2">
      <c r="A43" s="16" t="s">
        <v>47</v>
      </c>
      <c r="B43" s="17" t="s">
        <v>9</v>
      </c>
      <c r="C43" s="21">
        <v>115</v>
      </c>
      <c r="D43" s="21">
        <v>120</v>
      </c>
      <c r="E43" s="21">
        <v>155</v>
      </c>
      <c r="F43" s="21">
        <v>150</v>
      </c>
      <c r="G43" s="21">
        <v>165</v>
      </c>
      <c r="H43" s="21">
        <v>150</v>
      </c>
      <c r="I43" s="21">
        <v>160</v>
      </c>
      <c r="J43" s="21">
        <v>135</v>
      </c>
      <c r="K43" s="21">
        <v>135</v>
      </c>
      <c r="L43" s="21">
        <v>125</v>
      </c>
      <c r="M43" s="21">
        <v>155</v>
      </c>
      <c r="N43" s="21">
        <v>215</v>
      </c>
    </row>
    <row r="44" spans="1:14" x14ac:dyDescent="0.2">
      <c r="A44" s="16" t="s">
        <v>47</v>
      </c>
      <c r="B44" s="17" t="s">
        <v>33</v>
      </c>
      <c r="C44" s="21">
        <v>265</v>
      </c>
      <c r="D44" s="21">
        <v>320</v>
      </c>
      <c r="E44" s="21">
        <v>375</v>
      </c>
      <c r="F44" s="21">
        <v>445</v>
      </c>
      <c r="G44" s="21">
        <v>465</v>
      </c>
      <c r="H44" s="21">
        <v>435</v>
      </c>
      <c r="I44" s="21">
        <v>455</v>
      </c>
      <c r="J44" s="21">
        <v>420</v>
      </c>
      <c r="K44" s="21">
        <v>430</v>
      </c>
      <c r="L44" s="21">
        <v>340</v>
      </c>
      <c r="M44" s="21">
        <v>385</v>
      </c>
      <c r="N44" s="21">
        <v>490</v>
      </c>
    </row>
    <row r="45" spans="1:14" x14ac:dyDescent="0.2">
      <c r="A45" s="16" t="s">
        <v>47</v>
      </c>
      <c r="B45" s="17" t="s">
        <v>10</v>
      </c>
      <c r="C45" s="21">
        <v>130</v>
      </c>
      <c r="D45" s="21">
        <v>140</v>
      </c>
      <c r="E45" s="21">
        <v>165</v>
      </c>
      <c r="F45" s="21">
        <v>175</v>
      </c>
      <c r="G45" s="21">
        <v>170</v>
      </c>
      <c r="H45" s="21">
        <v>165</v>
      </c>
      <c r="I45" s="21">
        <v>160</v>
      </c>
      <c r="J45" s="21">
        <v>160</v>
      </c>
      <c r="K45" s="21">
        <v>160</v>
      </c>
      <c r="L45" s="21">
        <v>115</v>
      </c>
      <c r="M45" s="21">
        <v>160</v>
      </c>
      <c r="N45" s="21">
        <v>260</v>
      </c>
    </row>
    <row r="46" spans="1:14" x14ac:dyDescent="0.2">
      <c r="A46" s="16" t="s">
        <v>47</v>
      </c>
      <c r="B46" s="17" t="s">
        <v>11</v>
      </c>
      <c r="C46" s="21">
        <v>40</v>
      </c>
      <c r="D46" s="21">
        <v>30</v>
      </c>
      <c r="E46" s="21">
        <v>45</v>
      </c>
      <c r="F46" s="21">
        <v>40</v>
      </c>
      <c r="G46" s="21">
        <v>45</v>
      </c>
      <c r="H46" s="21">
        <v>35</v>
      </c>
      <c r="I46" s="21">
        <v>35</v>
      </c>
      <c r="J46" s="21">
        <v>25</v>
      </c>
      <c r="K46" s="21">
        <v>25</v>
      </c>
      <c r="L46" s="21">
        <v>25</v>
      </c>
      <c r="M46" s="21">
        <v>25</v>
      </c>
      <c r="N46" s="21">
        <v>40</v>
      </c>
    </row>
    <row r="47" spans="1:14" x14ac:dyDescent="0.2">
      <c r="A47" s="16" t="s">
        <v>47</v>
      </c>
      <c r="B47" s="17" t="s">
        <v>12</v>
      </c>
      <c r="C47" s="21">
        <v>40</v>
      </c>
      <c r="D47" s="21">
        <v>35</v>
      </c>
      <c r="E47" s="21">
        <v>60</v>
      </c>
      <c r="F47" s="21">
        <v>60</v>
      </c>
      <c r="G47" s="21">
        <v>60</v>
      </c>
      <c r="H47" s="21">
        <v>55</v>
      </c>
      <c r="I47" s="21">
        <v>60</v>
      </c>
      <c r="J47" s="21">
        <v>55</v>
      </c>
      <c r="K47" s="21">
        <v>65</v>
      </c>
      <c r="L47" s="21">
        <v>50</v>
      </c>
      <c r="M47" s="21">
        <v>70</v>
      </c>
      <c r="N47" s="21">
        <v>85</v>
      </c>
    </row>
    <row r="48" spans="1:14" x14ac:dyDescent="0.2">
      <c r="A48" s="16" t="s">
        <v>47</v>
      </c>
      <c r="B48" s="17" t="s">
        <v>13</v>
      </c>
      <c r="C48" s="21">
        <v>45</v>
      </c>
      <c r="D48" s="21">
        <v>55</v>
      </c>
      <c r="E48" s="21">
        <v>55</v>
      </c>
      <c r="F48" s="21">
        <v>70</v>
      </c>
      <c r="G48" s="21">
        <v>60</v>
      </c>
      <c r="H48" s="21">
        <v>55</v>
      </c>
      <c r="I48" s="21">
        <v>55</v>
      </c>
      <c r="J48" s="21">
        <v>50</v>
      </c>
      <c r="K48" s="21">
        <v>60</v>
      </c>
      <c r="L48" s="21">
        <v>40</v>
      </c>
      <c r="M48" s="21">
        <v>55</v>
      </c>
      <c r="N48" s="21">
        <v>85</v>
      </c>
    </row>
    <row r="49" spans="1:14" x14ac:dyDescent="0.2">
      <c r="A49" s="16" t="s">
        <v>47</v>
      </c>
      <c r="B49" s="17" t="s">
        <v>7</v>
      </c>
      <c r="C49" s="21">
        <v>15</v>
      </c>
      <c r="D49" s="21">
        <v>15</v>
      </c>
      <c r="E49" s="21">
        <v>20</v>
      </c>
      <c r="F49" s="21">
        <v>25</v>
      </c>
      <c r="G49" s="21">
        <v>25</v>
      </c>
      <c r="H49" s="21">
        <v>20</v>
      </c>
      <c r="I49" s="21">
        <v>15</v>
      </c>
      <c r="J49" s="21">
        <v>15</v>
      </c>
      <c r="K49" s="21">
        <v>10</v>
      </c>
      <c r="L49" s="21">
        <v>10</v>
      </c>
      <c r="M49" s="21">
        <v>15</v>
      </c>
      <c r="N49" s="21">
        <v>25</v>
      </c>
    </row>
    <row r="50" spans="1:14" x14ac:dyDescent="0.2">
      <c r="A50" s="16" t="s">
        <v>47</v>
      </c>
      <c r="B50" s="17" t="s">
        <v>14</v>
      </c>
      <c r="C50" s="21">
        <v>55</v>
      </c>
      <c r="D50" s="21">
        <v>55</v>
      </c>
      <c r="E50" s="21">
        <v>65</v>
      </c>
      <c r="F50" s="21">
        <v>65</v>
      </c>
      <c r="G50" s="21">
        <v>60</v>
      </c>
      <c r="H50" s="21">
        <v>60</v>
      </c>
      <c r="I50" s="21">
        <v>65</v>
      </c>
      <c r="J50" s="21">
        <v>65</v>
      </c>
      <c r="K50" s="21">
        <v>50</v>
      </c>
      <c r="L50" s="21">
        <v>40</v>
      </c>
      <c r="M50" s="21">
        <v>50</v>
      </c>
      <c r="N50" s="21">
        <v>80</v>
      </c>
    </row>
    <row r="51" spans="1:14" x14ac:dyDescent="0.2">
      <c r="A51" s="16" t="s">
        <v>47</v>
      </c>
      <c r="B51" s="17" t="s">
        <v>31</v>
      </c>
      <c r="C51" s="21">
        <v>110</v>
      </c>
      <c r="D51" s="21">
        <v>125</v>
      </c>
      <c r="E51" s="21">
        <v>165</v>
      </c>
      <c r="F51" s="21">
        <v>170</v>
      </c>
      <c r="G51" s="21">
        <v>175</v>
      </c>
      <c r="H51" s="21">
        <v>170</v>
      </c>
      <c r="I51" s="21">
        <v>155</v>
      </c>
      <c r="J51" s="21">
        <v>145</v>
      </c>
      <c r="K51" s="21">
        <v>160</v>
      </c>
      <c r="L51" s="21">
        <v>125</v>
      </c>
      <c r="M51" s="21">
        <v>155</v>
      </c>
      <c r="N51" s="21">
        <v>195</v>
      </c>
    </row>
    <row r="52" spans="1:14" x14ac:dyDescent="0.2">
      <c r="A52" s="16" t="s">
        <v>47</v>
      </c>
      <c r="B52" s="17" t="s">
        <v>15</v>
      </c>
      <c r="C52" s="21">
        <v>15</v>
      </c>
      <c r="D52" s="21">
        <v>10</v>
      </c>
      <c r="E52" s="21">
        <v>15</v>
      </c>
      <c r="F52" s="21">
        <v>15</v>
      </c>
      <c r="G52" s="21">
        <v>15</v>
      </c>
      <c r="H52" s="21">
        <v>15</v>
      </c>
      <c r="I52" s="21">
        <v>10</v>
      </c>
      <c r="J52" s="21">
        <v>15</v>
      </c>
      <c r="K52" s="21">
        <v>15</v>
      </c>
      <c r="L52" s="21">
        <v>15</v>
      </c>
      <c r="M52" s="21">
        <v>15</v>
      </c>
      <c r="N52" s="21">
        <v>30</v>
      </c>
    </row>
    <row r="53" spans="1:14" x14ac:dyDescent="0.2">
      <c r="A53" s="16" t="s">
        <v>47</v>
      </c>
      <c r="B53" s="17" t="s">
        <v>16</v>
      </c>
      <c r="C53" s="21">
        <v>80</v>
      </c>
      <c r="D53" s="21">
        <v>75</v>
      </c>
      <c r="E53" s="21">
        <v>95</v>
      </c>
      <c r="F53" s="21">
        <v>100</v>
      </c>
      <c r="G53" s="21">
        <v>105</v>
      </c>
      <c r="H53" s="21">
        <v>105</v>
      </c>
      <c r="I53" s="21">
        <v>95</v>
      </c>
      <c r="J53" s="21">
        <v>100</v>
      </c>
      <c r="K53" s="21">
        <v>90</v>
      </c>
      <c r="L53" s="21">
        <v>60</v>
      </c>
      <c r="M53" s="21">
        <v>105</v>
      </c>
      <c r="N53" s="21">
        <v>145</v>
      </c>
    </row>
    <row r="54" spans="1:14" x14ac:dyDescent="0.2">
      <c r="A54" s="16" t="s">
        <v>47</v>
      </c>
      <c r="B54" s="17" t="s">
        <v>26</v>
      </c>
      <c r="C54" s="21">
        <v>90</v>
      </c>
      <c r="D54" s="21">
        <v>100</v>
      </c>
      <c r="E54" s="21">
        <v>100</v>
      </c>
      <c r="F54" s="21">
        <v>105</v>
      </c>
      <c r="G54" s="21">
        <v>120</v>
      </c>
      <c r="H54" s="21">
        <v>115</v>
      </c>
      <c r="I54" s="21">
        <v>125</v>
      </c>
      <c r="J54" s="21">
        <v>125</v>
      </c>
      <c r="K54" s="21">
        <v>110</v>
      </c>
      <c r="L54" s="21">
        <v>90</v>
      </c>
      <c r="M54" s="21">
        <v>95</v>
      </c>
      <c r="N54" s="21">
        <v>140</v>
      </c>
    </row>
    <row r="55" spans="1:14" x14ac:dyDescent="0.2">
      <c r="A55" s="16" t="s">
        <v>47</v>
      </c>
      <c r="B55" s="17" t="s">
        <v>17</v>
      </c>
      <c r="C55" s="21">
        <v>45</v>
      </c>
      <c r="D55" s="21">
        <v>50</v>
      </c>
      <c r="E55" s="21">
        <v>60</v>
      </c>
      <c r="F55" s="21">
        <v>55</v>
      </c>
      <c r="G55" s="21">
        <v>55</v>
      </c>
      <c r="H55" s="21">
        <v>55</v>
      </c>
      <c r="I55" s="21">
        <v>65</v>
      </c>
      <c r="J55" s="21">
        <v>55</v>
      </c>
      <c r="K55" s="21">
        <v>60</v>
      </c>
      <c r="L55" s="21">
        <v>45</v>
      </c>
      <c r="M55" s="21">
        <v>55</v>
      </c>
      <c r="N55" s="21">
        <v>90</v>
      </c>
    </row>
    <row r="56" spans="1:14" x14ac:dyDescent="0.2">
      <c r="A56" s="16" t="s">
        <v>47</v>
      </c>
      <c r="B56" s="17" t="s">
        <v>18</v>
      </c>
      <c r="C56" s="21">
        <v>20</v>
      </c>
      <c r="D56" s="21">
        <v>20</v>
      </c>
      <c r="E56" s="21">
        <v>30</v>
      </c>
      <c r="F56" s="21">
        <v>25</v>
      </c>
      <c r="G56" s="21">
        <v>35</v>
      </c>
      <c r="H56" s="21">
        <v>25</v>
      </c>
      <c r="I56" s="21">
        <v>15</v>
      </c>
      <c r="J56" s="21">
        <v>10</v>
      </c>
      <c r="K56" s="21">
        <v>15</v>
      </c>
      <c r="L56" s="21">
        <v>15</v>
      </c>
      <c r="M56" s="21">
        <v>15</v>
      </c>
      <c r="N56" s="21">
        <v>25</v>
      </c>
    </row>
    <row r="57" spans="1:14" x14ac:dyDescent="0.2">
      <c r="A57" s="16" t="s">
        <v>47</v>
      </c>
      <c r="B57" s="17" t="s">
        <v>19</v>
      </c>
      <c r="C57" s="21">
        <v>65</v>
      </c>
      <c r="D57" s="21">
        <v>75</v>
      </c>
      <c r="E57" s="21">
        <v>75</v>
      </c>
      <c r="F57" s="21">
        <v>70</v>
      </c>
      <c r="G57" s="21">
        <v>80</v>
      </c>
      <c r="H57" s="21">
        <v>90</v>
      </c>
      <c r="I57" s="21">
        <v>80</v>
      </c>
      <c r="J57" s="21">
        <v>85</v>
      </c>
      <c r="K57" s="21">
        <v>75</v>
      </c>
      <c r="L57" s="21">
        <v>60</v>
      </c>
      <c r="M57" s="21">
        <v>65</v>
      </c>
      <c r="N57" s="21">
        <v>85</v>
      </c>
    </row>
    <row r="58" spans="1:14" x14ac:dyDescent="0.2">
      <c r="A58" s="16" t="s">
        <v>47</v>
      </c>
      <c r="B58" s="17" t="s">
        <v>20</v>
      </c>
      <c r="C58" s="21">
        <v>120</v>
      </c>
      <c r="D58" s="21">
        <v>145</v>
      </c>
      <c r="E58" s="21">
        <v>140</v>
      </c>
      <c r="F58" s="21">
        <v>155</v>
      </c>
      <c r="G58" s="21">
        <v>170</v>
      </c>
      <c r="H58" s="21">
        <v>150</v>
      </c>
      <c r="I58" s="21">
        <v>155</v>
      </c>
      <c r="J58" s="21">
        <v>140</v>
      </c>
      <c r="K58" s="21">
        <v>150</v>
      </c>
      <c r="L58" s="21">
        <v>100</v>
      </c>
      <c r="M58" s="21">
        <v>145</v>
      </c>
      <c r="N58" s="21">
        <v>190</v>
      </c>
    </row>
    <row r="59" spans="1:14" x14ac:dyDescent="0.2">
      <c r="A59" s="16" t="s">
        <v>47</v>
      </c>
      <c r="B59" s="17" t="s">
        <v>21</v>
      </c>
      <c r="C59" s="21">
        <v>75</v>
      </c>
      <c r="D59" s="21">
        <v>70</v>
      </c>
      <c r="E59" s="21">
        <v>70</v>
      </c>
      <c r="F59" s="21">
        <v>65</v>
      </c>
      <c r="G59" s="21">
        <v>90</v>
      </c>
      <c r="H59" s="21">
        <v>90</v>
      </c>
      <c r="I59" s="21">
        <v>90</v>
      </c>
      <c r="J59" s="21">
        <v>90</v>
      </c>
      <c r="K59" s="21">
        <v>85</v>
      </c>
      <c r="L59" s="21">
        <v>65</v>
      </c>
      <c r="M59" s="21">
        <v>90</v>
      </c>
      <c r="N59" s="21">
        <v>95</v>
      </c>
    </row>
    <row r="60" spans="1:14" x14ac:dyDescent="0.2">
      <c r="A60" s="16" t="s">
        <v>47</v>
      </c>
      <c r="B60" s="17" t="s">
        <v>27</v>
      </c>
      <c r="C60" s="21">
        <v>40</v>
      </c>
      <c r="D60" s="21">
        <v>40</v>
      </c>
      <c r="E60" s="21">
        <v>40</v>
      </c>
      <c r="F60" s="21">
        <v>40</v>
      </c>
      <c r="G60" s="21">
        <v>40</v>
      </c>
      <c r="H60" s="21">
        <v>35</v>
      </c>
      <c r="I60" s="21">
        <v>35</v>
      </c>
      <c r="J60" s="21">
        <v>35</v>
      </c>
      <c r="K60" s="21">
        <v>45</v>
      </c>
      <c r="L60" s="21">
        <v>35</v>
      </c>
      <c r="M60" s="21">
        <v>35</v>
      </c>
      <c r="N60" s="21">
        <v>45</v>
      </c>
    </row>
    <row r="61" spans="1:14" x14ac:dyDescent="0.2">
      <c r="A61" s="16" t="s">
        <v>47</v>
      </c>
      <c r="B61" s="17" t="s">
        <v>28</v>
      </c>
      <c r="C61" s="21">
        <v>115</v>
      </c>
      <c r="D61" s="21">
        <v>120</v>
      </c>
      <c r="E61" s="21">
        <v>105</v>
      </c>
      <c r="F61" s="21">
        <v>145</v>
      </c>
      <c r="G61" s="21">
        <v>125</v>
      </c>
      <c r="H61" s="21">
        <v>135</v>
      </c>
      <c r="I61" s="21">
        <v>140</v>
      </c>
      <c r="J61" s="21">
        <v>125</v>
      </c>
      <c r="K61" s="21">
        <v>110</v>
      </c>
      <c r="L61" s="21">
        <v>75</v>
      </c>
      <c r="M61" s="21">
        <v>125</v>
      </c>
      <c r="N61" s="21">
        <v>145</v>
      </c>
    </row>
    <row r="62" spans="1:14" ht="29.1" customHeight="1" x14ac:dyDescent="0.2">
      <c r="A62" s="17" t="s">
        <v>182</v>
      </c>
      <c r="B62" s="17" t="s">
        <v>54</v>
      </c>
      <c r="C62" s="21" t="s">
        <v>190</v>
      </c>
      <c r="D62" s="21" t="s">
        <v>190</v>
      </c>
      <c r="E62" s="21">
        <v>405</v>
      </c>
      <c r="F62" s="21">
        <v>405</v>
      </c>
      <c r="G62" s="21">
        <v>300</v>
      </c>
      <c r="H62" s="21">
        <v>235</v>
      </c>
      <c r="I62" s="21">
        <v>225</v>
      </c>
      <c r="J62" s="21">
        <v>255</v>
      </c>
      <c r="K62" s="109">
        <v>335</v>
      </c>
      <c r="L62" s="21">
        <v>205</v>
      </c>
      <c r="M62" s="21">
        <v>225</v>
      </c>
      <c r="N62" s="21">
        <v>315</v>
      </c>
    </row>
    <row r="63" spans="1:14" x14ac:dyDescent="0.2">
      <c r="A63" s="16" t="s">
        <v>182</v>
      </c>
      <c r="B63" s="16" t="s">
        <v>55</v>
      </c>
      <c r="C63" s="21" t="s">
        <v>190</v>
      </c>
      <c r="D63" s="21" t="s">
        <v>190</v>
      </c>
      <c r="E63" s="21">
        <v>30</v>
      </c>
      <c r="F63" s="21">
        <v>25</v>
      </c>
      <c r="G63" s="21">
        <v>20</v>
      </c>
      <c r="H63" s="21">
        <v>10</v>
      </c>
      <c r="I63" s="21">
        <v>20</v>
      </c>
      <c r="J63" s="21">
        <v>20</v>
      </c>
      <c r="K63" s="21">
        <v>20</v>
      </c>
      <c r="L63" s="21">
        <v>15</v>
      </c>
      <c r="M63" s="21">
        <v>15</v>
      </c>
      <c r="N63" s="21">
        <v>30</v>
      </c>
    </row>
    <row r="64" spans="1:14" x14ac:dyDescent="0.2">
      <c r="A64" s="16" t="s">
        <v>182</v>
      </c>
      <c r="B64" s="16" t="s">
        <v>56</v>
      </c>
      <c r="C64" s="21" t="s">
        <v>190</v>
      </c>
      <c r="D64" s="21" t="s">
        <v>190</v>
      </c>
      <c r="E64" s="21">
        <v>40</v>
      </c>
      <c r="F64" s="21">
        <v>35</v>
      </c>
      <c r="G64" s="21">
        <v>30</v>
      </c>
      <c r="H64" s="21">
        <v>25</v>
      </c>
      <c r="I64" s="21">
        <v>30</v>
      </c>
      <c r="J64" s="21">
        <v>25</v>
      </c>
      <c r="K64" s="21">
        <v>30</v>
      </c>
      <c r="L64" s="21">
        <v>20</v>
      </c>
      <c r="M64" s="21">
        <v>25</v>
      </c>
      <c r="N64" s="21">
        <v>40</v>
      </c>
    </row>
    <row r="65" spans="1:14" x14ac:dyDescent="0.2">
      <c r="A65" s="16" t="s">
        <v>182</v>
      </c>
      <c r="B65" s="16" t="s">
        <v>57</v>
      </c>
      <c r="C65" s="21" t="s">
        <v>190</v>
      </c>
      <c r="D65" s="21" t="s">
        <v>190</v>
      </c>
      <c r="E65" s="21">
        <v>15</v>
      </c>
      <c r="F65" s="21">
        <v>10</v>
      </c>
      <c r="G65" s="21">
        <v>15</v>
      </c>
      <c r="H65" s="21">
        <v>15</v>
      </c>
      <c r="I65" s="21">
        <v>15</v>
      </c>
      <c r="J65" s="21">
        <v>15</v>
      </c>
      <c r="K65" s="21">
        <v>20</v>
      </c>
      <c r="L65" s="21">
        <v>20</v>
      </c>
      <c r="M65" s="21">
        <v>15</v>
      </c>
      <c r="N65" s="21">
        <v>25</v>
      </c>
    </row>
    <row r="66" spans="1:14" x14ac:dyDescent="0.2">
      <c r="A66" s="16" t="s">
        <v>182</v>
      </c>
      <c r="B66" s="16" t="s">
        <v>58</v>
      </c>
      <c r="C66" s="21" t="s">
        <v>190</v>
      </c>
      <c r="D66" s="21" t="s">
        <v>190</v>
      </c>
      <c r="E66" s="21">
        <v>80</v>
      </c>
      <c r="F66" s="21">
        <v>75</v>
      </c>
      <c r="G66" s="21">
        <v>85</v>
      </c>
      <c r="H66" s="21">
        <v>90</v>
      </c>
      <c r="I66" s="21">
        <v>90</v>
      </c>
      <c r="J66" s="21">
        <v>95</v>
      </c>
      <c r="K66" s="21">
        <v>80</v>
      </c>
      <c r="L66" s="21">
        <v>65</v>
      </c>
      <c r="M66" s="21">
        <v>70</v>
      </c>
      <c r="N66" s="21">
        <v>90</v>
      </c>
    </row>
    <row r="67" spans="1:14" x14ac:dyDescent="0.2">
      <c r="A67" s="16" t="s">
        <v>182</v>
      </c>
      <c r="B67" s="16" t="s">
        <v>96</v>
      </c>
      <c r="C67" s="21" t="s">
        <v>190</v>
      </c>
      <c r="D67" s="21" t="s">
        <v>190</v>
      </c>
      <c r="E67" s="21">
        <v>10</v>
      </c>
      <c r="F67" s="21">
        <v>15</v>
      </c>
      <c r="G67" s="21">
        <v>10</v>
      </c>
      <c r="H67" s="21">
        <v>5</v>
      </c>
      <c r="I67" s="21">
        <v>10</v>
      </c>
      <c r="J67" s="21">
        <v>10</v>
      </c>
      <c r="K67" s="21">
        <v>10</v>
      </c>
      <c r="L67" s="21">
        <v>5</v>
      </c>
      <c r="M67" s="21">
        <v>5</v>
      </c>
      <c r="N67" s="21">
        <v>20</v>
      </c>
    </row>
    <row r="68" spans="1:14" x14ac:dyDescent="0.2">
      <c r="A68" s="16" t="s">
        <v>182</v>
      </c>
      <c r="B68" s="16" t="s">
        <v>59</v>
      </c>
      <c r="C68" s="21" t="s">
        <v>190</v>
      </c>
      <c r="D68" s="21" t="s">
        <v>190</v>
      </c>
      <c r="E68" s="21">
        <v>5</v>
      </c>
      <c r="F68" s="21">
        <v>5</v>
      </c>
      <c r="G68" s="21">
        <v>10</v>
      </c>
      <c r="H68" s="21">
        <v>5</v>
      </c>
      <c r="I68" s="21">
        <v>5</v>
      </c>
      <c r="J68" s="21">
        <v>5</v>
      </c>
      <c r="K68" s="21">
        <v>5</v>
      </c>
      <c r="L68" s="21">
        <v>5</v>
      </c>
      <c r="M68" s="21">
        <v>10</v>
      </c>
      <c r="N68" s="21">
        <v>15</v>
      </c>
    </row>
    <row r="69" spans="1:14" x14ac:dyDescent="0.2">
      <c r="A69" s="16" t="s">
        <v>182</v>
      </c>
      <c r="B69" s="16" t="s">
        <v>60</v>
      </c>
      <c r="C69" s="21" t="s">
        <v>190</v>
      </c>
      <c r="D69" s="21" t="s">
        <v>190</v>
      </c>
      <c r="E69" s="21">
        <v>10</v>
      </c>
      <c r="F69" s="21">
        <v>15</v>
      </c>
      <c r="G69" s="21">
        <v>10</v>
      </c>
      <c r="H69" s="21">
        <v>10</v>
      </c>
      <c r="I69" s="21">
        <v>10</v>
      </c>
      <c r="J69" s="21">
        <v>10</v>
      </c>
      <c r="K69" s="21">
        <v>10</v>
      </c>
      <c r="L69" s="21">
        <v>10</v>
      </c>
      <c r="M69" s="21">
        <v>10</v>
      </c>
      <c r="N69" s="21">
        <v>10</v>
      </c>
    </row>
    <row r="70" spans="1:14" x14ac:dyDescent="0.2">
      <c r="A70" s="16" t="s">
        <v>182</v>
      </c>
      <c r="B70" s="16" t="s">
        <v>97</v>
      </c>
      <c r="C70" s="21" t="s">
        <v>190</v>
      </c>
      <c r="D70" s="21" t="s">
        <v>190</v>
      </c>
      <c r="E70" s="21">
        <v>10</v>
      </c>
      <c r="F70" s="21">
        <v>5</v>
      </c>
      <c r="G70" s="21">
        <v>15</v>
      </c>
      <c r="H70" s="21">
        <v>10</v>
      </c>
      <c r="I70" s="21">
        <v>5</v>
      </c>
      <c r="J70" s="21">
        <v>5</v>
      </c>
      <c r="K70" s="21">
        <v>10</v>
      </c>
      <c r="L70" s="21">
        <v>10</v>
      </c>
      <c r="M70" s="21">
        <v>10</v>
      </c>
      <c r="N70" s="21">
        <v>10</v>
      </c>
    </row>
    <row r="71" spans="1:14" x14ac:dyDescent="0.2">
      <c r="A71" s="16" t="s">
        <v>182</v>
      </c>
      <c r="B71" s="16" t="s">
        <v>61</v>
      </c>
      <c r="C71" s="21" t="s">
        <v>190</v>
      </c>
      <c r="D71" s="21" t="s">
        <v>190</v>
      </c>
      <c r="E71" s="21">
        <v>15</v>
      </c>
      <c r="F71" s="21">
        <v>20</v>
      </c>
      <c r="G71" s="21">
        <v>15</v>
      </c>
      <c r="H71" s="21">
        <v>5</v>
      </c>
      <c r="I71" s="21">
        <v>10</v>
      </c>
      <c r="J71" s="21">
        <v>10</v>
      </c>
      <c r="K71" s="21">
        <v>15</v>
      </c>
      <c r="L71" s="21">
        <v>15</v>
      </c>
      <c r="M71" s="21">
        <v>15</v>
      </c>
      <c r="N71" s="21">
        <v>20</v>
      </c>
    </row>
    <row r="72" spans="1:14" x14ac:dyDescent="0.2">
      <c r="A72" s="16" t="s">
        <v>182</v>
      </c>
      <c r="B72" s="16" t="s">
        <v>62</v>
      </c>
      <c r="C72" s="21" t="s">
        <v>190</v>
      </c>
      <c r="D72" s="21" t="s">
        <v>190</v>
      </c>
      <c r="E72" s="21">
        <v>30</v>
      </c>
      <c r="F72" s="21">
        <v>40</v>
      </c>
      <c r="G72" s="21">
        <v>45</v>
      </c>
      <c r="H72" s="21">
        <v>35</v>
      </c>
      <c r="I72" s="21">
        <v>30</v>
      </c>
      <c r="J72" s="21">
        <v>35</v>
      </c>
      <c r="K72" s="21">
        <v>30</v>
      </c>
      <c r="L72" s="21">
        <v>30</v>
      </c>
      <c r="M72" s="21">
        <v>35</v>
      </c>
      <c r="N72" s="21">
        <v>40</v>
      </c>
    </row>
    <row r="73" spans="1:14" x14ac:dyDescent="0.2">
      <c r="A73" s="16" t="s">
        <v>182</v>
      </c>
      <c r="B73" s="16" t="s">
        <v>63</v>
      </c>
      <c r="C73" s="21" t="s">
        <v>190</v>
      </c>
      <c r="D73" s="21" t="s">
        <v>190</v>
      </c>
      <c r="E73" s="21">
        <v>80</v>
      </c>
      <c r="F73" s="21">
        <v>85</v>
      </c>
      <c r="G73" s="21">
        <v>80</v>
      </c>
      <c r="H73" s="21">
        <v>65</v>
      </c>
      <c r="I73" s="21">
        <v>65</v>
      </c>
      <c r="J73" s="21">
        <v>55</v>
      </c>
      <c r="K73" s="21">
        <v>55</v>
      </c>
      <c r="L73" s="21">
        <v>40</v>
      </c>
      <c r="M73" s="21">
        <v>60</v>
      </c>
      <c r="N73" s="21">
        <v>75</v>
      </c>
    </row>
    <row r="74" spans="1:14" x14ac:dyDescent="0.2">
      <c r="A74" s="16" t="s">
        <v>182</v>
      </c>
      <c r="B74" s="16" t="s">
        <v>64</v>
      </c>
      <c r="C74" s="21" t="s">
        <v>190</v>
      </c>
      <c r="D74" s="21" t="s">
        <v>190</v>
      </c>
      <c r="E74" s="21">
        <v>135</v>
      </c>
      <c r="F74" s="21">
        <v>140</v>
      </c>
      <c r="G74" s="21">
        <v>145</v>
      </c>
      <c r="H74" s="21">
        <v>130</v>
      </c>
      <c r="I74" s="21">
        <v>140</v>
      </c>
      <c r="J74" s="21">
        <v>115</v>
      </c>
      <c r="K74" s="21">
        <v>130</v>
      </c>
      <c r="L74" s="21">
        <v>85</v>
      </c>
      <c r="M74" s="21">
        <v>125</v>
      </c>
      <c r="N74" s="21">
        <v>175</v>
      </c>
    </row>
    <row r="75" spans="1:14" x14ac:dyDescent="0.2">
      <c r="A75" s="16" t="s">
        <v>182</v>
      </c>
      <c r="B75" s="16" t="s">
        <v>65</v>
      </c>
      <c r="C75" s="21" t="s">
        <v>190</v>
      </c>
      <c r="D75" s="21" t="s">
        <v>190</v>
      </c>
      <c r="E75" s="21">
        <v>130</v>
      </c>
      <c r="F75" s="21">
        <v>135</v>
      </c>
      <c r="G75" s="21">
        <v>135</v>
      </c>
      <c r="H75" s="21">
        <v>130</v>
      </c>
      <c r="I75" s="21">
        <v>135</v>
      </c>
      <c r="J75" s="21">
        <v>105</v>
      </c>
      <c r="K75" s="21">
        <v>110</v>
      </c>
      <c r="L75" s="21">
        <v>105</v>
      </c>
      <c r="M75" s="21">
        <v>125</v>
      </c>
      <c r="N75" s="21">
        <v>160</v>
      </c>
    </row>
    <row r="76" spans="1:14" x14ac:dyDescent="0.2">
      <c r="A76" s="16" t="s">
        <v>182</v>
      </c>
      <c r="B76" s="16" t="s">
        <v>66</v>
      </c>
      <c r="C76" s="21" t="s">
        <v>190</v>
      </c>
      <c r="D76" s="21" t="s">
        <v>190</v>
      </c>
      <c r="E76" s="21">
        <v>15</v>
      </c>
      <c r="F76" s="21">
        <v>15</v>
      </c>
      <c r="G76" s="21">
        <v>15</v>
      </c>
      <c r="H76" s="21">
        <v>15</v>
      </c>
      <c r="I76" s="21">
        <v>10</v>
      </c>
      <c r="J76" s="21">
        <v>15</v>
      </c>
      <c r="K76" s="21">
        <v>10</v>
      </c>
      <c r="L76" s="21">
        <v>5</v>
      </c>
      <c r="M76" s="21">
        <v>15</v>
      </c>
      <c r="N76" s="21">
        <v>15</v>
      </c>
    </row>
    <row r="77" spans="1:14" x14ac:dyDescent="0.2">
      <c r="A77" s="16" t="s">
        <v>182</v>
      </c>
      <c r="B77" s="16" t="s">
        <v>67</v>
      </c>
      <c r="C77" s="21" t="s">
        <v>190</v>
      </c>
      <c r="D77" s="21" t="s">
        <v>190</v>
      </c>
      <c r="E77" s="21">
        <v>405</v>
      </c>
      <c r="F77" s="21">
        <v>465</v>
      </c>
      <c r="G77" s="21">
        <v>495</v>
      </c>
      <c r="H77" s="21">
        <v>460</v>
      </c>
      <c r="I77" s="21">
        <v>480</v>
      </c>
      <c r="J77" s="21">
        <v>450</v>
      </c>
      <c r="K77" s="21">
        <v>475</v>
      </c>
      <c r="L77" s="21">
        <v>385</v>
      </c>
      <c r="M77" s="21">
        <v>450</v>
      </c>
      <c r="N77" s="21">
        <v>590</v>
      </c>
    </row>
    <row r="78" spans="1:14" x14ac:dyDescent="0.2">
      <c r="A78" s="16" t="s">
        <v>182</v>
      </c>
      <c r="B78" s="16" t="s">
        <v>68</v>
      </c>
      <c r="C78" s="21" t="s">
        <v>190</v>
      </c>
      <c r="D78" s="21" t="s">
        <v>190</v>
      </c>
      <c r="E78" s="21">
        <v>60</v>
      </c>
      <c r="F78" s="21">
        <v>75</v>
      </c>
      <c r="G78" s="21">
        <v>65</v>
      </c>
      <c r="H78" s="21">
        <v>55</v>
      </c>
      <c r="I78" s="21">
        <v>55</v>
      </c>
      <c r="J78" s="21">
        <v>55</v>
      </c>
      <c r="K78" s="21">
        <v>65</v>
      </c>
      <c r="L78" s="21">
        <v>45</v>
      </c>
      <c r="M78" s="21">
        <v>60</v>
      </c>
      <c r="N78" s="21">
        <v>85</v>
      </c>
    </row>
    <row r="79" spans="1:14" x14ac:dyDescent="0.2">
      <c r="A79" s="16" t="s">
        <v>182</v>
      </c>
      <c r="B79" s="16" t="s">
        <v>69</v>
      </c>
      <c r="C79" s="21" t="s">
        <v>190</v>
      </c>
      <c r="D79" s="21" t="s">
        <v>190</v>
      </c>
      <c r="E79" s="21">
        <v>135</v>
      </c>
      <c r="F79" s="21">
        <v>140</v>
      </c>
      <c r="G79" s="21">
        <v>165</v>
      </c>
      <c r="H79" s="21">
        <v>165</v>
      </c>
      <c r="I79" s="21">
        <v>155</v>
      </c>
      <c r="J79" s="21">
        <v>160</v>
      </c>
      <c r="K79" s="21">
        <v>145</v>
      </c>
      <c r="L79" s="21">
        <v>115</v>
      </c>
      <c r="M79" s="21">
        <v>165</v>
      </c>
      <c r="N79" s="21">
        <v>175</v>
      </c>
    </row>
    <row r="80" spans="1:14" x14ac:dyDescent="0.2">
      <c r="A80" s="16" t="s">
        <v>182</v>
      </c>
      <c r="B80" s="16" t="s">
        <v>70</v>
      </c>
      <c r="C80" s="21" t="s">
        <v>190</v>
      </c>
      <c r="D80" s="21" t="s">
        <v>190</v>
      </c>
      <c r="E80" s="21">
        <v>25</v>
      </c>
      <c r="F80" s="21">
        <v>25</v>
      </c>
      <c r="G80" s="21">
        <v>25</v>
      </c>
      <c r="H80" s="21">
        <v>25</v>
      </c>
      <c r="I80" s="21">
        <v>25</v>
      </c>
      <c r="J80" s="21">
        <v>15</v>
      </c>
      <c r="K80" s="21">
        <v>20</v>
      </c>
      <c r="L80" s="21">
        <v>20</v>
      </c>
      <c r="M80" s="21">
        <v>25</v>
      </c>
      <c r="N80" s="21">
        <v>40</v>
      </c>
    </row>
    <row r="81" spans="1:14" x14ac:dyDescent="0.2">
      <c r="A81" s="16" t="s">
        <v>182</v>
      </c>
      <c r="B81" s="16" t="s">
        <v>71</v>
      </c>
      <c r="C81" s="21" t="s">
        <v>190</v>
      </c>
      <c r="D81" s="21" t="s">
        <v>190</v>
      </c>
      <c r="E81" s="21">
        <v>20</v>
      </c>
      <c r="F81" s="21">
        <v>20</v>
      </c>
      <c r="G81" s="21">
        <v>15</v>
      </c>
      <c r="H81" s="21">
        <v>15</v>
      </c>
      <c r="I81" s="21">
        <v>10</v>
      </c>
      <c r="J81" s="21">
        <v>10</v>
      </c>
      <c r="K81" s="21">
        <v>10</v>
      </c>
      <c r="L81" s="21">
        <v>10</v>
      </c>
      <c r="M81" s="21">
        <v>15</v>
      </c>
      <c r="N81" s="21">
        <v>10</v>
      </c>
    </row>
    <row r="82" spans="1:14" x14ac:dyDescent="0.2">
      <c r="A82" s="16" t="s">
        <v>182</v>
      </c>
      <c r="B82" s="16" t="s">
        <v>72</v>
      </c>
      <c r="C82" s="21" t="s">
        <v>190</v>
      </c>
      <c r="D82" s="21" t="s">
        <v>190</v>
      </c>
      <c r="E82" s="21">
        <v>40</v>
      </c>
      <c r="F82" s="21">
        <v>35</v>
      </c>
      <c r="G82" s="21">
        <v>40</v>
      </c>
      <c r="H82" s="21">
        <v>40</v>
      </c>
      <c r="I82" s="21">
        <v>40</v>
      </c>
      <c r="J82" s="21">
        <v>35</v>
      </c>
      <c r="K82" s="21">
        <v>40</v>
      </c>
      <c r="L82" s="21">
        <v>35</v>
      </c>
      <c r="M82" s="21">
        <v>45</v>
      </c>
      <c r="N82" s="21">
        <v>55</v>
      </c>
    </row>
    <row r="83" spans="1:14" x14ac:dyDescent="0.2">
      <c r="A83" s="16" t="s">
        <v>182</v>
      </c>
      <c r="B83" s="16" t="s">
        <v>73</v>
      </c>
      <c r="C83" s="21" t="s">
        <v>190</v>
      </c>
      <c r="D83" s="21" t="s">
        <v>190</v>
      </c>
      <c r="E83" s="21">
        <v>5</v>
      </c>
      <c r="F83" s="21">
        <v>10</v>
      </c>
      <c r="G83" s="21">
        <v>10</v>
      </c>
      <c r="H83" s="21">
        <v>10</v>
      </c>
      <c r="I83" s="21">
        <v>10</v>
      </c>
      <c r="J83" s="21">
        <v>5</v>
      </c>
      <c r="K83" s="21">
        <v>10</v>
      </c>
      <c r="L83" s="21">
        <v>5</v>
      </c>
      <c r="M83" s="21">
        <v>5</v>
      </c>
      <c r="N83" s="21">
        <v>5</v>
      </c>
    </row>
    <row r="84" spans="1:14" x14ac:dyDescent="0.2">
      <c r="A84" s="16" t="s">
        <v>182</v>
      </c>
      <c r="B84" s="16" t="s">
        <v>53</v>
      </c>
      <c r="C84" s="21" t="s">
        <v>190</v>
      </c>
      <c r="D84" s="21" t="s">
        <v>190</v>
      </c>
      <c r="E84" s="21">
        <v>555</v>
      </c>
      <c r="F84" s="21">
        <v>645</v>
      </c>
      <c r="G84" s="21">
        <v>685</v>
      </c>
      <c r="H84" s="21">
        <v>620</v>
      </c>
      <c r="I84" s="21">
        <v>645</v>
      </c>
      <c r="J84" s="21">
        <v>615</v>
      </c>
      <c r="K84" s="21">
        <v>625</v>
      </c>
      <c r="L84" s="21">
        <v>510</v>
      </c>
      <c r="M84" s="21">
        <v>560</v>
      </c>
      <c r="N84" s="21">
        <v>745</v>
      </c>
    </row>
    <row r="85" spans="1:14" x14ac:dyDescent="0.2">
      <c r="A85" s="16" t="s">
        <v>182</v>
      </c>
      <c r="B85" s="16" t="s">
        <v>74</v>
      </c>
      <c r="C85" s="21" t="s">
        <v>190</v>
      </c>
      <c r="D85" s="21" t="s">
        <v>190</v>
      </c>
      <c r="E85" s="21">
        <v>5</v>
      </c>
      <c r="F85" s="21">
        <v>0</v>
      </c>
      <c r="G85" s="21">
        <v>5</v>
      </c>
      <c r="H85" s="21">
        <v>5</v>
      </c>
      <c r="I85" s="21">
        <v>10</v>
      </c>
      <c r="J85" s="21">
        <v>10</v>
      </c>
      <c r="K85" s="21">
        <v>10</v>
      </c>
      <c r="L85" s="21">
        <v>10</v>
      </c>
      <c r="M85" s="21">
        <v>5</v>
      </c>
      <c r="N85" s="21">
        <v>15</v>
      </c>
    </row>
    <row r="86" spans="1:14" x14ac:dyDescent="0.2">
      <c r="A86" s="16" t="s">
        <v>182</v>
      </c>
      <c r="B86" s="16" t="s">
        <v>75</v>
      </c>
      <c r="C86" s="21" t="s">
        <v>190</v>
      </c>
      <c r="D86" s="21" t="s">
        <v>190</v>
      </c>
      <c r="E86" s="21">
        <v>45</v>
      </c>
      <c r="F86" s="21">
        <v>40</v>
      </c>
      <c r="G86" s="21">
        <v>45</v>
      </c>
      <c r="H86" s="21">
        <v>35</v>
      </c>
      <c r="I86" s="21">
        <v>35</v>
      </c>
      <c r="J86" s="21">
        <v>25</v>
      </c>
      <c r="K86" s="21">
        <v>25</v>
      </c>
      <c r="L86" s="21">
        <v>25</v>
      </c>
      <c r="M86" s="21">
        <v>25</v>
      </c>
      <c r="N86" s="21">
        <v>40</v>
      </c>
    </row>
    <row r="87" spans="1:14" x14ac:dyDescent="0.2">
      <c r="A87" s="16" t="s">
        <v>182</v>
      </c>
      <c r="B87" s="16" t="s">
        <v>76</v>
      </c>
      <c r="C87" s="21" t="s">
        <v>190</v>
      </c>
      <c r="D87" s="21" t="s">
        <v>190</v>
      </c>
      <c r="E87" s="21">
        <v>25</v>
      </c>
      <c r="F87" s="21">
        <v>15</v>
      </c>
      <c r="G87" s="21">
        <v>20</v>
      </c>
      <c r="H87" s="21">
        <v>15</v>
      </c>
      <c r="I87" s="21">
        <v>20</v>
      </c>
      <c r="J87" s="21">
        <v>20</v>
      </c>
      <c r="K87" s="21">
        <v>20</v>
      </c>
      <c r="L87" s="21">
        <v>15</v>
      </c>
      <c r="M87" s="21">
        <v>10</v>
      </c>
      <c r="N87" s="21">
        <v>20</v>
      </c>
    </row>
    <row r="88" spans="1:14" x14ac:dyDescent="0.2">
      <c r="A88" s="16" t="s">
        <v>182</v>
      </c>
      <c r="B88" s="16" t="s">
        <v>77</v>
      </c>
      <c r="C88" s="21" t="s">
        <v>190</v>
      </c>
      <c r="D88" s="21" t="s">
        <v>190</v>
      </c>
      <c r="E88" s="21">
        <v>100</v>
      </c>
      <c r="F88" s="21">
        <v>120</v>
      </c>
      <c r="G88" s="21">
        <v>120</v>
      </c>
      <c r="H88" s="21">
        <v>105</v>
      </c>
      <c r="I88" s="21">
        <v>100</v>
      </c>
      <c r="J88" s="21">
        <v>100</v>
      </c>
      <c r="K88" s="21">
        <v>105</v>
      </c>
      <c r="L88" s="21">
        <v>70</v>
      </c>
      <c r="M88" s="21">
        <v>100</v>
      </c>
      <c r="N88" s="21">
        <v>150</v>
      </c>
    </row>
    <row r="89" spans="1:14" x14ac:dyDescent="0.2">
      <c r="A89" s="16" t="s">
        <v>182</v>
      </c>
      <c r="B89" s="16" t="s">
        <v>78</v>
      </c>
      <c r="C89" s="21" t="s">
        <v>190</v>
      </c>
      <c r="D89" s="21" t="s">
        <v>190</v>
      </c>
      <c r="E89" s="21">
        <v>95</v>
      </c>
      <c r="F89" s="21">
        <v>95</v>
      </c>
      <c r="G89" s="21">
        <v>95</v>
      </c>
      <c r="H89" s="21">
        <v>90</v>
      </c>
      <c r="I89" s="21">
        <v>95</v>
      </c>
      <c r="J89" s="21">
        <v>90</v>
      </c>
      <c r="K89" s="21">
        <v>85</v>
      </c>
      <c r="L89" s="21">
        <v>60</v>
      </c>
      <c r="M89" s="21">
        <v>85</v>
      </c>
      <c r="N89" s="21">
        <v>120</v>
      </c>
    </row>
    <row r="90" spans="1:14" x14ac:dyDescent="0.2">
      <c r="A90" s="16" t="s">
        <v>182</v>
      </c>
      <c r="B90" s="16" t="s">
        <v>79</v>
      </c>
      <c r="C90" s="21" t="s">
        <v>190</v>
      </c>
      <c r="D90" s="21" t="s">
        <v>190</v>
      </c>
      <c r="E90" s="21">
        <v>110</v>
      </c>
      <c r="F90" s="21">
        <v>150</v>
      </c>
      <c r="G90" s="21">
        <v>135</v>
      </c>
      <c r="H90" s="21">
        <v>145</v>
      </c>
      <c r="I90" s="21">
        <v>150</v>
      </c>
      <c r="J90" s="21">
        <v>130</v>
      </c>
      <c r="K90" s="21">
        <v>115</v>
      </c>
      <c r="L90" s="21">
        <v>75</v>
      </c>
      <c r="M90" s="21">
        <v>130</v>
      </c>
      <c r="N90" s="21">
        <v>150</v>
      </c>
    </row>
    <row r="91" spans="1:14" x14ac:dyDescent="0.2">
      <c r="A91" s="16" t="s">
        <v>182</v>
      </c>
      <c r="B91" s="16" t="s">
        <v>80</v>
      </c>
      <c r="C91" s="21" t="s">
        <v>190</v>
      </c>
      <c r="D91" s="21" t="s">
        <v>190</v>
      </c>
      <c r="E91" s="21">
        <v>10</v>
      </c>
      <c r="F91" s="21">
        <v>10</v>
      </c>
      <c r="G91" s="21">
        <v>10</v>
      </c>
      <c r="H91" s="21">
        <v>10</v>
      </c>
      <c r="I91" s="21">
        <v>5</v>
      </c>
      <c r="J91" s="21">
        <v>5</v>
      </c>
      <c r="K91" s="21">
        <v>10</v>
      </c>
      <c r="L91" s="21">
        <v>5</v>
      </c>
      <c r="M91" s="21">
        <v>5</v>
      </c>
      <c r="N91" s="21">
        <v>10</v>
      </c>
    </row>
    <row r="92" spans="1:14" x14ac:dyDescent="0.2">
      <c r="A92" s="16" t="s">
        <v>182</v>
      </c>
      <c r="B92" s="16" t="s">
        <v>81</v>
      </c>
      <c r="C92" s="21" t="s">
        <v>190</v>
      </c>
      <c r="D92" s="21" t="s">
        <v>190</v>
      </c>
      <c r="E92" s="21">
        <v>190</v>
      </c>
      <c r="F92" s="21">
        <v>185</v>
      </c>
      <c r="G92" s="21">
        <v>205</v>
      </c>
      <c r="H92" s="21">
        <v>195</v>
      </c>
      <c r="I92" s="21">
        <v>190</v>
      </c>
      <c r="J92" s="21">
        <v>165</v>
      </c>
      <c r="K92" s="21">
        <v>200</v>
      </c>
      <c r="L92" s="21">
        <v>130</v>
      </c>
      <c r="M92" s="21">
        <v>190</v>
      </c>
      <c r="N92" s="21">
        <v>240</v>
      </c>
    </row>
    <row r="93" spans="1:14" x14ac:dyDescent="0.2">
      <c r="A93" s="16" t="s">
        <v>182</v>
      </c>
      <c r="B93" s="16" t="s">
        <v>82</v>
      </c>
      <c r="C93" s="21" t="s">
        <v>190</v>
      </c>
      <c r="D93" s="21" t="s">
        <v>190</v>
      </c>
      <c r="E93" s="21">
        <v>5</v>
      </c>
      <c r="F93" s="21">
        <v>10</v>
      </c>
      <c r="G93" s="21">
        <v>5</v>
      </c>
      <c r="H93" s="21">
        <v>10</v>
      </c>
      <c r="I93" s="21">
        <v>10</v>
      </c>
      <c r="J93" s="21">
        <v>10</v>
      </c>
      <c r="K93" s="21">
        <v>5</v>
      </c>
      <c r="L93" s="21">
        <v>5</v>
      </c>
      <c r="M93" s="21">
        <v>5</v>
      </c>
      <c r="N93" s="21">
        <v>15</v>
      </c>
    </row>
    <row r="94" spans="1:14" x14ac:dyDescent="0.2">
      <c r="A94" s="16" t="s">
        <v>182</v>
      </c>
      <c r="B94" s="16" t="s">
        <v>83</v>
      </c>
      <c r="C94" s="21" t="s">
        <v>190</v>
      </c>
      <c r="D94" s="21" t="s">
        <v>190</v>
      </c>
      <c r="E94" s="21">
        <v>5</v>
      </c>
      <c r="F94" s="21">
        <v>10</v>
      </c>
      <c r="G94" s="21">
        <v>10</v>
      </c>
      <c r="H94" s="21">
        <v>10</v>
      </c>
      <c r="I94" s="21">
        <v>10</v>
      </c>
      <c r="J94" s="21">
        <v>10</v>
      </c>
      <c r="K94" s="21">
        <v>10</v>
      </c>
      <c r="L94" s="21">
        <v>5</v>
      </c>
      <c r="M94" s="21">
        <v>10</v>
      </c>
      <c r="N94" s="21">
        <v>15</v>
      </c>
    </row>
    <row r="95" spans="1:14" x14ac:dyDescent="0.2">
      <c r="A95" s="16" t="s">
        <v>182</v>
      </c>
      <c r="B95" s="16" t="s">
        <v>84</v>
      </c>
      <c r="C95" s="21" t="s">
        <v>190</v>
      </c>
      <c r="D95" s="21" t="s">
        <v>190</v>
      </c>
      <c r="E95" s="21">
        <v>20</v>
      </c>
      <c r="F95" s="21">
        <v>20</v>
      </c>
      <c r="G95" s="21">
        <v>25</v>
      </c>
      <c r="H95" s="21">
        <v>25</v>
      </c>
      <c r="I95" s="21">
        <v>20</v>
      </c>
      <c r="J95" s="21">
        <v>20</v>
      </c>
      <c r="K95" s="21">
        <v>20</v>
      </c>
      <c r="L95" s="21">
        <v>10</v>
      </c>
      <c r="M95" s="21">
        <v>20</v>
      </c>
      <c r="N95" s="21">
        <v>30</v>
      </c>
    </row>
    <row r="96" spans="1:14" x14ac:dyDescent="0.2">
      <c r="A96" s="16" t="s">
        <v>182</v>
      </c>
      <c r="B96" s="16" t="s">
        <v>15</v>
      </c>
      <c r="C96" s="21" t="s">
        <v>190</v>
      </c>
      <c r="D96" s="21" t="s">
        <v>190</v>
      </c>
      <c r="E96" s="21">
        <v>15</v>
      </c>
      <c r="F96" s="21">
        <v>15</v>
      </c>
      <c r="G96" s="21">
        <v>15</v>
      </c>
      <c r="H96" s="21">
        <v>15</v>
      </c>
      <c r="I96" s="21">
        <v>10</v>
      </c>
      <c r="J96" s="21">
        <v>15</v>
      </c>
      <c r="K96" s="21">
        <v>15</v>
      </c>
      <c r="L96" s="21">
        <v>15</v>
      </c>
      <c r="M96" s="21">
        <v>15</v>
      </c>
      <c r="N96" s="21">
        <v>30</v>
      </c>
    </row>
    <row r="97" spans="1:14" x14ac:dyDescent="0.2">
      <c r="A97" s="16" t="s">
        <v>182</v>
      </c>
      <c r="B97" s="16" t="s">
        <v>85</v>
      </c>
      <c r="C97" s="21" t="s">
        <v>190</v>
      </c>
      <c r="D97" s="21" t="s">
        <v>190</v>
      </c>
      <c r="E97" s="21">
        <v>85</v>
      </c>
      <c r="F97" s="21">
        <v>90</v>
      </c>
      <c r="G97" s="21">
        <v>95</v>
      </c>
      <c r="H97" s="21">
        <v>90</v>
      </c>
      <c r="I97" s="21">
        <v>80</v>
      </c>
      <c r="J97" s="21">
        <v>85</v>
      </c>
      <c r="K97" s="21">
        <v>80</v>
      </c>
      <c r="L97" s="21">
        <v>55</v>
      </c>
      <c r="M97" s="21">
        <v>90</v>
      </c>
      <c r="N97" s="21">
        <v>125</v>
      </c>
    </row>
    <row r="98" spans="1:14" x14ac:dyDescent="0.2">
      <c r="A98" s="16" t="s">
        <v>182</v>
      </c>
      <c r="B98" s="16" t="s">
        <v>86</v>
      </c>
      <c r="C98" s="21" t="s">
        <v>190</v>
      </c>
      <c r="D98" s="21" t="s">
        <v>190</v>
      </c>
      <c r="E98" s="21">
        <v>35</v>
      </c>
      <c r="F98" s="21">
        <v>30</v>
      </c>
      <c r="G98" s="21">
        <v>25</v>
      </c>
      <c r="H98" s="21">
        <v>30</v>
      </c>
      <c r="I98" s="21">
        <v>30</v>
      </c>
      <c r="J98" s="21">
        <v>20</v>
      </c>
      <c r="K98" s="21">
        <v>25</v>
      </c>
      <c r="L98" s="21">
        <v>15</v>
      </c>
      <c r="M98" s="21">
        <v>30</v>
      </c>
      <c r="N98" s="21">
        <v>35</v>
      </c>
    </row>
    <row r="99" spans="1:14" x14ac:dyDescent="0.2">
      <c r="A99" s="16" t="s">
        <v>182</v>
      </c>
      <c r="B99" s="16" t="s">
        <v>87</v>
      </c>
      <c r="C99" s="21" t="s">
        <v>190</v>
      </c>
      <c r="D99" s="21" t="s">
        <v>190</v>
      </c>
      <c r="E99" s="21">
        <v>10</v>
      </c>
      <c r="F99" s="21">
        <v>20</v>
      </c>
      <c r="G99" s="21">
        <v>15</v>
      </c>
      <c r="H99" s="21">
        <v>15</v>
      </c>
      <c r="I99" s="21">
        <v>15</v>
      </c>
      <c r="J99" s="21">
        <v>10</v>
      </c>
      <c r="K99" s="21">
        <v>10</v>
      </c>
      <c r="L99" s="21">
        <v>5</v>
      </c>
      <c r="M99" s="21">
        <v>10</v>
      </c>
      <c r="N99" s="21">
        <v>25</v>
      </c>
    </row>
    <row r="100" spans="1:14" x14ac:dyDescent="0.2">
      <c r="A100" s="16" t="s">
        <v>182</v>
      </c>
      <c r="B100" s="16" t="s">
        <v>88</v>
      </c>
      <c r="C100" s="21" t="s">
        <v>190</v>
      </c>
      <c r="D100" s="21" t="s">
        <v>190</v>
      </c>
      <c r="E100" s="21">
        <v>5</v>
      </c>
      <c r="F100" s="21">
        <v>5</v>
      </c>
      <c r="G100" s="21">
        <v>10</v>
      </c>
      <c r="H100" s="21">
        <v>15</v>
      </c>
      <c r="I100" s="21">
        <v>15</v>
      </c>
      <c r="J100" s="21">
        <v>15</v>
      </c>
      <c r="K100" s="21">
        <v>10</v>
      </c>
      <c r="L100" s="21">
        <v>5</v>
      </c>
      <c r="M100" s="21">
        <v>10</v>
      </c>
      <c r="N100" s="21">
        <v>15</v>
      </c>
    </row>
    <row r="101" spans="1:14" x14ac:dyDescent="0.2">
      <c r="A101" s="16" t="s">
        <v>182</v>
      </c>
      <c r="B101" s="16" t="s">
        <v>18</v>
      </c>
      <c r="C101" s="21" t="s">
        <v>190</v>
      </c>
      <c r="D101" s="21" t="s">
        <v>190</v>
      </c>
      <c r="E101" s="21">
        <v>30</v>
      </c>
      <c r="F101" s="21">
        <v>25</v>
      </c>
      <c r="G101" s="21">
        <v>35</v>
      </c>
      <c r="H101" s="21">
        <v>25</v>
      </c>
      <c r="I101" s="21">
        <v>15</v>
      </c>
      <c r="J101" s="21">
        <v>10</v>
      </c>
      <c r="K101" s="21">
        <v>15</v>
      </c>
      <c r="L101" s="21">
        <v>15</v>
      </c>
      <c r="M101" s="21">
        <v>15</v>
      </c>
      <c r="N101" s="21">
        <v>25</v>
      </c>
    </row>
    <row r="102" spans="1:14" x14ac:dyDescent="0.2">
      <c r="A102" s="16" t="s">
        <v>182</v>
      </c>
      <c r="B102" s="16" t="s">
        <v>89</v>
      </c>
      <c r="C102" s="21" t="s">
        <v>190</v>
      </c>
      <c r="D102" s="21" t="s">
        <v>190</v>
      </c>
      <c r="E102" s="21">
        <v>35</v>
      </c>
      <c r="F102" s="21">
        <v>35</v>
      </c>
      <c r="G102" s="21">
        <v>45</v>
      </c>
      <c r="H102" s="21">
        <v>40</v>
      </c>
      <c r="I102" s="21">
        <v>40</v>
      </c>
      <c r="J102" s="21">
        <v>30</v>
      </c>
      <c r="K102" s="21">
        <v>30</v>
      </c>
      <c r="L102" s="21">
        <v>25</v>
      </c>
      <c r="M102" s="21">
        <v>35</v>
      </c>
      <c r="N102" s="21">
        <v>55</v>
      </c>
    </row>
    <row r="103" spans="1:14" x14ac:dyDescent="0.2">
      <c r="A103" s="16" t="s">
        <v>182</v>
      </c>
      <c r="B103" s="16" t="s">
        <v>90</v>
      </c>
      <c r="C103" s="21" t="s">
        <v>190</v>
      </c>
      <c r="D103" s="21" t="s">
        <v>190</v>
      </c>
      <c r="E103" s="21">
        <v>10</v>
      </c>
      <c r="F103" s="21">
        <v>10</v>
      </c>
      <c r="G103" s="21">
        <v>10</v>
      </c>
      <c r="H103" s="21">
        <v>20</v>
      </c>
      <c r="I103" s="21">
        <v>10</v>
      </c>
      <c r="J103" s="21">
        <v>15</v>
      </c>
      <c r="K103" s="21">
        <v>10</v>
      </c>
      <c r="L103" s="21">
        <v>10</v>
      </c>
      <c r="M103" s="21">
        <v>15</v>
      </c>
      <c r="N103" s="21">
        <v>20</v>
      </c>
    </row>
    <row r="104" spans="1:14" x14ac:dyDescent="0.2">
      <c r="A104" s="16" t="s">
        <v>182</v>
      </c>
      <c r="B104" s="16" t="s">
        <v>91</v>
      </c>
      <c r="C104" s="21" t="s">
        <v>190</v>
      </c>
      <c r="D104" s="21" t="s">
        <v>190</v>
      </c>
      <c r="E104" s="21">
        <v>10</v>
      </c>
      <c r="F104" s="21">
        <v>10</v>
      </c>
      <c r="G104" s="21">
        <v>10</v>
      </c>
      <c r="H104" s="21">
        <v>10</v>
      </c>
      <c r="I104" s="21">
        <v>15</v>
      </c>
      <c r="J104" s="21">
        <v>10</v>
      </c>
      <c r="K104" s="21">
        <v>5</v>
      </c>
      <c r="L104" s="21">
        <v>10</v>
      </c>
      <c r="M104" s="21">
        <v>10</v>
      </c>
      <c r="N104" s="21">
        <v>20</v>
      </c>
    </row>
    <row r="105" spans="1:14" x14ac:dyDescent="0.2">
      <c r="A105" s="16" t="s">
        <v>182</v>
      </c>
      <c r="B105" s="16" t="s">
        <v>92</v>
      </c>
      <c r="C105" s="21" t="s">
        <v>190</v>
      </c>
      <c r="D105" s="21" t="s">
        <v>190</v>
      </c>
      <c r="E105" s="21">
        <v>15</v>
      </c>
      <c r="F105" s="21">
        <v>15</v>
      </c>
      <c r="G105" s="21">
        <v>5</v>
      </c>
      <c r="H105" s="21">
        <v>5</v>
      </c>
      <c r="I105" s="21">
        <v>15</v>
      </c>
      <c r="J105" s="21">
        <v>10</v>
      </c>
      <c r="K105" s="21">
        <v>15</v>
      </c>
      <c r="L105" s="21">
        <v>10</v>
      </c>
      <c r="M105" s="21">
        <v>15</v>
      </c>
      <c r="N105" s="21">
        <v>20</v>
      </c>
    </row>
    <row r="106" spans="1:14" x14ac:dyDescent="0.2">
      <c r="A106" s="16" t="s">
        <v>182</v>
      </c>
      <c r="B106" s="16" t="s">
        <v>93</v>
      </c>
      <c r="C106" s="21" t="s">
        <v>190</v>
      </c>
      <c r="D106" s="21" t="s">
        <v>190</v>
      </c>
      <c r="E106" s="21">
        <v>5</v>
      </c>
      <c r="F106" s="21">
        <v>5</v>
      </c>
      <c r="G106" s="21">
        <v>5</v>
      </c>
      <c r="H106" s="21">
        <v>10</v>
      </c>
      <c r="I106" s="21">
        <v>10</v>
      </c>
      <c r="J106" s="21">
        <v>10</v>
      </c>
      <c r="K106" s="21">
        <v>10</v>
      </c>
      <c r="L106" s="21">
        <v>5</v>
      </c>
      <c r="M106" s="21">
        <v>10</v>
      </c>
      <c r="N106" s="21">
        <v>20</v>
      </c>
    </row>
    <row r="107" spans="1:14" x14ac:dyDescent="0.2">
      <c r="A107" s="16" t="s">
        <v>182</v>
      </c>
      <c r="B107" s="16" t="s">
        <v>94</v>
      </c>
      <c r="C107" s="21" t="s">
        <v>190</v>
      </c>
      <c r="D107" s="21" t="s">
        <v>190</v>
      </c>
      <c r="E107" s="21">
        <v>20</v>
      </c>
      <c r="F107" s="21">
        <v>25</v>
      </c>
      <c r="G107" s="21">
        <v>25</v>
      </c>
      <c r="H107" s="21">
        <v>20</v>
      </c>
      <c r="I107" s="21">
        <v>15</v>
      </c>
      <c r="J107" s="21">
        <v>15</v>
      </c>
      <c r="K107" s="21">
        <v>10</v>
      </c>
      <c r="L107" s="21">
        <v>10</v>
      </c>
      <c r="M107" s="21">
        <v>15</v>
      </c>
      <c r="N107" s="21">
        <v>25</v>
      </c>
    </row>
    <row r="108" spans="1:14" x14ac:dyDescent="0.2">
      <c r="A108" s="16" t="s">
        <v>182</v>
      </c>
      <c r="B108" s="16" t="s">
        <v>95</v>
      </c>
      <c r="C108" s="21" t="s">
        <v>190</v>
      </c>
      <c r="D108" s="21" t="s">
        <v>190</v>
      </c>
      <c r="E108" s="21">
        <v>10</v>
      </c>
      <c r="F108" s="21">
        <v>5</v>
      </c>
      <c r="G108" s="21">
        <v>5</v>
      </c>
      <c r="H108" s="21">
        <v>5</v>
      </c>
      <c r="I108" s="21">
        <v>10</v>
      </c>
      <c r="J108" s="21">
        <v>10</v>
      </c>
      <c r="K108" s="21">
        <v>5</v>
      </c>
      <c r="L108" s="21">
        <v>10</v>
      </c>
      <c r="M108" s="21">
        <v>10</v>
      </c>
      <c r="N108" s="21">
        <v>15</v>
      </c>
    </row>
    <row r="109" spans="1:14" ht="27" customHeight="1" x14ac:dyDescent="0.2">
      <c r="A109" s="17" t="s">
        <v>183</v>
      </c>
      <c r="B109" s="9" t="s">
        <v>112</v>
      </c>
      <c r="C109" s="21" t="s">
        <v>190</v>
      </c>
      <c r="D109" s="21" t="s">
        <v>190</v>
      </c>
      <c r="E109" s="21">
        <v>45</v>
      </c>
      <c r="F109" s="21">
        <v>55</v>
      </c>
      <c r="G109" s="21">
        <v>50</v>
      </c>
      <c r="H109" s="21">
        <v>50</v>
      </c>
      <c r="I109" s="21">
        <v>45</v>
      </c>
      <c r="J109" s="21">
        <v>50</v>
      </c>
      <c r="K109" s="21">
        <v>45</v>
      </c>
      <c r="L109" s="21">
        <v>30</v>
      </c>
      <c r="M109" s="21">
        <v>40</v>
      </c>
      <c r="N109" s="21">
        <v>70</v>
      </c>
    </row>
    <row r="110" spans="1:14" x14ac:dyDescent="0.2">
      <c r="A110" s="16" t="s">
        <v>183</v>
      </c>
      <c r="B110" s="9" t="s">
        <v>113</v>
      </c>
      <c r="C110" s="21" t="s">
        <v>190</v>
      </c>
      <c r="D110" s="21" t="s">
        <v>190</v>
      </c>
      <c r="E110" s="21">
        <v>20</v>
      </c>
      <c r="F110" s="21">
        <v>15</v>
      </c>
      <c r="G110" s="21">
        <v>15</v>
      </c>
      <c r="H110" s="21">
        <v>20</v>
      </c>
      <c r="I110" s="21">
        <v>30</v>
      </c>
      <c r="J110" s="21">
        <v>25</v>
      </c>
      <c r="K110" s="21">
        <v>15</v>
      </c>
      <c r="L110" s="21">
        <v>20</v>
      </c>
      <c r="M110" s="21">
        <v>25</v>
      </c>
      <c r="N110" s="21">
        <v>40</v>
      </c>
    </row>
    <row r="111" spans="1:14" x14ac:dyDescent="0.2">
      <c r="A111" s="16" t="s">
        <v>183</v>
      </c>
      <c r="B111" s="9" t="s">
        <v>114</v>
      </c>
      <c r="C111" s="21" t="s">
        <v>190</v>
      </c>
      <c r="D111" s="21" t="s">
        <v>190</v>
      </c>
      <c r="E111" s="21">
        <v>135</v>
      </c>
      <c r="F111" s="21">
        <v>145</v>
      </c>
      <c r="G111" s="21">
        <v>145</v>
      </c>
      <c r="H111" s="21">
        <v>125</v>
      </c>
      <c r="I111" s="21">
        <v>115</v>
      </c>
      <c r="J111" s="21">
        <v>120</v>
      </c>
      <c r="K111" s="21">
        <v>125</v>
      </c>
      <c r="L111" s="21">
        <v>85</v>
      </c>
      <c r="M111" s="21">
        <v>120</v>
      </c>
      <c r="N111" s="21">
        <v>195</v>
      </c>
    </row>
    <row r="112" spans="1:14" x14ac:dyDescent="0.2">
      <c r="A112" s="16" t="s">
        <v>183</v>
      </c>
      <c r="B112" s="9" t="s">
        <v>115</v>
      </c>
      <c r="C112" s="21" t="s">
        <v>190</v>
      </c>
      <c r="D112" s="21" t="s">
        <v>190</v>
      </c>
      <c r="E112" s="21">
        <v>30</v>
      </c>
      <c r="F112" s="21">
        <v>30</v>
      </c>
      <c r="G112" s="21">
        <v>35</v>
      </c>
      <c r="H112" s="21">
        <v>40</v>
      </c>
      <c r="I112" s="21">
        <v>45</v>
      </c>
      <c r="J112" s="21">
        <v>35</v>
      </c>
      <c r="K112" s="21">
        <v>35</v>
      </c>
      <c r="L112" s="21">
        <v>25</v>
      </c>
      <c r="M112" s="21">
        <v>40</v>
      </c>
      <c r="N112" s="21">
        <v>70</v>
      </c>
    </row>
    <row r="113" spans="1:14" x14ac:dyDescent="0.2">
      <c r="A113" s="16" t="s">
        <v>183</v>
      </c>
      <c r="B113" s="9" t="s">
        <v>13</v>
      </c>
      <c r="C113" s="21" t="s">
        <v>190</v>
      </c>
      <c r="D113" s="21" t="s">
        <v>190</v>
      </c>
      <c r="E113" s="21">
        <v>55</v>
      </c>
      <c r="F113" s="21">
        <v>70</v>
      </c>
      <c r="G113" s="21">
        <v>60</v>
      </c>
      <c r="H113" s="21">
        <v>55</v>
      </c>
      <c r="I113" s="21">
        <v>55</v>
      </c>
      <c r="J113" s="21">
        <v>50</v>
      </c>
      <c r="K113" s="21">
        <v>60</v>
      </c>
      <c r="L113" s="21">
        <v>40</v>
      </c>
      <c r="M113" s="21">
        <v>55</v>
      </c>
      <c r="N113" s="21">
        <v>85</v>
      </c>
    </row>
    <row r="114" spans="1:14" x14ac:dyDescent="0.2">
      <c r="A114" s="16" t="s">
        <v>183</v>
      </c>
      <c r="B114" s="9" t="s">
        <v>116</v>
      </c>
      <c r="C114" s="21" t="s">
        <v>190</v>
      </c>
      <c r="D114" s="21" t="s">
        <v>190</v>
      </c>
      <c r="E114" s="21">
        <v>15</v>
      </c>
      <c r="F114" s="21">
        <v>15</v>
      </c>
      <c r="G114" s="21">
        <v>15</v>
      </c>
      <c r="H114" s="21">
        <v>15</v>
      </c>
      <c r="I114" s="21">
        <v>10</v>
      </c>
      <c r="J114" s="21">
        <v>15</v>
      </c>
      <c r="K114" s="21">
        <v>15</v>
      </c>
      <c r="L114" s="21">
        <v>15</v>
      </c>
      <c r="M114" s="21">
        <v>15</v>
      </c>
      <c r="N114" s="21">
        <v>30</v>
      </c>
    </row>
    <row r="115" spans="1:14" x14ac:dyDescent="0.2">
      <c r="A115" s="16" t="s">
        <v>183</v>
      </c>
      <c r="B115" s="9" t="s">
        <v>117</v>
      </c>
      <c r="C115" s="21" t="s">
        <v>190</v>
      </c>
      <c r="D115" s="21" t="s">
        <v>190</v>
      </c>
      <c r="E115" s="21">
        <v>20</v>
      </c>
      <c r="F115" s="21">
        <v>25</v>
      </c>
      <c r="G115" s="21">
        <v>25</v>
      </c>
      <c r="H115" s="21">
        <v>20</v>
      </c>
      <c r="I115" s="21">
        <v>15</v>
      </c>
      <c r="J115" s="21">
        <v>15</v>
      </c>
      <c r="K115" s="21">
        <v>10</v>
      </c>
      <c r="L115" s="21">
        <v>10</v>
      </c>
      <c r="M115" s="21">
        <v>15</v>
      </c>
      <c r="N115" s="21">
        <v>25</v>
      </c>
    </row>
    <row r="116" spans="1:14" x14ac:dyDescent="0.2">
      <c r="A116" s="16" t="s">
        <v>183</v>
      </c>
      <c r="B116" s="9" t="s">
        <v>118</v>
      </c>
      <c r="C116" s="21" t="s">
        <v>190</v>
      </c>
      <c r="D116" s="21" t="s">
        <v>190</v>
      </c>
      <c r="E116" s="21">
        <v>30</v>
      </c>
      <c r="F116" s="21">
        <v>25</v>
      </c>
      <c r="G116" s="21">
        <v>35</v>
      </c>
      <c r="H116" s="21">
        <v>25</v>
      </c>
      <c r="I116" s="21">
        <v>15</v>
      </c>
      <c r="J116" s="21">
        <v>10</v>
      </c>
      <c r="K116" s="21">
        <v>15</v>
      </c>
      <c r="L116" s="21">
        <v>15</v>
      </c>
      <c r="M116" s="21">
        <v>15</v>
      </c>
      <c r="N116" s="21">
        <v>25</v>
      </c>
    </row>
    <row r="117" spans="1:14" x14ac:dyDescent="0.2">
      <c r="A117" s="16" t="s">
        <v>183</v>
      </c>
      <c r="B117" s="9" t="s">
        <v>184</v>
      </c>
      <c r="C117" s="21" t="s">
        <v>190</v>
      </c>
      <c r="D117" s="21" t="s">
        <v>190</v>
      </c>
      <c r="E117" s="109">
        <v>280</v>
      </c>
      <c r="F117" s="109">
        <v>300</v>
      </c>
      <c r="G117" s="109">
        <v>285</v>
      </c>
      <c r="H117" s="109">
        <v>265</v>
      </c>
      <c r="I117" s="109">
        <v>250</v>
      </c>
      <c r="J117" s="109">
        <v>250</v>
      </c>
      <c r="K117" s="109">
        <v>265</v>
      </c>
      <c r="L117" s="109">
        <v>185</v>
      </c>
      <c r="M117" s="109">
        <v>245</v>
      </c>
      <c r="N117" s="109">
        <v>430</v>
      </c>
    </row>
    <row r="118" spans="1:14" ht="28.5" customHeight="1" x14ac:dyDescent="0.2">
      <c r="A118" s="17" t="s">
        <v>185</v>
      </c>
      <c r="B118" s="17" t="s">
        <v>111</v>
      </c>
      <c r="C118" s="21" t="s">
        <v>190</v>
      </c>
      <c r="D118" s="21" t="s">
        <v>190</v>
      </c>
      <c r="E118" s="21">
        <v>35</v>
      </c>
      <c r="F118" s="21">
        <v>35</v>
      </c>
      <c r="G118" s="21">
        <v>35</v>
      </c>
      <c r="H118" s="21">
        <v>35</v>
      </c>
      <c r="I118" s="21">
        <v>35</v>
      </c>
      <c r="J118" s="21">
        <v>40</v>
      </c>
      <c r="K118" s="21">
        <v>35</v>
      </c>
      <c r="L118" s="21">
        <v>30</v>
      </c>
      <c r="M118" s="21">
        <v>40</v>
      </c>
      <c r="N118" s="21">
        <v>40</v>
      </c>
    </row>
    <row r="119" spans="1:14" x14ac:dyDescent="0.2">
      <c r="A119" s="17" t="s">
        <v>185</v>
      </c>
      <c r="B119" s="9" t="s">
        <v>186</v>
      </c>
      <c r="C119" s="21" t="s">
        <v>190</v>
      </c>
      <c r="D119" s="21" t="s">
        <v>190</v>
      </c>
      <c r="E119" s="21">
        <v>340</v>
      </c>
      <c r="F119" s="21">
        <v>375</v>
      </c>
      <c r="G119" s="21">
        <v>400</v>
      </c>
      <c r="H119" s="21">
        <v>355</v>
      </c>
      <c r="I119" s="21">
        <v>365</v>
      </c>
      <c r="J119" s="21">
        <v>365</v>
      </c>
      <c r="K119" s="21">
        <v>370</v>
      </c>
      <c r="L119" s="21">
        <v>270</v>
      </c>
      <c r="M119" s="21">
        <v>310</v>
      </c>
      <c r="N119" s="21">
        <v>435</v>
      </c>
    </row>
    <row r="120" spans="1:14" x14ac:dyDescent="0.2">
      <c r="A120" s="17" t="s">
        <v>185</v>
      </c>
      <c r="B120" s="9" t="s">
        <v>151</v>
      </c>
      <c r="C120" s="21" t="s">
        <v>190</v>
      </c>
      <c r="D120" s="21" t="s">
        <v>190</v>
      </c>
      <c r="E120" s="21">
        <v>465</v>
      </c>
      <c r="F120" s="21">
        <v>510</v>
      </c>
      <c r="G120" s="21">
        <v>550</v>
      </c>
      <c r="H120" s="21">
        <v>495</v>
      </c>
      <c r="I120" s="21">
        <v>515</v>
      </c>
      <c r="J120" s="21">
        <v>485</v>
      </c>
      <c r="K120" s="21">
        <v>510</v>
      </c>
      <c r="L120" s="21">
        <v>380</v>
      </c>
      <c r="M120" s="21">
        <v>445</v>
      </c>
      <c r="N120" s="21">
        <v>610</v>
      </c>
    </row>
    <row r="121" spans="1:14" ht="28.5" customHeight="1" x14ac:dyDescent="0.2">
      <c r="A121" s="91" t="s">
        <v>270</v>
      </c>
      <c r="B121" s="92" t="s">
        <v>271</v>
      </c>
      <c r="C121" s="62" t="s">
        <v>190</v>
      </c>
      <c r="D121" s="62" t="s">
        <v>190</v>
      </c>
      <c r="E121" s="62">
        <v>5</v>
      </c>
      <c r="F121" s="62">
        <v>10</v>
      </c>
      <c r="G121" s="62">
        <v>5</v>
      </c>
      <c r="H121" s="62">
        <v>10</v>
      </c>
      <c r="I121" s="62">
        <v>10</v>
      </c>
      <c r="J121" s="62">
        <v>10</v>
      </c>
      <c r="K121" s="62">
        <v>5</v>
      </c>
      <c r="L121" s="62">
        <v>5</v>
      </c>
      <c r="M121" s="62">
        <v>5</v>
      </c>
      <c r="N121" s="62">
        <v>15</v>
      </c>
    </row>
    <row r="122" spans="1:14" x14ac:dyDescent="0.2">
      <c r="A122" s="91" t="s">
        <v>270</v>
      </c>
      <c r="B122" s="92" t="s">
        <v>272</v>
      </c>
      <c r="C122" s="62" t="s">
        <v>190</v>
      </c>
      <c r="D122" s="62" t="s">
        <v>190</v>
      </c>
      <c r="E122" s="62">
        <v>10</v>
      </c>
      <c r="F122" s="62">
        <v>10</v>
      </c>
      <c r="G122" s="62">
        <v>10</v>
      </c>
      <c r="H122" s="62">
        <v>10</v>
      </c>
      <c r="I122" s="62">
        <v>10</v>
      </c>
      <c r="J122" s="62">
        <v>10</v>
      </c>
      <c r="K122" s="62">
        <v>5</v>
      </c>
      <c r="L122" s="62">
        <v>5</v>
      </c>
      <c r="M122" s="62">
        <v>10</v>
      </c>
      <c r="N122" s="62">
        <v>10</v>
      </c>
    </row>
    <row r="123" spans="1:14" x14ac:dyDescent="0.2">
      <c r="A123" s="91" t="s">
        <v>270</v>
      </c>
      <c r="B123" s="92" t="s">
        <v>273</v>
      </c>
      <c r="C123" s="62" t="s">
        <v>190</v>
      </c>
      <c r="D123" s="62" t="s">
        <v>190</v>
      </c>
      <c r="E123" s="62">
        <v>5</v>
      </c>
      <c r="F123" s="62">
        <v>5</v>
      </c>
      <c r="G123" s="62">
        <v>10</v>
      </c>
      <c r="H123" s="62">
        <v>20</v>
      </c>
      <c r="I123" s="62">
        <v>20</v>
      </c>
      <c r="J123" s="62">
        <v>15</v>
      </c>
      <c r="K123" s="62">
        <v>10</v>
      </c>
      <c r="L123" s="62">
        <v>5</v>
      </c>
      <c r="M123" s="62">
        <v>10</v>
      </c>
      <c r="N123" s="62">
        <v>20</v>
      </c>
    </row>
    <row r="124" spans="1:14" x14ac:dyDescent="0.2">
      <c r="A124" s="91" t="s">
        <v>270</v>
      </c>
      <c r="B124" s="92" t="s">
        <v>274</v>
      </c>
      <c r="C124" s="62" t="s">
        <v>190</v>
      </c>
      <c r="D124" s="62" t="s">
        <v>190</v>
      </c>
      <c r="E124" s="62">
        <v>15</v>
      </c>
      <c r="F124" s="62">
        <v>20</v>
      </c>
      <c r="G124" s="62">
        <v>20</v>
      </c>
      <c r="H124" s="62">
        <v>15</v>
      </c>
      <c r="I124" s="62">
        <v>10</v>
      </c>
      <c r="J124" s="62">
        <v>10</v>
      </c>
      <c r="K124" s="62">
        <v>10</v>
      </c>
      <c r="L124" s="62">
        <v>10</v>
      </c>
      <c r="M124" s="62">
        <v>10</v>
      </c>
      <c r="N124" s="62">
        <v>20</v>
      </c>
    </row>
    <row r="125" spans="1:14" x14ac:dyDescent="0.2">
      <c r="A125" s="91" t="s">
        <v>270</v>
      </c>
      <c r="B125" s="92" t="s">
        <v>275</v>
      </c>
      <c r="C125" s="62" t="s">
        <v>190</v>
      </c>
      <c r="D125" s="62" t="s">
        <v>190</v>
      </c>
      <c r="E125" s="62">
        <v>15</v>
      </c>
      <c r="F125" s="62">
        <v>10</v>
      </c>
      <c r="G125" s="62">
        <v>15</v>
      </c>
      <c r="H125" s="62">
        <v>10</v>
      </c>
      <c r="I125" s="62">
        <v>10</v>
      </c>
      <c r="J125" s="62">
        <v>10</v>
      </c>
      <c r="K125" s="62">
        <v>15</v>
      </c>
      <c r="L125" s="62">
        <v>15</v>
      </c>
      <c r="M125" s="62">
        <v>15</v>
      </c>
      <c r="N125" s="62">
        <v>25</v>
      </c>
    </row>
    <row r="126" spans="1:14" x14ac:dyDescent="0.2">
      <c r="A126" s="91" t="s">
        <v>270</v>
      </c>
      <c r="B126" s="92" t="s">
        <v>276</v>
      </c>
      <c r="C126" s="62" t="s">
        <v>190</v>
      </c>
      <c r="D126" s="62" t="s">
        <v>190</v>
      </c>
      <c r="E126" s="62">
        <v>0</v>
      </c>
      <c r="F126" s="62">
        <v>5</v>
      </c>
      <c r="G126" s="62">
        <v>0</v>
      </c>
      <c r="H126" s="62">
        <v>0</v>
      </c>
      <c r="I126" s="62">
        <v>0</v>
      </c>
      <c r="J126" s="62">
        <v>5</v>
      </c>
      <c r="K126" s="62">
        <v>0</v>
      </c>
      <c r="L126" s="62">
        <v>0</v>
      </c>
      <c r="M126" s="62">
        <v>5</v>
      </c>
      <c r="N126" s="62">
        <v>5</v>
      </c>
    </row>
    <row r="127" spans="1:14" x14ac:dyDescent="0.2">
      <c r="A127" s="91" t="s">
        <v>270</v>
      </c>
      <c r="B127" s="92" t="s">
        <v>277</v>
      </c>
      <c r="C127" s="62" t="s">
        <v>190</v>
      </c>
      <c r="D127" s="62" t="s">
        <v>190</v>
      </c>
      <c r="E127" s="62">
        <v>25</v>
      </c>
      <c r="F127" s="62">
        <v>25</v>
      </c>
      <c r="G127" s="62">
        <v>35</v>
      </c>
      <c r="H127" s="62">
        <v>20</v>
      </c>
      <c r="I127" s="62">
        <v>15</v>
      </c>
      <c r="J127" s="62">
        <v>10</v>
      </c>
      <c r="K127" s="62">
        <v>10</v>
      </c>
      <c r="L127" s="62">
        <v>15</v>
      </c>
      <c r="M127" s="62">
        <v>15</v>
      </c>
      <c r="N127" s="62">
        <v>25</v>
      </c>
    </row>
    <row r="128" spans="1:14" x14ac:dyDescent="0.2">
      <c r="A128" s="91" t="s">
        <v>270</v>
      </c>
      <c r="B128" s="92" t="s">
        <v>278</v>
      </c>
      <c r="C128" s="62" t="s">
        <v>190</v>
      </c>
      <c r="D128" s="62" t="s">
        <v>190</v>
      </c>
      <c r="E128" s="62">
        <v>0</v>
      </c>
      <c r="F128" s="62">
        <v>0</v>
      </c>
      <c r="G128" s="62">
        <v>0</v>
      </c>
      <c r="H128" s="62">
        <v>5</v>
      </c>
      <c r="I128" s="62">
        <v>0</v>
      </c>
      <c r="J128" s="62">
        <v>0</v>
      </c>
      <c r="K128" s="62">
        <v>0</v>
      </c>
      <c r="L128" s="62">
        <v>0</v>
      </c>
      <c r="M128" s="62">
        <v>0</v>
      </c>
      <c r="N128" s="62">
        <v>0</v>
      </c>
    </row>
    <row r="129" spans="1:14" x14ac:dyDescent="0.2">
      <c r="A129" s="91" t="s">
        <v>270</v>
      </c>
      <c r="B129" s="92" t="s">
        <v>279</v>
      </c>
      <c r="C129" s="62" t="s">
        <v>190</v>
      </c>
      <c r="D129" s="62" t="s">
        <v>190</v>
      </c>
      <c r="E129" s="62">
        <v>5</v>
      </c>
      <c r="F129" s="62">
        <v>5</v>
      </c>
      <c r="G129" s="62">
        <v>5</v>
      </c>
      <c r="H129" s="62">
        <v>10</v>
      </c>
      <c r="I129" s="62">
        <v>5</v>
      </c>
      <c r="J129" s="62">
        <v>10</v>
      </c>
      <c r="K129" s="62">
        <v>5</v>
      </c>
      <c r="L129" s="62">
        <v>5</v>
      </c>
      <c r="M129" s="62">
        <v>5</v>
      </c>
      <c r="N129" s="62">
        <v>10</v>
      </c>
    </row>
    <row r="130" spans="1:14" ht="28.5" customHeight="1" x14ac:dyDescent="0.2">
      <c r="A130" s="91" t="s">
        <v>263</v>
      </c>
      <c r="B130" s="92" t="s">
        <v>280</v>
      </c>
      <c r="C130" s="62" t="s">
        <v>190</v>
      </c>
      <c r="D130" s="62" t="s">
        <v>190</v>
      </c>
      <c r="E130" s="62">
        <v>445</v>
      </c>
      <c r="F130" s="62">
        <v>470</v>
      </c>
      <c r="G130" s="62">
        <v>470</v>
      </c>
      <c r="H130" s="62">
        <v>415</v>
      </c>
      <c r="I130" s="62">
        <v>440</v>
      </c>
      <c r="J130" s="62">
        <v>410</v>
      </c>
      <c r="K130" s="62">
        <v>430</v>
      </c>
      <c r="L130" s="62">
        <v>350</v>
      </c>
      <c r="M130" s="62">
        <v>405</v>
      </c>
      <c r="N130" s="62">
        <v>525</v>
      </c>
    </row>
    <row r="131" spans="1:14" x14ac:dyDescent="0.2">
      <c r="A131" s="91" t="s">
        <v>263</v>
      </c>
      <c r="B131" s="92" t="s">
        <v>264</v>
      </c>
      <c r="C131" s="62" t="s">
        <v>190</v>
      </c>
      <c r="D131" s="62" t="s">
        <v>190</v>
      </c>
      <c r="E131" s="62">
        <v>540</v>
      </c>
      <c r="F131" s="62">
        <v>575</v>
      </c>
      <c r="G131" s="62">
        <v>565</v>
      </c>
      <c r="H131" s="62">
        <v>515</v>
      </c>
      <c r="I131" s="62">
        <v>500</v>
      </c>
      <c r="J131" s="62">
        <v>480</v>
      </c>
      <c r="K131" s="62">
        <v>530</v>
      </c>
      <c r="L131" s="62">
        <v>395</v>
      </c>
      <c r="M131" s="62">
        <v>500</v>
      </c>
      <c r="N131" s="62">
        <v>655</v>
      </c>
    </row>
    <row r="132" spans="1:14" x14ac:dyDescent="0.2">
      <c r="A132" s="91" t="s">
        <v>263</v>
      </c>
      <c r="B132" s="92" t="s">
        <v>265</v>
      </c>
      <c r="C132" s="62" t="s">
        <v>190</v>
      </c>
      <c r="D132" s="62" t="s">
        <v>190</v>
      </c>
      <c r="E132" s="62">
        <v>585</v>
      </c>
      <c r="F132" s="62">
        <v>625</v>
      </c>
      <c r="G132" s="62">
        <v>655</v>
      </c>
      <c r="H132" s="62">
        <v>595</v>
      </c>
      <c r="I132" s="62">
        <v>630</v>
      </c>
      <c r="J132" s="62">
        <v>600</v>
      </c>
      <c r="K132" s="62">
        <v>625</v>
      </c>
      <c r="L132" s="62">
        <v>445</v>
      </c>
      <c r="M132" s="62">
        <v>560</v>
      </c>
      <c r="N132" s="62">
        <v>835</v>
      </c>
    </row>
    <row r="133" spans="1:14" x14ac:dyDescent="0.2">
      <c r="A133" s="91" t="s">
        <v>263</v>
      </c>
      <c r="B133" s="92" t="s">
        <v>266</v>
      </c>
      <c r="C133" s="62" t="s">
        <v>190</v>
      </c>
      <c r="D133" s="62" t="s">
        <v>190</v>
      </c>
      <c r="E133" s="62">
        <v>710</v>
      </c>
      <c r="F133" s="62">
        <v>765</v>
      </c>
      <c r="G133" s="62">
        <v>750</v>
      </c>
      <c r="H133" s="62">
        <v>675</v>
      </c>
      <c r="I133" s="62">
        <v>705</v>
      </c>
      <c r="J133" s="62">
        <v>655</v>
      </c>
      <c r="K133" s="62">
        <v>715</v>
      </c>
      <c r="L133" s="62">
        <v>545</v>
      </c>
      <c r="M133" s="62">
        <v>700</v>
      </c>
      <c r="N133" s="62">
        <v>975</v>
      </c>
    </row>
    <row r="134" spans="1:14" x14ac:dyDescent="0.2">
      <c r="A134" s="91" t="s">
        <v>263</v>
      </c>
      <c r="B134" s="92" t="s">
        <v>281</v>
      </c>
      <c r="C134" s="62" t="s">
        <v>190</v>
      </c>
      <c r="D134" s="62" t="s">
        <v>190</v>
      </c>
      <c r="E134" s="62">
        <v>500</v>
      </c>
      <c r="F134" s="62">
        <v>540</v>
      </c>
      <c r="G134" s="62">
        <v>520</v>
      </c>
      <c r="H134" s="62">
        <v>420</v>
      </c>
      <c r="I134" s="62">
        <v>430</v>
      </c>
      <c r="J134" s="62">
        <v>425</v>
      </c>
      <c r="K134" s="62">
        <v>485</v>
      </c>
      <c r="L134" s="62">
        <v>370</v>
      </c>
      <c r="M134" s="62">
        <v>435</v>
      </c>
      <c r="N134" s="62">
        <v>585</v>
      </c>
    </row>
  </sheetData>
  <phoneticPr fontId="44" type="noConversion"/>
  <hyperlinks>
    <hyperlink ref="A11" location="Contents!A1" display="This cell contains a hyperlink to the Table of Contents" xr:uid="{00000000-0004-0000-0A00-000000000000}"/>
    <hyperlink ref="A9" r:id="rId1" xr:uid="{3359DA79-7519-4DF4-BEE1-8F811FF455C2}"/>
    <hyperlink ref="A8" r:id="rId2" xr:uid="{BF39249E-AFD0-4234-B09E-C8DCE871ABF2}"/>
  </hyperlinks>
  <pageMargins left="0.7" right="0.7" top="0.75" bottom="0.75" header="0.3" footer="0.3"/>
  <pageSetup paperSize="9" scale="31" orientation="portrait"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W135"/>
  <sheetViews>
    <sheetView showGridLines="0" zoomScaleNormal="100" workbookViewId="0"/>
  </sheetViews>
  <sheetFormatPr defaultColWidth="9.140625" defaultRowHeight="15" x14ac:dyDescent="0.2"/>
  <cols>
    <col min="1" max="1" width="61.42578125" style="13" customWidth="1"/>
    <col min="2" max="2" width="54.42578125" style="9" customWidth="1"/>
    <col min="3" max="5" width="13.7109375" style="32" bestFit="1" customWidth="1"/>
    <col min="6" max="8" width="13.28515625" style="32" bestFit="1" customWidth="1"/>
    <col min="9" max="9" width="13.7109375" style="14" bestFit="1" customWidth="1"/>
    <col min="10" max="10" width="13.28515625" style="14" bestFit="1" customWidth="1"/>
    <col min="11" max="13" width="13.7109375" style="14" bestFit="1" customWidth="1"/>
    <col min="14" max="14" width="12.85546875" style="14" bestFit="1" customWidth="1"/>
    <col min="15" max="18" width="13.28515625" style="14" bestFit="1" customWidth="1"/>
    <col min="19" max="19" width="13.7109375" style="14" bestFit="1" customWidth="1"/>
    <col min="20" max="20" width="13.28515625" style="13" bestFit="1" customWidth="1"/>
    <col min="21" max="21" width="13.7109375" style="13" bestFit="1" customWidth="1"/>
    <col min="22" max="22" width="17.42578125" style="13" bestFit="1" customWidth="1"/>
    <col min="23" max="23" width="17.42578125" style="13" customWidth="1"/>
    <col min="24" max="16384" width="9.140625" style="13"/>
  </cols>
  <sheetData>
    <row r="1" spans="1:23" ht="20.25" x14ac:dyDescent="0.3">
      <c r="A1" s="22" t="s">
        <v>324</v>
      </c>
      <c r="B1" s="13"/>
      <c r="C1" s="14"/>
      <c r="D1" s="14"/>
      <c r="E1" s="14"/>
      <c r="F1" s="14"/>
      <c r="G1" s="14"/>
      <c r="H1" s="14"/>
      <c r="O1" s="14" t="s">
        <v>0</v>
      </c>
    </row>
    <row r="2" spans="1:23" x14ac:dyDescent="0.2">
      <c r="A2" s="9" t="s">
        <v>152</v>
      </c>
      <c r="B2" s="13"/>
      <c r="C2" s="14"/>
      <c r="D2" s="14"/>
      <c r="E2" s="14"/>
      <c r="F2" s="14"/>
      <c r="G2" s="14"/>
      <c r="H2" s="14"/>
    </row>
    <row r="3" spans="1:23" x14ac:dyDescent="0.2">
      <c r="A3" s="9" t="s">
        <v>322</v>
      </c>
      <c r="B3" s="13"/>
      <c r="C3" s="14"/>
      <c r="D3" s="14"/>
      <c r="E3" s="14"/>
      <c r="F3" s="14"/>
      <c r="G3" s="14"/>
      <c r="H3" s="14"/>
    </row>
    <row r="4" spans="1:23" x14ac:dyDescent="0.2">
      <c r="A4" s="9" t="s">
        <v>297</v>
      </c>
      <c r="B4" s="13"/>
      <c r="C4" s="14"/>
      <c r="D4" s="14"/>
      <c r="E4" s="14"/>
      <c r="F4" s="14"/>
      <c r="G4" s="14"/>
      <c r="H4" s="14"/>
    </row>
    <row r="5" spans="1:23" x14ac:dyDescent="0.2">
      <c r="A5" s="9" t="s">
        <v>302</v>
      </c>
      <c r="B5" s="13"/>
      <c r="C5" s="14"/>
      <c r="D5" s="14"/>
      <c r="E5" s="14"/>
      <c r="F5" s="14"/>
      <c r="G5" s="14"/>
      <c r="H5" s="14"/>
    </row>
    <row r="6" spans="1:23" x14ac:dyDescent="0.2">
      <c r="A6" s="9" t="s">
        <v>195</v>
      </c>
      <c r="B6" s="13"/>
      <c r="C6" s="15"/>
      <c r="D6" s="15"/>
      <c r="E6" s="15"/>
      <c r="F6" s="15"/>
      <c r="G6" s="15"/>
      <c r="H6" s="15"/>
      <c r="I6" s="15"/>
      <c r="J6" s="15"/>
      <c r="K6" s="15"/>
      <c r="L6" s="15"/>
      <c r="M6" s="15"/>
      <c r="N6" s="15"/>
      <c r="O6" s="15"/>
      <c r="P6" s="15"/>
      <c r="Q6" s="15"/>
      <c r="R6" s="15"/>
      <c r="S6" s="15"/>
      <c r="T6" s="15"/>
      <c r="U6" s="15"/>
      <c r="V6" s="15"/>
    </row>
    <row r="7" spans="1:23" x14ac:dyDescent="0.2">
      <c r="A7" s="9" t="s">
        <v>323</v>
      </c>
      <c r="B7" s="13"/>
      <c r="C7" s="15"/>
      <c r="D7" s="15"/>
      <c r="E7" s="15"/>
      <c r="F7" s="15"/>
      <c r="G7" s="15"/>
      <c r="H7" s="15"/>
      <c r="I7" s="15"/>
      <c r="J7" s="15"/>
      <c r="K7" s="15"/>
      <c r="L7" s="15"/>
      <c r="M7" s="15"/>
      <c r="N7" s="15"/>
      <c r="O7" s="15"/>
      <c r="P7" s="15"/>
      <c r="Q7" s="15"/>
      <c r="R7" s="15"/>
      <c r="S7" s="15"/>
      <c r="T7" s="15"/>
      <c r="U7" s="15"/>
      <c r="V7" s="15"/>
    </row>
    <row r="8" spans="1:23" ht="15" customHeight="1" x14ac:dyDescent="0.2">
      <c r="A8" s="9" t="s">
        <v>204</v>
      </c>
      <c r="B8" s="13"/>
      <c r="C8" s="15"/>
      <c r="D8" s="14"/>
      <c r="E8" s="14"/>
      <c r="F8" s="14"/>
      <c r="G8" s="14"/>
      <c r="H8" s="14"/>
    </row>
    <row r="9" spans="1:23" x14ac:dyDescent="0.2">
      <c r="A9" s="3" t="s">
        <v>310</v>
      </c>
      <c r="B9" s="13"/>
      <c r="C9" s="14"/>
      <c r="D9" s="14"/>
      <c r="E9" s="14"/>
      <c r="F9" s="14"/>
      <c r="G9" s="14"/>
      <c r="H9" s="14"/>
    </row>
    <row r="10" spans="1:23" x14ac:dyDescent="0.2">
      <c r="A10" s="111" t="s">
        <v>312</v>
      </c>
      <c r="B10" s="13"/>
      <c r="C10" s="14"/>
      <c r="D10" s="14"/>
      <c r="E10" s="14"/>
      <c r="F10" s="14"/>
      <c r="G10" s="14"/>
      <c r="H10" s="14"/>
    </row>
    <row r="11" spans="1:23" s="27" customFormat="1" x14ac:dyDescent="0.2">
      <c r="A11" s="26" t="s">
        <v>154</v>
      </c>
      <c r="C11" s="131"/>
      <c r="D11" s="131"/>
      <c r="E11" s="131"/>
      <c r="F11" s="131"/>
      <c r="G11" s="131"/>
      <c r="H11" s="131"/>
      <c r="I11" s="131"/>
      <c r="J11" s="131"/>
      <c r="K11" s="131"/>
      <c r="L11" s="131"/>
      <c r="M11" s="131"/>
      <c r="N11" s="131"/>
      <c r="O11" s="131"/>
      <c r="P11" s="131"/>
      <c r="Q11" s="131"/>
      <c r="R11" s="131"/>
      <c r="S11" s="131"/>
      <c r="T11" s="131"/>
      <c r="U11" s="131"/>
      <c r="V11" s="131"/>
    </row>
    <row r="12" spans="1:23" s="27" customFormat="1" ht="30" customHeight="1" x14ac:dyDescent="0.2">
      <c r="A12" s="35" t="s">
        <v>232</v>
      </c>
      <c r="C12" s="131"/>
      <c r="D12" s="131"/>
      <c r="E12" s="131"/>
      <c r="F12" s="131"/>
      <c r="G12" s="131"/>
      <c r="H12" s="131"/>
      <c r="I12" s="131"/>
      <c r="J12" s="131"/>
      <c r="K12" s="131"/>
      <c r="L12" s="131"/>
      <c r="M12" s="131"/>
      <c r="N12" s="131"/>
      <c r="O12" s="131"/>
      <c r="P12" s="131"/>
      <c r="Q12" s="131"/>
      <c r="R12" s="131"/>
      <c r="S12" s="131"/>
      <c r="T12" s="131"/>
      <c r="U12" s="131"/>
      <c r="V12" s="131"/>
    </row>
    <row r="13" spans="1:23" ht="15.75" customHeight="1" x14ac:dyDescent="0.25">
      <c r="A13" s="23" t="s">
        <v>156</v>
      </c>
      <c r="B13" s="23" t="s">
        <v>157</v>
      </c>
      <c r="C13" s="24" t="s">
        <v>164</v>
      </c>
      <c r="D13" s="24" t="s">
        <v>165</v>
      </c>
      <c r="E13" s="24" t="s">
        <v>166</v>
      </c>
      <c r="F13" s="24" t="s">
        <v>167</v>
      </c>
      <c r="G13" s="24" t="s">
        <v>168</v>
      </c>
      <c r="H13" s="24" t="s">
        <v>169</v>
      </c>
      <c r="I13" s="24" t="s">
        <v>170</v>
      </c>
      <c r="J13" s="24" t="s">
        <v>171</v>
      </c>
      <c r="K13" s="24" t="s">
        <v>172</v>
      </c>
      <c r="L13" s="24" t="s">
        <v>173</v>
      </c>
      <c r="M13" s="24" t="s">
        <v>174</v>
      </c>
      <c r="N13" s="24" t="s">
        <v>175</v>
      </c>
      <c r="O13" s="24" t="s">
        <v>176</v>
      </c>
      <c r="P13" s="24" t="s">
        <v>177</v>
      </c>
      <c r="Q13" s="24" t="s">
        <v>123</v>
      </c>
      <c r="R13" s="25" t="s">
        <v>150</v>
      </c>
      <c r="S13" s="24" t="s">
        <v>187</v>
      </c>
      <c r="T13" s="24" t="s">
        <v>189</v>
      </c>
      <c r="U13" s="24" t="s">
        <v>257</v>
      </c>
      <c r="V13" s="24" t="s">
        <v>316</v>
      </c>
      <c r="W13" s="137" t="s">
        <v>337</v>
      </c>
    </row>
    <row r="14" spans="1:23" x14ac:dyDescent="0.2">
      <c r="A14" s="16" t="s">
        <v>178</v>
      </c>
      <c r="B14" s="17" t="s">
        <v>48</v>
      </c>
      <c r="C14" s="18">
        <v>28330300</v>
      </c>
      <c r="D14" s="18">
        <v>28669400</v>
      </c>
      <c r="E14" s="18">
        <v>28952800</v>
      </c>
      <c r="F14" s="18">
        <v>29271500</v>
      </c>
      <c r="G14" s="18">
        <v>29425100</v>
      </c>
      <c r="H14" s="18">
        <v>28995100</v>
      </c>
      <c r="I14" s="18">
        <v>29047600</v>
      </c>
      <c r="J14" s="18">
        <v>29173400</v>
      </c>
      <c r="K14" s="18">
        <v>29462600</v>
      </c>
      <c r="L14" s="18">
        <v>29879200</v>
      </c>
      <c r="M14" s="18">
        <v>30476000</v>
      </c>
      <c r="N14" s="18">
        <v>31162700</v>
      </c>
      <c r="O14" s="18">
        <v>31500400</v>
      </c>
      <c r="P14" s="18">
        <v>31937900</v>
      </c>
      <c r="Q14" s="18">
        <v>32168600</v>
      </c>
      <c r="R14" s="18">
        <v>32551900</v>
      </c>
      <c r="S14" s="18">
        <v>32355700</v>
      </c>
      <c r="T14" s="18">
        <v>32172900</v>
      </c>
      <c r="U14" s="18">
        <v>32680900</v>
      </c>
      <c r="V14" s="117">
        <v>32965300</v>
      </c>
      <c r="W14" s="117">
        <v>32945400</v>
      </c>
    </row>
    <row r="15" spans="1:23" x14ac:dyDescent="0.2">
      <c r="A15" s="16" t="s">
        <v>178</v>
      </c>
      <c r="B15" s="17" t="s">
        <v>1</v>
      </c>
      <c r="C15" s="18">
        <v>2429900</v>
      </c>
      <c r="D15" s="18">
        <v>2453800</v>
      </c>
      <c r="E15" s="18">
        <v>2499800</v>
      </c>
      <c r="F15" s="18">
        <v>2528400</v>
      </c>
      <c r="G15" s="18">
        <v>2534000</v>
      </c>
      <c r="H15" s="18">
        <v>2497700</v>
      </c>
      <c r="I15" s="18">
        <v>2479700</v>
      </c>
      <c r="J15" s="18">
        <v>2476300</v>
      </c>
      <c r="K15" s="18">
        <v>2481800</v>
      </c>
      <c r="L15" s="18">
        <v>2495100</v>
      </c>
      <c r="M15" s="18">
        <v>2558800</v>
      </c>
      <c r="N15" s="18">
        <v>2582900</v>
      </c>
      <c r="O15" s="18">
        <v>2596200</v>
      </c>
      <c r="P15" s="18">
        <v>2638900</v>
      </c>
      <c r="Q15" s="18">
        <v>2638400</v>
      </c>
      <c r="R15" s="18">
        <v>2663900</v>
      </c>
      <c r="S15" s="18">
        <v>2613400</v>
      </c>
      <c r="T15" s="18">
        <v>2601800</v>
      </c>
      <c r="U15" s="18">
        <v>2643900</v>
      </c>
      <c r="V15" s="117">
        <v>2672600</v>
      </c>
      <c r="W15" s="117">
        <v>2674200</v>
      </c>
    </row>
    <row r="16" spans="1:23" ht="30" customHeight="1" x14ac:dyDescent="0.2">
      <c r="A16" s="17" t="s">
        <v>179</v>
      </c>
      <c r="B16" s="17" t="s">
        <v>35</v>
      </c>
      <c r="C16" s="18">
        <f t="shared" ref="C16:S16" si="0">SUM(C31:C32)</f>
        <v>227700</v>
      </c>
      <c r="D16" s="18">
        <f t="shared" si="0"/>
        <v>234400</v>
      </c>
      <c r="E16" s="18">
        <f t="shared" si="0"/>
        <v>244300</v>
      </c>
      <c r="F16" s="18">
        <f t="shared" si="0"/>
        <v>246600</v>
      </c>
      <c r="G16" s="18">
        <f t="shared" si="0"/>
        <v>247500</v>
      </c>
      <c r="H16" s="18">
        <f t="shared" si="0"/>
        <v>253200</v>
      </c>
      <c r="I16" s="18">
        <f t="shared" si="0"/>
        <v>257100</v>
      </c>
      <c r="J16" s="18">
        <f t="shared" si="0"/>
        <v>253000</v>
      </c>
      <c r="K16" s="18">
        <f t="shared" si="0"/>
        <v>259200</v>
      </c>
      <c r="L16" s="18">
        <f t="shared" si="0"/>
        <v>259100</v>
      </c>
      <c r="M16" s="18">
        <f t="shared" si="0"/>
        <v>260900</v>
      </c>
      <c r="N16" s="18">
        <f t="shared" si="0"/>
        <v>263600</v>
      </c>
      <c r="O16" s="18">
        <f t="shared" si="0"/>
        <v>248900</v>
      </c>
      <c r="P16" s="18">
        <f t="shared" si="0"/>
        <v>259000</v>
      </c>
      <c r="Q16" s="18">
        <f t="shared" si="0"/>
        <v>256400</v>
      </c>
      <c r="R16" s="18">
        <f t="shared" si="0"/>
        <v>266600</v>
      </c>
      <c r="S16" s="18">
        <f t="shared" si="0"/>
        <v>255300</v>
      </c>
      <c r="T16" s="18">
        <f t="shared" ref="T16:U16" si="1">SUM(T31:T32)</f>
        <v>252200</v>
      </c>
      <c r="U16" s="18">
        <f t="shared" si="1"/>
        <v>252800</v>
      </c>
      <c r="V16" s="117" t="s">
        <v>344</v>
      </c>
      <c r="W16" s="117" t="s">
        <v>344</v>
      </c>
    </row>
    <row r="17" spans="1:23" x14ac:dyDescent="0.2">
      <c r="A17" s="16" t="s">
        <v>179</v>
      </c>
      <c r="B17" s="17" t="s">
        <v>36</v>
      </c>
      <c r="C17" s="18">
        <f t="shared" ref="C17:S17" si="2">SUM(C40,C42,C45,C47,C52,C55,C59,C61)</f>
        <v>793600</v>
      </c>
      <c r="D17" s="18">
        <f t="shared" si="2"/>
        <v>798200</v>
      </c>
      <c r="E17" s="18">
        <f t="shared" si="2"/>
        <v>813900</v>
      </c>
      <c r="F17" s="18">
        <f t="shared" si="2"/>
        <v>824000</v>
      </c>
      <c r="G17" s="18">
        <f t="shared" si="2"/>
        <v>818600</v>
      </c>
      <c r="H17" s="18">
        <f t="shared" si="2"/>
        <v>809600</v>
      </c>
      <c r="I17" s="18">
        <f t="shared" si="2"/>
        <v>799300</v>
      </c>
      <c r="J17" s="18">
        <f t="shared" si="2"/>
        <v>810400</v>
      </c>
      <c r="K17" s="18">
        <f t="shared" si="2"/>
        <v>802700</v>
      </c>
      <c r="L17" s="18">
        <f t="shared" si="2"/>
        <v>815200</v>
      </c>
      <c r="M17" s="18">
        <f t="shared" si="2"/>
        <v>828400</v>
      </c>
      <c r="N17" s="18">
        <f t="shared" si="2"/>
        <v>852700</v>
      </c>
      <c r="O17" s="18">
        <f t="shared" si="2"/>
        <v>873500</v>
      </c>
      <c r="P17" s="18">
        <f t="shared" si="2"/>
        <v>870200</v>
      </c>
      <c r="Q17" s="18">
        <f t="shared" si="2"/>
        <v>870500</v>
      </c>
      <c r="R17" s="18">
        <f t="shared" si="2"/>
        <v>880000</v>
      </c>
      <c r="S17" s="18">
        <f t="shared" si="2"/>
        <v>879900</v>
      </c>
      <c r="T17" s="18">
        <f t="shared" ref="T17:U17" si="3">SUM(T40,T42,T45,T47,T52,T55,T59,T61)</f>
        <v>877800</v>
      </c>
      <c r="U17" s="18">
        <f t="shared" si="3"/>
        <v>891700</v>
      </c>
      <c r="V17" s="117" t="s">
        <v>344</v>
      </c>
      <c r="W17" s="117" t="s">
        <v>344</v>
      </c>
    </row>
    <row r="18" spans="1:23" x14ac:dyDescent="0.2">
      <c r="A18" s="16" t="s">
        <v>179</v>
      </c>
      <c r="B18" s="17" t="s">
        <v>37</v>
      </c>
      <c r="C18" s="18">
        <f t="shared" ref="C18:S18" si="4">SUM(C35,C41,C44,C48,C56,C62)</f>
        <v>624500</v>
      </c>
      <c r="D18" s="18">
        <f t="shared" si="4"/>
        <v>629700</v>
      </c>
      <c r="E18" s="18">
        <f t="shared" si="4"/>
        <v>634800</v>
      </c>
      <c r="F18" s="18">
        <f t="shared" si="4"/>
        <v>643500</v>
      </c>
      <c r="G18" s="18">
        <f t="shared" si="4"/>
        <v>648500</v>
      </c>
      <c r="H18" s="18">
        <f t="shared" si="4"/>
        <v>629600</v>
      </c>
      <c r="I18" s="18">
        <f t="shared" si="4"/>
        <v>622300</v>
      </c>
      <c r="J18" s="18">
        <f t="shared" si="4"/>
        <v>628500</v>
      </c>
      <c r="K18" s="18">
        <f t="shared" si="4"/>
        <v>639100</v>
      </c>
      <c r="L18" s="18">
        <f t="shared" si="4"/>
        <v>635100</v>
      </c>
      <c r="M18" s="18">
        <f t="shared" si="4"/>
        <v>663600</v>
      </c>
      <c r="N18" s="18">
        <f t="shared" si="4"/>
        <v>654700</v>
      </c>
      <c r="O18" s="18">
        <f t="shared" si="4"/>
        <v>663300</v>
      </c>
      <c r="P18" s="18">
        <f t="shared" si="4"/>
        <v>690700</v>
      </c>
      <c r="Q18" s="18">
        <f t="shared" si="4"/>
        <v>697900</v>
      </c>
      <c r="R18" s="18">
        <f t="shared" si="4"/>
        <v>692900</v>
      </c>
      <c r="S18" s="18">
        <f t="shared" si="4"/>
        <v>677400</v>
      </c>
      <c r="T18" s="18">
        <f t="shared" ref="T18:U18" si="5">SUM(T35,T41,T44,T48,T56,T62)</f>
        <v>677700</v>
      </c>
      <c r="U18" s="18">
        <f t="shared" si="5"/>
        <v>709300</v>
      </c>
      <c r="V18" s="117" t="s">
        <v>344</v>
      </c>
      <c r="W18" s="117" t="s">
        <v>344</v>
      </c>
    </row>
    <row r="19" spans="1:23" x14ac:dyDescent="0.2">
      <c r="A19" s="16" t="s">
        <v>179</v>
      </c>
      <c r="B19" s="17" t="s">
        <v>236</v>
      </c>
      <c r="C19" s="18">
        <f t="shared" ref="C19:S19" si="6">SUM(C36,C60,C43)</f>
        <v>137400</v>
      </c>
      <c r="D19" s="18">
        <f t="shared" si="6"/>
        <v>137400</v>
      </c>
      <c r="E19" s="18">
        <f t="shared" si="6"/>
        <v>139700</v>
      </c>
      <c r="F19" s="18">
        <f t="shared" si="6"/>
        <v>142000</v>
      </c>
      <c r="G19" s="18">
        <f t="shared" si="6"/>
        <v>142600</v>
      </c>
      <c r="H19" s="18">
        <f t="shared" si="6"/>
        <v>138200</v>
      </c>
      <c r="I19" s="18">
        <f t="shared" si="6"/>
        <v>140100</v>
      </c>
      <c r="J19" s="18">
        <f t="shared" si="6"/>
        <v>137100</v>
      </c>
      <c r="K19" s="18">
        <f t="shared" si="6"/>
        <v>136200</v>
      </c>
      <c r="L19" s="18">
        <f t="shared" si="6"/>
        <v>140600</v>
      </c>
      <c r="M19" s="18">
        <f t="shared" si="6"/>
        <v>141800</v>
      </c>
      <c r="N19" s="18">
        <f t="shared" si="6"/>
        <v>142700</v>
      </c>
      <c r="O19" s="18">
        <f t="shared" si="6"/>
        <v>145800</v>
      </c>
      <c r="P19" s="18">
        <f t="shared" si="6"/>
        <v>146700</v>
      </c>
      <c r="Q19" s="18">
        <f t="shared" si="6"/>
        <v>146900</v>
      </c>
      <c r="R19" s="18">
        <f t="shared" si="6"/>
        <v>146000</v>
      </c>
      <c r="S19" s="18">
        <f t="shared" si="6"/>
        <v>147100</v>
      </c>
      <c r="T19" s="18">
        <f t="shared" ref="T19:U19" si="7">SUM(T36,T60,T43)</f>
        <v>147100</v>
      </c>
      <c r="U19" s="18">
        <f t="shared" si="7"/>
        <v>146500</v>
      </c>
      <c r="V19" s="117" t="s">
        <v>344</v>
      </c>
      <c r="W19" s="117" t="s">
        <v>344</v>
      </c>
    </row>
    <row r="20" spans="1:23" x14ac:dyDescent="0.2">
      <c r="A20" s="16" t="s">
        <v>179</v>
      </c>
      <c r="B20" s="17" t="s">
        <v>38</v>
      </c>
      <c r="C20" s="18">
        <f t="shared" ref="C20:S20" si="8">SUM(C33,C38,C44,C54)</f>
        <v>354300</v>
      </c>
      <c r="D20" s="18">
        <f t="shared" si="8"/>
        <v>359700</v>
      </c>
      <c r="E20" s="18">
        <f t="shared" si="8"/>
        <v>363800</v>
      </c>
      <c r="F20" s="18">
        <f t="shared" si="8"/>
        <v>363200</v>
      </c>
      <c r="G20" s="18">
        <f t="shared" si="8"/>
        <v>365800</v>
      </c>
      <c r="H20" s="18">
        <f t="shared" si="8"/>
        <v>358400</v>
      </c>
      <c r="I20" s="18">
        <f t="shared" si="8"/>
        <v>358400</v>
      </c>
      <c r="J20" s="18">
        <f t="shared" si="8"/>
        <v>354400</v>
      </c>
      <c r="K20" s="18">
        <f t="shared" si="8"/>
        <v>355300</v>
      </c>
      <c r="L20" s="18">
        <f t="shared" si="8"/>
        <v>350900</v>
      </c>
      <c r="M20" s="18">
        <f t="shared" si="8"/>
        <v>359900</v>
      </c>
      <c r="N20" s="18">
        <f t="shared" si="8"/>
        <v>364300</v>
      </c>
      <c r="O20" s="18">
        <f t="shared" si="8"/>
        <v>370800</v>
      </c>
      <c r="P20" s="18">
        <f t="shared" si="8"/>
        <v>367400</v>
      </c>
      <c r="Q20" s="18">
        <f t="shared" si="8"/>
        <v>371800</v>
      </c>
      <c r="R20" s="18">
        <f t="shared" si="8"/>
        <v>373800</v>
      </c>
      <c r="S20" s="18">
        <f t="shared" si="8"/>
        <v>356900</v>
      </c>
      <c r="T20" s="18">
        <f t="shared" ref="T20:U20" si="9">SUM(T33,T38,T44,T54)</f>
        <v>354200</v>
      </c>
      <c r="U20" s="18">
        <f t="shared" si="9"/>
        <v>365400</v>
      </c>
      <c r="V20" s="117" t="s">
        <v>344</v>
      </c>
      <c r="W20" s="117" t="s">
        <v>344</v>
      </c>
    </row>
    <row r="21" spans="1:23" x14ac:dyDescent="0.2">
      <c r="A21" s="16" t="s">
        <v>179</v>
      </c>
      <c r="B21" s="17" t="s">
        <v>121</v>
      </c>
      <c r="C21" s="18">
        <f t="shared" ref="C21:S21" si="10">C28</f>
        <v>232900</v>
      </c>
      <c r="D21" s="18">
        <f t="shared" si="10"/>
        <v>232500</v>
      </c>
      <c r="E21" s="18">
        <f t="shared" si="10"/>
        <v>237700</v>
      </c>
      <c r="F21" s="18">
        <f t="shared" si="10"/>
        <v>242000</v>
      </c>
      <c r="G21" s="18">
        <f t="shared" si="10"/>
        <v>244100</v>
      </c>
      <c r="H21" s="18">
        <f t="shared" si="10"/>
        <v>245200</v>
      </c>
      <c r="I21" s="18">
        <f t="shared" si="10"/>
        <v>242900</v>
      </c>
      <c r="J21" s="18">
        <f t="shared" si="10"/>
        <v>239400</v>
      </c>
      <c r="K21" s="18">
        <f t="shared" si="10"/>
        <v>233200</v>
      </c>
      <c r="L21" s="18">
        <f t="shared" si="10"/>
        <v>237200</v>
      </c>
      <c r="M21" s="18">
        <f t="shared" si="10"/>
        <v>243500</v>
      </c>
      <c r="N21" s="18">
        <f t="shared" si="10"/>
        <v>244800</v>
      </c>
      <c r="O21" s="18">
        <f t="shared" si="10"/>
        <v>242300</v>
      </c>
      <c r="P21" s="18">
        <f t="shared" si="10"/>
        <v>245200</v>
      </c>
      <c r="Q21" s="18">
        <f t="shared" si="10"/>
        <v>244800</v>
      </c>
      <c r="R21" s="18">
        <f t="shared" si="10"/>
        <v>242000</v>
      </c>
      <c r="S21" s="18">
        <f t="shared" si="10"/>
        <v>241200</v>
      </c>
      <c r="T21" s="18">
        <f t="shared" ref="T21:U21" si="11">T28</f>
        <v>229500</v>
      </c>
      <c r="U21" s="18">
        <f t="shared" si="11"/>
        <v>233100</v>
      </c>
      <c r="V21" s="117" t="s">
        <v>344</v>
      </c>
      <c r="W21" s="117" t="s">
        <v>344</v>
      </c>
    </row>
    <row r="22" spans="1:23" x14ac:dyDescent="0.2">
      <c r="A22" s="16" t="s">
        <v>179</v>
      </c>
      <c r="B22" s="17" t="s">
        <v>39</v>
      </c>
      <c r="C22" s="18">
        <f t="shared" ref="C22:S22" si="12">SUM(C39,C51,C58)</f>
        <v>163100</v>
      </c>
      <c r="D22" s="18">
        <f t="shared" si="12"/>
        <v>165200</v>
      </c>
      <c r="E22" s="18">
        <f t="shared" si="12"/>
        <v>166900</v>
      </c>
      <c r="F22" s="18">
        <f t="shared" si="12"/>
        <v>170000</v>
      </c>
      <c r="G22" s="18">
        <f t="shared" si="12"/>
        <v>170100</v>
      </c>
      <c r="H22" s="18">
        <f t="shared" si="12"/>
        <v>161900</v>
      </c>
      <c r="I22" s="18">
        <f t="shared" si="12"/>
        <v>160400</v>
      </c>
      <c r="J22" s="18">
        <f t="shared" si="12"/>
        <v>155500</v>
      </c>
      <c r="K22" s="18">
        <f t="shared" si="12"/>
        <v>158200</v>
      </c>
      <c r="L22" s="18">
        <f t="shared" si="12"/>
        <v>157200</v>
      </c>
      <c r="M22" s="18">
        <f t="shared" si="12"/>
        <v>166800</v>
      </c>
      <c r="N22" s="18">
        <f t="shared" si="12"/>
        <v>160700</v>
      </c>
      <c r="O22" s="18">
        <f t="shared" si="12"/>
        <v>156600</v>
      </c>
      <c r="P22" s="18">
        <f t="shared" si="12"/>
        <v>163500</v>
      </c>
      <c r="Q22" s="18">
        <f t="shared" si="12"/>
        <v>160400</v>
      </c>
      <c r="R22" s="18">
        <f t="shared" si="12"/>
        <v>166100</v>
      </c>
      <c r="S22" s="18">
        <f t="shared" si="12"/>
        <v>158500</v>
      </c>
      <c r="T22" s="18">
        <f t="shared" ref="T22:U22" si="13">SUM(T39,T51,T58)</f>
        <v>157900</v>
      </c>
      <c r="U22" s="18">
        <f t="shared" si="13"/>
        <v>160100</v>
      </c>
      <c r="V22" s="117" t="s">
        <v>344</v>
      </c>
      <c r="W22" s="117" t="s">
        <v>344</v>
      </c>
    </row>
    <row r="23" spans="1:23" x14ac:dyDescent="0.2">
      <c r="A23" s="16" t="s">
        <v>179</v>
      </c>
      <c r="B23" s="17" t="s">
        <v>40</v>
      </c>
      <c r="C23" s="18">
        <f t="shared" ref="C23:S23" si="14">SUM(C37,C56)</f>
        <v>124700</v>
      </c>
      <c r="D23" s="18">
        <f t="shared" si="14"/>
        <v>123900</v>
      </c>
      <c r="E23" s="18">
        <f t="shared" si="14"/>
        <v>127100</v>
      </c>
      <c r="F23" s="18">
        <f t="shared" si="14"/>
        <v>126800</v>
      </c>
      <c r="G23" s="18">
        <f t="shared" si="14"/>
        <v>127100</v>
      </c>
      <c r="H23" s="18">
        <f t="shared" si="14"/>
        <v>125300</v>
      </c>
      <c r="I23" s="18">
        <f t="shared" si="14"/>
        <v>120400</v>
      </c>
      <c r="J23" s="18">
        <f t="shared" si="14"/>
        <v>117800</v>
      </c>
      <c r="K23" s="18">
        <f t="shared" si="14"/>
        <v>117300</v>
      </c>
      <c r="L23" s="18">
        <f t="shared" si="14"/>
        <v>120100</v>
      </c>
      <c r="M23" s="18">
        <f t="shared" si="14"/>
        <v>124900</v>
      </c>
      <c r="N23" s="18">
        <f t="shared" si="14"/>
        <v>125800</v>
      </c>
      <c r="O23" s="18">
        <f t="shared" si="14"/>
        <v>122900</v>
      </c>
      <c r="P23" s="18">
        <f t="shared" si="14"/>
        <v>125100</v>
      </c>
      <c r="Q23" s="18">
        <f t="shared" si="14"/>
        <v>118900</v>
      </c>
      <c r="R23" s="18">
        <f t="shared" si="14"/>
        <v>123300</v>
      </c>
      <c r="S23" s="18">
        <f t="shared" si="14"/>
        <v>116100</v>
      </c>
      <c r="T23" s="18">
        <f t="shared" ref="T23:U23" si="15">SUM(T37,T56)</f>
        <v>109600</v>
      </c>
      <c r="U23" s="18">
        <f t="shared" si="15"/>
        <v>115500</v>
      </c>
      <c r="V23" s="117" t="s">
        <v>344</v>
      </c>
      <c r="W23" s="117" t="s">
        <v>344</v>
      </c>
    </row>
    <row r="24" spans="1:23" ht="30" customHeight="1" x14ac:dyDescent="0.2">
      <c r="A24" s="17" t="s">
        <v>180</v>
      </c>
      <c r="B24" s="17" t="s">
        <v>41</v>
      </c>
      <c r="C24" s="18">
        <f t="shared" ref="C24:S24" si="16">SUM(C34,C50,C53,C57)</f>
        <v>77900</v>
      </c>
      <c r="D24" s="18">
        <f t="shared" si="16"/>
        <v>77800</v>
      </c>
      <c r="E24" s="18">
        <f t="shared" si="16"/>
        <v>80400</v>
      </c>
      <c r="F24" s="18">
        <f t="shared" si="16"/>
        <v>80600</v>
      </c>
      <c r="G24" s="18">
        <f t="shared" si="16"/>
        <v>80100</v>
      </c>
      <c r="H24" s="18">
        <f t="shared" si="16"/>
        <v>78000</v>
      </c>
      <c r="I24" s="18">
        <f t="shared" si="16"/>
        <v>76200</v>
      </c>
      <c r="J24" s="18">
        <f t="shared" si="16"/>
        <v>74500</v>
      </c>
      <c r="K24" s="18">
        <f t="shared" si="16"/>
        <v>74100</v>
      </c>
      <c r="L24" s="18">
        <f t="shared" si="16"/>
        <v>77400</v>
      </c>
      <c r="M24" s="18">
        <f t="shared" si="16"/>
        <v>79400</v>
      </c>
      <c r="N24" s="18">
        <f t="shared" si="16"/>
        <v>78500</v>
      </c>
      <c r="O24" s="18">
        <f t="shared" si="16"/>
        <v>80200</v>
      </c>
      <c r="P24" s="18">
        <f t="shared" si="16"/>
        <v>78200</v>
      </c>
      <c r="Q24" s="18">
        <f t="shared" si="16"/>
        <v>79100</v>
      </c>
      <c r="R24" s="18">
        <f t="shared" si="16"/>
        <v>77500</v>
      </c>
      <c r="S24" s="18">
        <f t="shared" si="16"/>
        <v>75000</v>
      </c>
      <c r="T24" s="18">
        <f t="shared" ref="T24:U24" si="17">SUM(T34,T50,T53,T57)</f>
        <v>72900</v>
      </c>
      <c r="U24" s="18">
        <f t="shared" si="17"/>
        <v>78000</v>
      </c>
      <c r="V24" s="117" t="s">
        <v>344</v>
      </c>
      <c r="W24" s="117" t="s">
        <v>344</v>
      </c>
    </row>
    <row r="25" spans="1:23" x14ac:dyDescent="0.2">
      <c r="A25" s="16" t="s">
        <v>180</v>
      </c>
      <c r="B25" s="17" t="s">
        <v>42</v>
      </c>
      <c r="C25" s="18">
        <f t="shared" ref="C25:S25" si="18">SUM(C32:C33,C36:C37,C39,C41,C46,C49,C54,C56,C58)</f>
        <v>688900</v>
      </c>
      <c r="D25" s="18">
        <f t="shared" si="18"/>
        <v>691400</v>
      </c>
      <c r="E25" s="18">
        <f t="shared" si="18"/>
        <v>711400</v>
      </c>
      <c r="F25" s="18">
        <f t="shared" si="18"/>
        <v>721100</v>
      </c>
      <c r="G25" s="18">
        <f t="shared" si="18"/>
        <v>727000</v>
      </c>
      <c r="H25" s="18">
        <f t="shared" si="18"/>
        <v>723400</v>
      </c>
      <c r="I25" s="18">
        <f t="shared" si="18"/>
        <v>718600</v>
      </c>
      <c r="J25" s="18">
        <f t="shared" si="18"/>
        <v>709300</v>
      </c>
      <c r="K25" s="18">
        <f t="shared" si="18"/>
        <v>710100</v>
      </c>
      <c r="L25" s="18">
        <f t="shared" si="18"/>
        <v>715900</v>
      </c>
      <c r="M25" s="18">
        <f t="shared" si="18"/>
        <v>727300</v>
      </c>
      <c r="N25" s="18">
        <f t="shared" si="18"/>
        <v>738500</v>
      </c>
      <c r="O25" s="18">
        <f t="shared" si="18"/>
        <v>722200</v>
      </c>
      <c r="P25" s="18">
        <f t="shared" si="18"/>
        <v>738000</v>
      </c>
      <c r="Q25" s="18">
        <f t="shared" si="18"/>
        <v>728900</v>
      </c>
      <c r="R25" s="18">
        <f t="shared" si="18"/>
        <v>745700</v>
      </c>
      <c r="S25" s="18">
        <f t="shared" si="18"/>
        <v>720800</v>
      </c>
      <c r="T25" s="18">
        <f t="shared" ref="T25:U25" si="19">SUM(T32:T33,T36:T37,T39,T41,T46,T49,T54,T56,T58)</f>
        <v>705400</v>
      </c>
      <c r="U25" s="18">
        <f t="shared" si="19"/>
        <v>705000</v>
      </c>
      <c r="V25" s="117" t="s">
        <v>344</v>
      </c>
      <c r="W25" s="117" t="s">
        <v>344</v>
      </c>
    </row>
    <row r="26" spans="1:23" x14ac:dyDescent="0.2">
      <c r="A26" s="16" t="s">
        <v>180</v>
      </c>
      <c r="B26" s="17" t="s">
        <v>43</v>
      </c>
      <c r="C26" s="18">
        <f t="shared" ref="C26:S26" si="20">SUM(C40,C42:C44,C47:C48,C51:C52,C55,C59:C62)</f>
        <v>1027700</v>
      </c>
      <c r="D26" s="18">
        <f t="shared" si="20"/>
        <v>1027000</v>
      </c>
      <c r="E26" s="18">
        <f t="shared" si="20"/>
        <v>1049300</v>
      </c>
      <c r="F26" s="18">
        <f t="shared" si="20"/>
        <v>1054000</v>
      </c>
      <c r="G26" s="18">
        <f t="shared" si="20"/>
        <v>1047400</v>
      </c>
      <c r="H26" s="18">
        <f t="shared" si="20"/>
        <v>1028500</v>
      </c>
      <c r="I26" s="18">
        <f t="shared" si="20"/>
        <v>1016000</v>
      </c>
      <c r="J26" s="18">
        <f t="shared" si="20"/>
        <v>1011500</v>
      </c>
      <c r="K26" s="18">
        <f t="shared" si="20"/>
        <v>1023800</v>
      </c>
      <c r="L26" s="18">
        <f t="shared" si="20"/>
        <v>1020900</v>
      </c>
      <c r="M26" s="18">
        <f t="shared" si="20"/>
        <v>1052000</v>
      </c>
      <c r="N26" s="18">
        <f t="shared" si="20"/>
        <v>1045300</v>
      </c>
      <c r="O26" s="18">
        <f t="shared" si="20"/>
        <v>1068300</v>
      </c>
      <c r="P26" s="18">
        <f t="shared" si="20"/>
        <v>1073000</v>
      </c>
      <c r="Q26" s="18">
        <f t="shared" si="20"/>
        <v>1082300</v>
      </c>
      <c r="R26" s="18">
        <f t="shared" si="20"/>
        <v>1074500</v>
      </c>
      <c r="S26" s="18">
        <f t="shared" si="20"/>
        <v>1048500</v>
      </c>
      <c r="T26" s="18">
        <f t="shared" ref="T26:U26" si="21">SUM(T40,T42:T44,T47:T48,T51:T52,T55,T59:T62)</f>
        <v>1036500</v>
      </c>
      <c r="U26" s="18">
        <f t="shared" si="21"/>
        <v>1071800</v>
      </c>
      <c r="V26" s="117" t="s">
        <v>344</v>
      </c>
      <c r="W26" s="117" t="s">
        <v>344</v>
      </c>
    </row>
    <row r="27" spans="1:23" x14ac:dyDescent="0.2">
      <c r="A27" s="16" t="s">
        <v>180</v>
      </c>
      <c r="B27" s="17" t="s">
        <v>44</v>
      </c>
      <c r="C27" s="18">
        <f t="shared" ref="C27:S27" si="22">SUM(C31,C35,C38,C45)</f>
        <v>635400</v>
      </c>
      <c r="D27" s="18">
        <f t="shared" si="22"/>
        <v>657500</v>
      </c>
      <c r="E27" s="18">
        <f t="shared" si="22"/>
        <v>658800</v>
      </c>
      <c r="F27" s="18">
        <f t="shared" si="22"/>
        <v>672500</v>
      </c>
      <c r="G27" s="18">
        <f t="shared" si="22"/>
        <v>679600</v>
      </c>
      <c r="H27" s="18">
        <f t="shared" si="22"/>
        <v>667900</v>
      </c>
      <c r="I27" s="18">
        <f t="shared" si="22"/>
        <v>669000</v>
      </c>
      <c r="J27" s="18">
        <f t="shared" si="22"/>
        <v>680800</v>
      </c>
      <c r="K27" s="18">
        <f t="shared" si="22"/>
        <v>673800</v>
      </c>
      <c r="L27" s="18">
        <f t="shared" si="22"/>
        <v>681200</v>
      </c>
      <c r="M27" s="18">
        <f t="shared" si="22"/>
        <v>700000</v>
      </c>
      <c r="N27" s="18">
        <f t="shared" si="22"/>
        <v>720500</v>
      </c>
      <c r="O27" s="18">
        <f t="shared" si="22"/>
        <v>725500</v>
      </c>
      <c r="P27" s="18">
        <f t="shared" si="22"/>
        <v>749700</v>
      </c>
      <c r="Q27" s="18">
        <f t="shared" si="22"/>
        <v>748100</v>
      </c>
      <c r="R27" s="18">
        <f t="shared" si="22"/>
        <v>766300</v>
      </c>
      <c r="S27" s="18">
        <f t="shared" si="22"/>
        <v>769200</v>
      </c>
      <c r="T27" s="18">
        <f t="shared" ref="T27:U27" si="23">SUM(T31,T35,T38,T45)</f>
        <v>786800</v>
      </c>
      <c r="U27" s="18">
        <f t="shared" si="23"/>
        <v>789400</v>
      </c>
      <c r="V27" s="117" t="s">
        <v>344</v>
      </c>
      <c r="W27" s="117" t="s">
        <v>344</v>
      </c>
    </row>
    <row r="28" spans="1:23" ht="30" customHeight="1" x14ac:dyDescent="0.2">
      <c r="A28" s="17" t="s">
        <v>181</v>
      </c>
      <c r="B28" s="17" t="s">
        <v>45</v>
      </c>
      <c r="C28" s="18">
        <f t="shared" ref="C28:S28" si="24">SUM(C34,C46,C49,C50,C53,C57)</f>
        <v>232900</v>
      </c>
      <c r="D28" s="18">
        <f t="shared" si="24"/>
        <v>232500</v>
      </c>
      <c r="E28" s="18">
        <f t="shared" si="24"/>
        <v>237700</v>
      </c>
      <c r="F28" s="18">
        <f t="shared" si="24"/>
        <v>242000</v>
      </c>
      <c r="G28" s="18">
        <f t="shared" si="24"/>
        <v>244100</v>
      </c>
      <c r="H28" s="18">
        <f t="shared" si="24"/>
        <v>245200</v>
      </c>
      <c r="I28" s="18">
        <f t="shared" si="24"/>
        <v>242900</v>
      </c>
      <c r="J28" s="18">
        <f t="shared" si="24"/>
        <v>239400</v>
      </c>
      <c r="K28" s="18">
        <f t="shared" si="24"/>
        <v>233200</v>
      </c>
      <c r="L28" s="18">
        <f t="shared" si="24"/>
        <v>237200</v>
      </c>
      <c r="M28" s="18">
        <f t="shared" si="24"/>
        <v>243500</v>
      </c>
      <c r="N28" s="18">
        <f t="shared" si="24"/>
        <v>244800</v>
      </c>
      <c r="O28" s="18">
        <f t="shared" si="24"/>
        <v>242300</v>
      </c>
      <c r="P28" s="18">
        <f t="shared" si="24"/>
        <v>245200</v>
      </c>
      <c r="Q28" s="18">
        <f t="shared" si="24"/>
        <v>244800</v>
      </c>
      <c r="R28" s="18">
        <f t="shared" si="24"/>
        <v>242000</v>
      </c>
      <c r="S28" s="18">
        <f t="shared" si="24"/>
        <v>241200</v>
      </c>
      <c r="T28" s="18">
        <f t="shared" ref="T28:U28" si="25">SUM(T34,T46,T49,T50,T53,T57)</f>
        <v>229500</v>
      </c>
      <c r="U28" s="18">
        <f t="shared" si="25"/>
        <v>233100</v>
      </c>
      <c r="V28" s="117" t="s">
        <v>344</v>
      </c>
      <c r="W28" s="117" t="s">
        <v>344</v>
      </c>
    </row>
    <row r="29" spans="1:23" x14ac:dyDescent="0.2">
      <c r="A29" s="16" t="s">
        <v>181</v>
      </c>
      <c r="B29" s="17" t="s">
        <v>120</v>
      </c>
      <c r="C29" s="18">
        <f t="shared" ref="C29:S29" si="26">C23</f>
        <v>124700</v>
      </c>
      <c r="D29" s="18">
        <f t="shared" si="26"/>
        <v>123900</v>
      </c>
      <c r="E29" s="18">
        <f t="shared" si="26"/>
        <v>127100</v>
      </c>
      <c r="F29" s="18">
        <f t="shared" si="26"/>
        <v>126800</v>
      </c>
      <c r="G29" s="18">
        <f t="shared" si="26"/>
        <v>127100</v>
      </c>
      <c r="H29" s="18">
        <f t="shared" si="26"/>
        <v>125300</v>
      </c>
      <c r="I29" s="18">
        <f t="shared" si="26"/>
        <v>120400</v>
      </c>
      <c r="J29" s="18">
        <f t="shared" si="26"/>
        <v>117800</v>
      </c>
      <c r="K29" s="18">
        <f t="shared" si="26"/>
        <v>117300</v>
      </c>
      <c r="L29" s="18">
        <f t="shared" si="26"/>
        <v>120100</v>
      </c>
      <c r="M29" s="18">
        <f t="shared" si="26"/>
        <v>124900</v>
      </c>
      <c r="N29" s="18">
        <f t="shared" si="26"/>
        <v>125800</v>
      </c>
      <c r="O29" s="18">
        <f t="shared" si="26"/>
        <v>122900</v>
      </c>
      <c r="P29" s="18">
        <f t="shared" si="26"/>
        <v>125100</v>
      </c>
      <c r="Q29" s="18">
        <f t="shared" si="26"/>
        <v>118900</v>
      </c>
      <c r="R29" s="18">
        <f t="shared" si="26"/>
        <v>123300</v>
      </c>
      <c r="S29" s="18">
        <f t="shared" si="26"/>
        <v>116100</v>
      </c>
      <c r="T29" s="18">
        <f t="shared" ref="T29:U29" si="27">T23</f>
        <v>109600</v>
      </c>
      <c r="U29" s="18">
        <f t="shared" si="27"/>
        <v>115500</v>
      </c>
      <c r="V29" s="117" t="s">
        <v>344</v>
      </c>
      <c r="W29" s="117" t="s">
        <v>344</v>
      </c>
    </row>
    <row r="30" spans="1:23" x14ac:dyDescent="0.2">
      <c r="A30" s="16" t="s">
        <v>181</v>
      </c>
      <c r="B30" s="17" t="s">
        <v>46</v>
      </c>
      <c r="C30" s="18">
        <f t="shared" ref="C30:S30" si="28">C15-SUM(C28:C29)</f>
        <v>2072300</v>
      </c>
      <c r="D30" s="18">
        <f t="shared" si="28"/>
        <v>2097400</v>
      </c>
      <c r="E30" s="18">
        <f t="shared" si="28"/>
        <v>2135000</v>
      </c>
      <c r="F30" s="18">
        <f t="shared" si="28"/>
        <v>2159600</v>
      </c>
      <c r="G30" s="18">
        <f t="shared" si="28"/>
        <v>2162800</v>
      </c>
      <c r="H30" s="18">
        <f t="shared" si="28"/>
        <v>2127200</v>
      </c>
      <c r="I30" s="18">
        <f t="shared" si="28"/>
        <v>2116400</v>
      </c>
      <c r="J30" s="18">
        <f t="shared" si="28"/>
        <v>2119100</v>
      </c>
      <c r="K30" s="18">
        <f t="shared" si="28"/>
        <v>2131300</v>
      </c>
      <c r="L30" s="18">
        <f t="shared" si="28"/>
        <v>2137800</v>
      </c>
      <c r="M30" s="18">
        <f t="shared" si="28"/>
        <v>2190400</v>
      </c>
      <c r="N30" s="18">
        <f t="shared" si="28"/>
        <v>2212300</v>
      </c>
      <c r="O30" s="18">
        <f t="shared" si="28"/>
        <v>2231000</v>
      </c>
      <c r="P30" s="18">
        <f t="shared" si="28"/>
        <v>2268600</v>
      </c>
      <c r="Q30" s="18">
        <f t="shared" si="28"/>
        <v>2274700</v>
      </c>
      <c r="R30" s="18">
        <f t="shared" si="28"/>
        <v>2298600</v>
      </c>
      <c r="S30" s="18">
        <f t="shared" si="28"/>
        <v>2256100</v>
      </c>
      <c r="T30" s="18">
        <f t="shared" ref="T30:U30" si="29">T15-SUM(T28:T29)</f>
        <v>2262700</v>
      </c>
      <c r="U30" s="18">
        <f t="shared" si="29"/>
        <v>2295300</v>
      </c>
      <c r="V30" s="117" t="s">
        <v>344</v>
      </c>
      <c r="W30" s="117" t="s">
        <v>344</v>
      </c>
    </row>
    <row r="31" spans="1:23" ht="30" customHeight="1" x14ac:dyDescent="0.2">
      <c r="A31" s="17" t="s">
        <v>47</v>
      </c>
      <c r="B31" s="17" t="s">
        <v>22</v>
      </c>
      <c r="C31" s="18">
        <v>106000</v>
      </c>
      <c r="D31" s="18">
        <v>111700</v>
      </c>
      <c r="E31" s="18">
        <v>116600</v>
      </c>
      <c r="F31" s="18">
        <v>115500</v>
      </c>
      <c r="G31" s="18">
        <v>116200</v>
      </c>
      <c r="H31" s="18">
        <v>120100</v>
      </c>
      <c r="I31" s="18">
        <v>121800</v>
      </c>
      <c r="J31" s="18">
        <v>118300</v>
      </c>
      <c r="K31" s="18">
        <v>123000</v>
      </c>
      <c r="L31" s="18">
        <v>123300</v>
      </c>
      <c r="M31" s="18">
        <v>122100</v>
      </c>
      <c r="N31" s="18">
        <v>124600</v>
      </c>
      <c r="O31" s="18">
        <v>114200</v>
      </c>
      <c r="P31" s="18">
        <v>120800</v>
      </c>
      <c r="Q31" s="18">
        <v>120400</v>
      </c>
      <c r="R31" s="18">
        <v>128200</v>
      </c>
      <c r="S31" s="18">
        <v>117000</v>
      </c>
      <c r="T31" s="18">
        <v>123500</v>
      </c>
      <c r="U31" s="18">
        <v>116000</v>
      </c>
      <c r="V31" s="117" t="s">
        <v>344</v>
      </c>
      <c r="W31" s="117" t="s">
        <v>344</v>
      </c>
    </row>
    <row r="32" spans="1:23" x14ac:dyDescent="0.2">
      <c r="A32" s="16" t="s">
        <v>47</v>
      </c>
      <c r="B32" s="17" t="s">
        <v>23</v>
      </c>
      <c r="C32" s="18">
        <v>121700</v>
      </c>
      <c r="D32" s="18">
        <v>122700</v>
      </c>
      <c r="E32" s="18">
        <v>127700</v>
      </c>
      <c r="F32" s="18">
        <v>131100</v>
      </c>
      <c r="G32" s="18">
        <v>131300</v>
      </c>
      <c r="H32" s="18">
        <v>133100</v>
      </c>
      <c r="I32" s="21">
        <v>135300</v>
      </c>
      <c r="J32" s="21">
        <v>134700</v>
      </c>
      <c r="K32" s="21">
        <v>136200</v>
      </c>
      <c r="L32" s="21">
        <v>135800</v>
      </c>
      <c r="M32" s="21">
        <v>138800</v>
      </c>
      <c r="N32" s="21">
        <v>139000</v>
      </c>
      <c r="O32" s="21">
        <v>134700</v>
      </c>
      <c r="P32" s="21">
        <v>138200</v>
      </c>
      <c r="Q32" s="21">
        <v>136000</v>
      </c>
      <c r="R32" s="21">
        <v>138400</v>
      </c>
      <c r="S32" s="18">
        <v>138300</v>
      </c>
      <c r="T32" s="18">
        <v>128700</v>
      </c>
      <c r="U32" s="18">
        <v>136800</v>
      </c>
      <c r="V32" s="117" t="s">
        <v>344</v>
      </c>
      <c r="W32" s="117" t="s">
        <v>344</v>
      </c>
    </row>
    <row r="33" spans="1:23" x14ac:dyDescent="0.2">
      <c r="A33" s="16" t="s">
        <v>47</v>
      </c>
      <c r="B33" s="17" t="s">
        <v>29</v>
      </c>
      <c r="C33" s="18">
        <v>51300</v>
      </c>
      <c r="D33" s="18">
        <v>52800</v>
      </c>
      <c r="E33" s="18">
        <v>55700</v>
      </c>
      <c r="F33" s="18">
        <v>55200</v>
      </c>
      <c r="G33" s="18">
        <v>55900</v>
      </c>
      <c r="H33" s="18">
        <v>54100</v>
      </c>
      <c r="I33" s="21">
        <v>53500</v>
      </c>
      <c r="J33" s="21">
        <v>53100</v>
      </c>
      <c r="K33" s="21">
        <v>54800</v>
      </c>
      <c r="L33" s="21">
        <v>53700</v>
      </c>
      <c r="M33" s="21">
        <v>52100</v>
      </c>
      <c r="N33" s="21">
        <v>54500</v>
      </c>
      <c r="O33" s="21">
        <v>57300</v>
      </c>
      <c r="P33" s="21">
        <v>54100</v>
      </c>
      <c r="Q33" s="21">
        <v>55100</v>
      </c>
      <c r="R33" s="21">
        <v>54700</v>
      </c>
      <c r="S33" s="18">
        <v>51600</v>
      </c>
      <c r="T33" s="18">
        <v>53700</v>
      </c>
      <c r="U33" s="18">
        <v>53500</v>
      </c>
      <c r="V33" s="117" t="s">
        <v>344</v>
      </c>
      <c r="W33" s="117" t="s">
        <v>344</v>
      </c>
    </row>
    <row r="34" spans="1:23" x14ac:dyDescent="0.2">
      <c r="A34" s="16" t="s">
        <v>47</v>
      </c>
      <c r="B34" s="17" t="s">
        <v>24</v>
      </c>
      <c r="C34" s="18">
        <v>42200</v>
      </c>
      <c r="D34" s="18">
        <v>41900</v>
      </c>
      <c r="E34" s="18">
        <v>44300</v>
      </c>
      <c r="F34" s="18">
        <v>43300</v>
      </c>
      <c r="G34" s="18">
        <v>42800</v>
      </c>
      <c r="H34" s="18">
        <v>41300</v>
      </c>
      <c r="I34" s="21">
        <v>40200</v>
      </c>
      <c r="J34" s="21">
        <v>39600</v>
      </c>
      <c r="K34" s="21">
        <v>38300</v>
      </c>
      <c r="L34" s="21">
        <v>41300</v>
      </c>
      <c r="M34" s="21">
        <v>41600</v>
      </c>
      <c r="N34" s="21">
        <v>40300</v>
      </c>
      <c r="O34" s="21">
        <v>41900</v>
      </c>
      <c r="P34" s="21">
        <v>40500</v>
      </c>
      <c r="Q34" s="21">
        <v>41000</v>
      </c>
      <c r="R34" s="21">
        <v>40000</v>
      </c>
      <c r="S34" s="18">
        <v>39100</v>
      </c>
      <c r="T34" s="18">
        <v>37900</v>
      </c>
      <c r="U34" s="18">
        <v>39800</v>
      </c>
      <c r="V34" s="117" t="s">
        <v>344</v>
      </c>
      <c r="W34" s="117" t="s">
        <v>344</v>
      </c>
    </row>
    <row r="35" spans="1:23" x14ac:dyDescent="0.2">
      <c r="A35" s="16" t="s">
        <v>47</v>
      </c>
      <c r="B35" s="17" t="s">
        <v>25</v>
      </c>
      <c r="C35" s="18">
        <v>227200</v>
      </c>
      <c r="D35" s="18">
        <v>234800</v>
      </c>
      <c r="E35" s="18">
        <v>233700</v>
      </c>
      <c r="F35" s="18">
        <v>239200</v>
      </c>
      <c r="G35" s="18">
        <v>241300</v>
      </c>
      <c r="H35" s="18">
        <v>234000</v>
      </c>
      <c r="I35" s="21">
        <v>230900</v>
      </c>
      <c r="J35" s="21">
        <v>237500</v>
      </c>
      <c r="K35" s="21">
        <v>244100</v>
      </c>
      <c r="L35" s="21">
        <v>241800</v>
      </c>
      <c r="M35" s="21">
        <v>252400</v>
      </c>
      <c r="N35" s="21">
        <v>251600</v>
      </c>
      <c r="O35" s="21">
        <v>255200</v>
      </c>
      <c r="P35" s="21">
        <v>273100</v>
      </c>
      <c r="Q35" s="21">
        <v>279100</v>
      </c>
      <c r="R35" s="21">
        <v>273200</v>
      </c>
      <c r="S35" s="18">
        <v>272900</v>
      </c>
      <c r="T35" s="18">
        <v>281800</v>
      </c>
      <c r="U35" s="18">
        <v>288900</v>
      </c>
      <c r="V35" s="117" t="s">
        <v>344</v>
      </c>
      <c r="W35" s="117" t="s">
        <v>344</v>
      </c>
    </row>
    <row r="36" spans="1:23" x14ac:dyDescent="0.2">
      <c r="A36" s="16" t="s">
        <v>47</v>
      </c>
      <c r="B36" s="17" t="s">
        <v>2</v>
      </c>
      <c r="C36" s="18">
        <v>21900</v>
      </c>
      <c r="D36" s="18">
        <v>22500</v>
      </c>
      <c r="E36" s="18">
        <v>22600</v>
      </c>
      <c r="F36" s="18">
        <v>22700</v>
      </c>
      <c r="G36" s="18">
        <v>23200</v>
      </c>
      <c r="H36" s="18">
        <v>23100</v>
      </c>
      <c r="I36" s="21">
        <v>25800</v>
      </c>
      <c r="J36" s="21">
        <v>22200</v>
      </c>
      <c r="K36" s="21">
        <v>21800</v>
      </c>
      <c r="L36" s="21">
        <v>22400</v>
      </c>
      <c r="M36" s="21">
        <v>22400</v>
      </c>
      <c r="N36" s="21">
        <v>24200</v>
      </c>
      <c r="O36" s="21">
        <v>22600</v>
      </c>
      <c r="P36" s="21">
        <v>23700</v>
      </c>
      <c r="Q36" s="21">
        <v>24200</v>
      </c>
      <c r="R36" s="21">
        <v>24100</v>
      </c>
      <c r="S36" s="18">
        <v>23300</v>
      </c>
      <c r="T36" s="18">
        <v>23000</v>
      </c>
      <c r="U36" s="18">
        <v>21900</v>
      </c>
      <c r="V36" s="117" t="s">
        <v>344</v>
      </c>
      <c r="W36" s="117" t="s">
        <v>344</v>
      </c>
    </row>
    <row r="37" spans="1:23" x14ac:dyDescent="0.2">
      <c r="A37" s="16" t="s">
        <v>47</v>
      </c>
      <c r="B37" s="17" t="s">
        <v>3</v>
      </c>
      <c r="C37" s="18">
        <v>71100</v>
      </c>
      <c r="D37" s="18">
        <v>71600</v>
      </c>
      <c r="E37" s="18">
        <v>73000</v>
      </c>
      <c r="F37" s="18">
        <v>71000</v>
      </c>
      <c r="G37" s="18">
        <v>71100</v>
      </c>
      <c r="H37" s="18">
        <v>71400</v>
      </c>
      <c r="I37" s="21">
        <v>69400</v>
      </c>
      <c r="J37" s="21">
        <v>65100</v>
      </c>
      <c r="K37" s="21">
        <v>65000</v>
      </c>
      <c r="L37" s="21">
        <v>66300</v>
      </c>
      <c r="M37" s="21">
        <v>67800</v>
      </c>
      <c r="N37" s="21">
        <v>71200</v>
      </c>
      <c r="O37" s="21">
        <v>69600</v>
      </c>
      <c r="P37" s="21">
        <v>71000</v>
      </c>
      <c r="Q37" s="21">
        <v>66400</v>
      </c>
      <c r="R37" s="21">
        <v>68600</v>
      </c>
      <c r="S37" s="18">
        <v>61400</v>
      </c>
      <c r="T37" s="18">
        <v>61800</v>
      </c>
      <c r="U37" s="18">
        <v>59500</v>
      </c>
      <c r="V37" s="117" t="s">
        <v>344</v>
      </c>
      <c r="W37" s="117" t="s">
        <v>344</v>
      </c>
    </row>
    <row r="38" spans="1:23" x14ac:dyDescent="0.2">
      <c r="A38" s="16" t="s">
        <v>47</v>
      </c>
      <c r="B38" s="17" t="s">
        <v>30</v>
      </c>
      <c r="C38" s="18">
        <v>62500</v>
      </c>
      <c r="D38" s="18">
        <v>66000</v>
      </c>
      <c r="E38" s="18">
        <v>65800</v>
      </c>
      <c r="F38" s="18">
        <v>66200</v>
      </c>
      <c r="G38" s="18">
        <v>66400</v>
      </c>
      <c r="H38" s="18">
        <v>65900</v>
      </c>
      <c r="I38" s="21">
        <v>67500</v>
      </c>
      <c r="J38" s="21">
        <v>65000</v>
      </c>
      <c r="K38" s="21">
        <v>64100</v>
      </c>
      <c r="L38" s="21">
        <v>60800</v>
      </c>
      <c r="M38" s="21">
        <v>61900</v>
      </c>
      <c r="N38" s="21">
        <v>63500</v>
      </c>
      <c r="O38" s="21">
        <v>65700</v>
      </c>
      <c r="P38" s="21">
        <v>65500</v>
      </c>
      <c r="Q38" s="21">
        <v>66200</v>
      </c>
      <c r="R38" s="21">
        <v>66900</v>
      </c>
      <c r="S38" s="18">
        <v>69000</v>
      </c>
      <c r="T38" s="18">
        <v>69600</v>
      </c>
      <c r="U38" s="18">
        <v>67400</v>
      </c>
      <c r="V38" s="117" t="s">
        <v>344</v>
      </c>
      <c r="W38" s="117" t="s">
        <v>344</v>
      </c>
    </row>
    <row r="39" spans="1:23" x14ac:dyDescent="0.2">
      <c r="A39" s="16" t="s">
        <v>47</v>
      </c>
      <c r="B39" s="17" t="s">
        <v>4</v>
      </c>
      <c r="C39" s="18">
        <v>54300</v>
      </c>
      <c r="D39" s="18">
        <v>53100</v>
      </c>
      <c r="E39" s="18">
        <v>55500</v>
      </c>
      <c r="F39" s="18">
        <v>55700</v>
      </c>
      <c r="G39" s="18">
        <v>57600</v>
      </c>
      <c r="H39" s="18">
        <v>54300</v>
      </c>
      <c r="I39" s="21">
        <v>56300</v>
      </c>
      <c r="J39" s="21">
        <v>53800</v>
      </c>
      <c r="K39" s="21">
        <v>53300</v>
      </c>
      <c r="L39" s="21">
        <v>53600</v>
      </c>
      <c r="M39" s="21">
        <v>55000</v>
      </c>
      <c r="N39" s="21">
        <v>54400</v>
      </c>
      <c r="O39" s="21">
        <v>51300</v>
      </c>
      <c r="P39" s="21">
        <v>55200</v>
      </c>
      <c r="Q39" s="21">
        <v>53500</v>
      </c>
      <c r="R39" s="21">
        <v>57100</v>
      </c>
      <c r="S39" s="18">
        <v>54300</v>
      </c>
      <c r="T39" s="18">
        <v>57600</v>
      </c>
      <c r="U39" s="18">
        <v>54500</v>
      </c>
      <c r="V39" s="117" t="s">
        <v>344</v>
      </c>
      <c r="W39" s="117" t="s">
        <v>344</v>
      </c>
    </row>
    <row r="40" spans="1:23" x14ac:dyDescent="0.2">
      <c r="A40" s="16" t="s">
        <v>47</v>
      </c>
      <c r="B40" s="17" t="s">
        <v>32</v>
      </c>
      <c r="C40" s="18">
        <v>53400</v>
      </c>
      <c r="D40" s="18">
        <v>53500</v>
      </c>
      <c r="E40" s="18">
        <v>53800</v>
      </c>
      <c r="F40" s="18">
        <v>52200</v>
      </c>
      <c r="G40" s="18">
        <v>50400</v>
      </c>
      <c r="H40" s="18">
        <v>49800</v>
      </c>
      <c r="I40" s="21">
        <v>49700</v>
      </c>
      <c r="J40" s="21">
        <v>49600</v>
      </c>
      <c r="K40" s="21">
        <v>49200</v>
      </c>
      <c r="L40" s="21">
        <v>51600</v>
      </c>
      <c r="M40" s="21">
        <v>48500</v>
      </c>
      <c r="N40" s="21">
        <v>50000</v>
      </c>
      <c r="O40" s="21">
        <v>50600</v>
      </c>
      <c r="P40" s="21">
        <v>50600</v>
      </c>
      <c r="Q40" s="21">
        <v>52200</v>
      </c>
      <c r="R40" s="21">
        <v>52000</v>
      </c>
      <c r="S40" s="18">
        <v>50100</v>
      </c>
      <c r="T40" s="18">
        <v>48700</v>
      </c>
      <c r="U40" s="18">
        <v>50800</v>
      </c>
      <c r="V40" s="117" t="s">
        <v>344</v>
      </c>
      <c r="W40" s="117" t="s">
        <v>344</v>
      </c>
    </row>
    <row r="41" spans="1:23" x14ac:dyDescent="0.2">
      <c r="A41" s="16" t="s">
        <v>47</v>
      </c>
      <c r="B41" s="17" t="s">
        <v>5</v>
      </c>
      <c r="C41" s="18">
        <v>43400</v>
      </c>
      <c r="D41" s="18">
        <v>45000</v>
      </c>
      <c r="E41" s="18">
        <v>46100</v>
      </c>
      <c r="F41" s="18">
        <v>47300</v>
      </c>
      <c r="G41" s="18">
        <v>47400</v>
      </c>
      <c r="H41" s="18">
        <v>47400</v>
      </c>
      <c r="I41" s="21">
        <v>45600</v>
      </c>
      <c r="J41" s="21">
        <v>46700</v>
      </c>
      <c r="K41" s="21">
        <v>47900</v>
      </c>
      <c r="L41" s="21">
        <v>49100</v>
      </c>
      <c r="M41" s="21">
        <v>47800</v>
      </c>
      <c r="N41" s="21">
        <v>48600</v>
      </c>
      <c r="O41" s="21">
        <v>48100</v>
      </c>
      <c r="P41" s="21">
        <v>51000</v>
      </c>
      <c r="Q41" s="21">
        <v>54200</v>
      </c>
      <c r="R41" s="21">
        <v>53200</v>
      </c>
      <c r="S41" s="18">
        <v>50300</v>
      </c>
      <c r="T41" s="18">
        <v>54500</v>
      </c>
      <c r="U41" s="18">
        <v>52000</v>
      </c>
      <c r="V41" s="117" t="s">
        <v>344</v>
      </c>
      <c r="W41" s="117" t="s">
        <v>344</v>
      </c>
    </row>
    <row r="42" spans="1:23" x14ac:dyDescent="0.2">
      <c r="A42" s="16" t="s">
        <v>47</v>
      </c>
      <c r="B42" s="17" t="s">
        <v>6</v>
      </c>
      <c r="C42" s="18">
        <v>43900</v>
      </c>
      <c r="D42" s="18">
        <v>44200</v>
      </c>
      <c r="E42" s="18">
        <v>43800</v>
      </c>
      <c r="F42" s="18">
        <v>43200</v>
      </c>
      <c r="G42" s="18">
        <v>42700</v>
      </c>
      <c r="H42" s="18">
        <v>41600</v>
      </c>
      <c r="I42" s="21">
        <v>41500</v>
      </c>
      <c r="J42" s="21">
        <v>42500</v>
      </c>
      <c r="K42" s="21">
        <v>41800</v>
      </c>
      <c r="L42" s="21">
        <v>43000</v>
      </c>
      <c r="M42" s="21">
        <v>44300</v>
      </c>
      <c r="N42" s="21">
        <v>43200</v>
      </c>
      <c r="O42" s="21">
        <v>45800</v>
      </c>
      <c r="P42" s="21">
        <v>44800</v>
      </c>
      <c r="Q42" s="21">
        <v>44200</v>
      </c>
      <c r="R42" s="21">
        <v>43900</v>
      </c>
      <c r="S42" s="18">
        <v>44000</v>
      </c>
      <c r="T42" s="18">
        <v>40200</v>
      </c>
      <c r="U42" s="18">
        <v>45000</v>
      </c>
      <c r="V42" s="117" t="s">
        <v>344</v>
      </c>
      <c r="W42" s="117" t="s">
        <v>344</v>
      </c>
    </row>
    <row r="43" spans="1:23" x14ac:dyDescent="0.2">
      <c r="A43" s="16" t="s">
        <v>47</v>
      </c>
      <c r="B43" s="17" t="s">
        <v>8</v>
      </c>
      <c r="C43" s="18">
        <v>73100</v>
      </c>
      <c r="D43" s="18">
        <v>73200</v>
      </c>
      <c r="E43" s="18">
        <v>75600</v>
      </c>
      <c r="F43" s="18">
        <v>76400</v>
      </c>
      <c r="G43" s="18">
        <v>77100</v>
      </c>
      <c r="H43" s="18">
        <v>73500</v>
      </c>
      <c r="I43" s="21">
        <v>74100</v>
      </c>
      <c r="J43" s="21">
        <v>73800</v>
      </c>
      <c r="K43" s="21">
        <v>75400</v>
      </c>
      <c r="L43" s="21">
        <v>76500</v>
      </c>
      <c r="M43" s="21">
        <v>75600</v>
      </c>
      <c r="N43" s="21">
        <v>76300</v>
      </c>
      <c r="O43" s="21">
        <v>78800</v>
      </c>
      <c r="P43" s="21">
        <v>78100</v>
      </c>
      <c r="Q43" s="21">
        <v>78300</v>
      </c>
      <c r="R43" s="21">
        <v>76700</v>
      </c>
      <c r="S43" s="18">
        <v>78600</v>
      </c>
      <c r="T43" s="18">
        <v>78900</v>
      </c>
      <c r="U43" s="18">
        <v>78500</v>
      </c>
      <c r="V43" s="117" t="s">
        <v>344</v>
      </c>
      <c r="W43" s="117" t="s">
        <v>344</v>
      </c>
    </row>
    <row r="44" spans="1:23" x14ac:dyDescent="0.2">
      <c r="A44" s="16" t="s">
        <v>47</v>
      </c>
      <c r="B44" s="17" t="s">
        <v>9</v>
      </c>
      <c r="C44" s="18">
        <v>174700</v>
      </c>
      <c r="D44" s="18">
        <v>175000</v>
      </c>
      <c r="E44" s="18">
        <v>174200</v>
      </c>
      <c r="F44" s="18">
        <v>174100</v>
      </c>
      <c r="G44" s="18">
        <v>174200</v>
      </c>
      <c r="H44" s="18">
        <v>169700</v>
      </c>
      <c r="I44" s="21">
        <v>170100</v>
      </c>
      <c r="J44" s="21">
        <v>167300</v>
      </c>
      <c r="K44" s="21">
        <v>167100</v>
      </c>
      <c r="L44" s="21">
        <v>166200</v>
      </c>
      <c r="M44" s="21">
        <v>174000</v>
      </c>
      <c r="N44" s="21">
        <v>171900</v>
      </c>
      <c r="O44" s="21">
        <v>174600</v>
      </c>
      <c r="P44" s="21">
        <v>174800</v>
      </c>
      <c r="Q44" s="21">
        <v>176700</v>
      </c>
      <c r="R44" s="21">
        <v>172000</v>
      </c>
      <c r="S44" s="18">
        <v>164200</v>
      </c>
      <c r="T44" s="18">
        <v>156600</v>
      </c>
      <c r="U44" s="18">
        <v>174200</v>
      </c>
      <c r="V44" s="117" t="s">
        <v>344</v>
      </c>
      <c r="W44" s="117" t="s">
        <v>344</v>
      </c>
    </row>
    <row r="45" spans="1:23" x14ac:dyDescent="0.2">
      <c r="A45" s="16" t="s">
        <v>47</v>
      </c>
      <c r="B45" s="17" t="s">
        <v>33</v>
      </c>
      <c r="C45" s="18">
        <v>239700</v>
      </c>
      <c r="D45" s="18">
        <v>245000</v>
      </c>
      <c r="E45" s="18">
        <v>242700</v>
      </c>
      <c r="F45" s="18">
        <v>251600</v>
      </c>
      <c r="G45" s="18">
        <v>255700</v>
      </c>
      <c r="H45" s="18">
        <v>247900</v>
      </c>
      <c r="I45" s="21">
        <v>248800</v>
      </c>
      <c r="J45" s="21">
        <v>260000</v>
      </c>
      <c r="K45" s="21">
        <v>242600</v>
      </c>
      <c r="L45" s="21">
        <v>255300</v>
      </c>
      <c r="M45" s="21">
        <v>263600</v>
      </c>
      <c r="N45" s="21">
        <v>280800</v>
      </c>
      <c r="O45" s="21">
        <v>290400</v>
      </c>
      <c r="P45" s="21">
        <v>290300</v>
      </c>
      <c r="Q45" s="21">
        <v>282400</v>
      </c>
      <c r="R45" s="21">
        <v>298000</v>
      </c>
      <c r="S45" s="18">
        <v>310300</v>
      </c>
      <c r="T45" s="18">
        <v>311900</v>
      </c>
      <c r="U45" s="18">
        <v>317100</v>
      </c>
      <c r="V45" s="117" t="s">
        <v>344</v>
      </c>
      <c r="W45" s="117" t="s">
        <v>344</v>
      </c>
    </row>
    <row r="46" spans="1:23" x14ac:dyDescent="0.2">
      <c r="A46" s="16" t="s">
        <v>47</v>
      </c>
      <c r="B46" s="17" t="s">
        <v>10</v>
      </c>
      <c r="C46" s="18">
        <v>111700</v>
      </c>
      <c r="D46" s="18">
        <v>111300</v>
      </c>
      <c r="E46" s="18">
        <v>111900</v>
      </c>
      <c r="F46" s="18">
        <v>115300</v>
      </c>
      <c r="G46" s="18">
        <v>115700</v>
      </c>
      <c r="H46" s="18">
        <v>120300</v>
      </c>
      <c r="I46" s="21">
        <v>118600</v>
      </c>
      <c r="J46" s="21">
        <v>118200</v>
      </c>
      <c r="K46" s="21">
        <v>113900</v>
      </c>
      <c r="L46" s="21">
        <v>112700</v>
      </c>
      <c r="M46" s="21">
        <v>117900</v>
      </c>
      <c r="N46" s="21">
        <v>121600</v>
      </c>
      <c r="O46" s="21">
        <v>116000</v>
      </c>
      <c r="P46" s="21">
        <v>121400</v>
      </c>
      <c r="Q46" s="21">
        <v>120900</v>
      </c>
      <c r="R46" s="21">
        <v>118000</v>
      </c>
      <c r="S46" s="18">
        <v>119600</v>
      </c>
      <c r="T46" s="18">
        <v>111300</v>
      </c>
      <c r="U46" s="18">
        <v>107700</v>
      </c>
      <c r="V46" s="117" t="s">
        <v>344</v>
      </c>
      <c r="W46" s="117" t="s">
        <v>344</v>
      </c>
    </row>
    <row r="47" spans="1:23" x14ac:dyDescent="0.2">
      <c r="A47" s="16" t="s">
        <v>47</v>
      </c>
      <c r="B47" s="17" t="s">
        <v>11</v>
      </c>
      <c r="C47" s="18">
        <v>35500</v>
      </c>
      <c r="D47" s="18">
        <v>36400</v>
      </c>
      <c r="E47" s="18">
        <v>37300</v>
      </c>
      <c r="F47" s="18">
        <v>36100</v>
      </c>
      <c r="G47" s="18">
        <v>38100</v>
      </c>
      <c r="H47" s="18">
        <v>35600</v>
      </c>
      <c r="I47" s="21">
        <v>37600</v>
      </c>
      <c r="J47" s="21">
        <v>35700</v>
      </c>
      <c r="K47" s="21">
        <v>34100</v>
      </c>
      <c r="L47" s="21">
        <v>36100</v>
      </c>
      <c r="M47" s="21">
        <v>36400</v>
      </c>
      <c r="N47" s="21">
        <v>34300</v>
      </c>
      <c r="O47" s="21">
        <v>35200</v>
      </c>
      <c r="P47" s="21">
        <v>36100</v>
      </c>
      <c r="Q47" s="21">
        <v>36600</v>
      </c>
      <c r="R47" s="21">
        <v>33800</v>
      </c>
      <c r="S47" s="18">
        <v>33200</v>
      </c>
      <c r="T47" s="18">
        <v>36800</v>
      </c>
      <c r="U47" s="18">
        <v>37000</v>
      </c>
      <c r="V47" s="117" t="s">
        <v>344</v>
      </c>
      <c r="W47" s="117" t="s">
        <v>344</v>
      </c>
    </row>
    <row r="48" spans="1:23" x14ac:dyDescent="0.2">
      <c r="A48" s="16" t="s">
        <v>47</v>
      </c>
      <c r="B48" s="17" t="s">
        <v>12</v>
      </c>
      <c r="C48" s="18">
        <v>40800</v>
      </c>
      <c r="D48" s="18">
        <v>40500</v>
      </c>
      <c r="E48" s="18">
        <v>40800</v>
      </c>
      <c r="F48" s="18">
        <v>41400</v>
      </c>
      <c r="G48" s="18">
        <v>42000</v>
      </c>
      <c r="H48" s="18">
        <v>40300</v>
      </c>
      <c r="I48" s="21">
        <v>39400</v>
      </c>
      <c r="J48" s="21">
        <v>40700</v>
      </c>
      <c r="K48" s="21">
        <v>41200</v>
      </c>
      <c r="L48" s="21">
        <v>39700</v>
      </c>
      <c r="M48" s="21">
        <v>42100</v>
      </c>
      <c r="N48" s="21">
        <v>41800</v>
      </c>
      <c r="O48" s="21">
        <v>43200</v>
      </c>
      <c r="P48" s="21">
        <v>45800</v>
      </c>
      <c r="Q48" s="21">
        <v>45900</v>
      </c>
      <c r="R48" s="21">
        <v>47000</v>
      </c>
      <c r="S48" s="18">
        <v>44200</v>
      </c>
      <c r="T48" s="18">
        <v>48200</v>
      </c>
      <c r="U48" s="18">
        <v>47200</v>
      </c>
      <c r="V48" s="117" t="s">
        <v>344</v>
      </c>
      <c r="W48" s="117" t="s">
        <v>344</v>
      </c>
    </row>
    <row r="49" spans="1:23" x14ac:dyDescent="0.2">
      <c r="A49" s="16" t="s">
        <v>47</v>
      </c>
      <c r="B49" s="17" t="s">
        <v>13</v>
      </c>
      <c r="C49" s="18">
        <v>43300</v>
      </c>
      <c r="D49" s="18">
        <v>43400</v>
      </c>
      <c r="E49" s="18">
        <v>45400</v>
      </c>
      <c r="F49" s="18">
        <v>46100</v>
      </c>
      <c r="G49" s="18">
        <v>48300</v>
      </c>
      <c r="H49" s="18">
        <v>46900</v>
      </c>
      <c r="I49" s="21">
        <v>48100</v>
      </c>
      <c r="J49" s="21">
        <v>46700</v>
      </c>
      <c r="K49" s="21">
        <v>45200</v>
      </c>
      <c r="L49" s="21">
        <v>47100</v>
      </c>
      <c r="M49" s="21">
        <v>46200</v>
      </c>
      <c r="N49" s="21">
        <v>44700</v>
      </c>
      <c r="O49" s="21">
        <v>46100</v>
      </c>
      <c r="P49" s="21">
        <v>45600</v>
      </c>
      <c r="Q49" s="21">
        <v>44800</v>
      </c>
      <c r="R49" s="21">
        <v>46500</v>
      </c>
      <c r="S49" s="18">
        <v>46600</v>
      </c>
      <c r="T49" s="18">
        <v>45300</v>
      </c>
      <c r="U49" s="18">
        <v>47400</v>
      </c>
      <c r="V49" s="117" t="s">
        <v>344</v>
      </c>
      <c r="W49" s="117" t="s">
        <v>344</v>
      </c>
    </row>
    <row r="50" spans="1:23" x14ac:dyDescent="0.2">
      <c r="A50" s="16" t="s">
        <v>47</v>
      </c>
      <c r="B50" s="17" t="s">
        <v>7</v>
      </c>
      <c r="C50" s="18">
        <v>12900</v>
      </c>
      <c r="D50" s="18">
        <v>13300</v>
      </c>
      <c r="E50" s="18">
        <v>13300</v>
      </c>
      <c r="F50" s="18">
        <v>13500</v>
      </c>
      <c r="G50" s="18">
        <v>13500</v>
      </c>
      <c r="H50" s="18">
        <v>12300</v>
      </c>
      <c r="I50" s="21">
        <v>12000</v>
      </c>
      <c r="J50" s="21">
        <v>11200</v>
      </c>
      <c r="K50" s="21">
        <v>12200</v>
      </c>
      <c r="L50" s="21">
        <v>12200</v>
      </c>
      <c r="M50" s="21">
        <v>13100</v>
      </c>
      <c r="N50" s="21">
        <v>13200</v>
      </c>
      <c r="O50" s="21">
        <v>13300</v>
      </c>
      <c r="P50" s="21">
        <v>13100</v>
      </c>
      <c r="Q50" s="21">
        <v>12800</v>
      </c>
      <c r="R50" s="21">
        <v>13500</v>
      </c>
      <c r="S50" s="18">
        <v>13100</v>
      </c>
      <c r="T50" s="18">
        <v>13100</v>
      </c>
      <c r="U50" s="18">
        <v>13900</v>
      </c>
      <c r="V50" s="117" t="s">
        <v>344</v>
      </c>
      <c r="W50" s="117" t="s">
        <v>344</v>
      </c>
    </row>
    <row r="51" spans="1:23" x14ac:dyDescent="0.2">
      <c r="A51" s="16" t="s">
        <v>47</v>
      </c>
      <c r="B51" s="17" t="s">
        <v>14</v>
      </c>
      <c r="C51" s="18">
        <v>58000</v>
      </c>
      <c r="D51" s="18">
        <v>61300</v>
      </c>
      <c r="E51" s="18">
        <v>60100</v>
      </c>
      <c r="F51" s="18">
        <v>61100</v>
      </c>
      <c r="G51" s="18">
        <v>61300</v>
      </c>
      <c r="H51" s="18">
        <v>57400</v>
      </c>
      <c r="I51" s="21">
        <v>56400</v>
      </c>
      <c r="J51" s="21">
        <v>54600</v>
      </c>
      <c r="K51" s="21">
        <v>54500</v>
      </c>
      <c r="L51" s="21">
        <v>52400</v>
      </c>
      <c r="M51" s="21">
        <v>61500</v>
      </c>
      <c r="N51" s="21">
        <v>55000</v>
      </c>
      <c r="O51" s="21">
        <v>55300</v>
      </c>
      <c r="P51" s="21">
        <v>57600</v>
      </c>
      <c r="Q51" s="21">
        <v>59400</v>
      </c>
      <c r="R51" s="21">
        <v>58800</v>
      </c>
      <c r="S51" s="18">
        <v>55600</v>
      </c>
      <c r="T51" s="18">
        <v>52900</v>
      </c>
      <c r="U51" s="18">
        <v>60200</v>
      </c>
      <c r="V51" s="117" t="s">
        <v>344</v>
      </c>
      <c r="W51" s="117" t="s">
        <v>344</v>
      </c>
    </row>
    <row r="52" spans="1:23" x14ac:dyDescent="0.2">
      <c r="A52" s="16" t="s">
        <v>47</v>
      </c>
      <c r="B52" s="17" t="s">
        <v>31</v>
      </c>
      <c r="C52" s="18">
        <v>149000</v>
      </c>
      <c r="D52" s="18">
        <v>149800</v>
      </c>
      <c r="E52" s="18">
        <v>155400</v>
      </c>
      <c r="F52" s="18">
        <v>157100</v>
      </c>
      <c r="G52" s="18">
        <v>153000</v>
      </c>
      <c r="H52" s="18">
        <v>162200</v>
      </c>
      <c r="I52" s="21">
        <v>153200</v>
      </c>
      <c r="J52" s="21">
        <v>153500</v>
      </c>
      <c r="K52" s="21">
        <v>156600</v>
      </c>
      <c r="L52" s="21">
        <v>157500</v>
      </c>
      <c r="M52" s="21">
        <v>159400</v>
      </c>
      <c r="N52" s="21">
        <v>160600</v>
      </c>
      <c r="O52" s="21">
        <v>170100</v>
      </c>
      <c r="P52" s="21">
        <v>164200</v>
      </c>
      <c r="Q52" s="21">
        <v>168500</v>
      </c>
      <c r="R52" s="21">
        <v>165800</v>
      </c>
      <c r="S52" s="18">
        <v>154500</v>
      </c>
      <c r="T52" s="18">
        <v>153900</v>
      </c>
      <c r="U52" s="18">
        <v>152500</v>
      </c>
      <c r="V52" s="117" t="s">
        <v>344</v>
      </c>
      <c r="W52" s="117" t="s">
        <v>344</v>
      </c>
    </row>
    <row r="53" spans="1:23" x14ac:dyDescent="0.2">
      <c r="A53" s="16" t="s">
        <v>47</v>
      </c>
      <c r="B53" s="17" t="s">
        <v>15</v>
      </c>
      <c r="C53" s="18">
        <v>10600</v>
      </c>
      <c r="D53" s="18">
        <v>10600</v>
      </c>
      <c r="E53" s="18">
        <v>10800</v>
      </c>
      <c r="F53" s="18">
        <v>11200</v>
      </c>
      <c r="G53" s="18">
        <v>11000</v>
      </c>
      <c r="H53" s="18">
        <v>11800</v>
      </c>
      <c r="I53" s="21">
        <v>11100</v>
      </c>
      <c r="J53" s="21">
        <v>11100</v>
      </c>
      <c r="K53" s="21">
        <v>11200</v>
      </c>
      <c r="L53" s="21">
        <v>11500</v>
      </c>
      <c r="M53" s="21">
        <v>12600</v>
      </c>
      <c r="N53" s="21">
        <v>11900</v>
      </c>
      <c r="O53" s="21">
        <v>12100</v>
      </c>
      <c r="P53" s="21">
        <v>12300</v>
      </c>
      <c r="Q53" s="21">
        <v>12200</v>
      </c>
      <c r="R53" s="21">
        <v>12100</v>
      </c>
      <c r="S53" s="18">
        <v>11100</v>
      </c>
      <c r="T53" s="18">
        <v>10300</v>
      </c>
      <c r="U53" s="18">
        <v>11500</v>
      </c>
      <c r="V53" s="117" t="s">
        <v>344</v>
      </c>
      <c r="W53" s="117" t="s">
        <v>344</v>
      </c>
    </row>
    <row r="54" spans="1:23" x14ac:dyDescent="0.2">
      <c r="A54" s="16" t="s">
        <v>47</v>
      </c>
      <c r="B54" s="17" t="s">
        <v>16</v>
      </c>
      <c r="C54" s="18">
        <v>65800</v>
      </c>
      <c r="D54" s="18">
        <v>65900</v>
      </c>
      <c r="E54" s="18">
        <v>68100</v>
      </c>
      <c r="F54" s="18">
        <v>67700</v>
      </c>
      <c r="G54" s="18">
        <v>69300</v>
      </c>
      <c r="H54" s="18">
        <v>68700</v>
      </c>
      <c r="I54" s="21">
        <v>67300</v>
      </c>
      <c r="J54" s="21">
        <v>69000</v>
      </c>
      <c r="K54" s="21">
        <v>69300</v>
      </c>
      <c r="L54" s="21">
        <v>70200</v>
      </c>
      <c r="M54" s="21">
        <v>71900</v>
      </c>
      <c r="N54" s="21">
        <v>74400</v>
      </c>
      <c r="O54" s="21">
        <v>73200</v>
      </c>
      <c r="P54" s="21">
        <v>73000</v>
      </c>
      <c r="Q54" s="21">
        <v>73800</v>
      </c>
      <c r="R54" s="21">
        <v>80200</v>
      </c>
      <c r="S54" s="18">
        <v>72100</v>
      </c>
      <c r="T54" s="18">
        <v>74300</v>
      </c>
      <c r="U54" s="18">
        <v>70300</v>
      </c>
      <c r="V54" s="117" t="s">
        <v>344</v>
      </c>
      <c r="W54" s="117" t="s">
        <v>344</v>
      </c>
    </row>
    <row r="55" spans="1:23" x14ac:dyDescent="0.2">
      <c r="A55" s="16" t="s">
        <v>47</v>
      </c>
      <c r="B55" s="17" t="s">
        <v>26</v>
      </c>
      <c r="C55" s="18">
        <v>82400</v>
      </c>
      <c r="D55" s="18">
        <v>81700</v>
      </c>
      <c r="E55" s="18">
        <v>84700</v>
      </c>
      <c r="F55" s="18">
        <v>82700</v>
      </c>
      <c r="G55" s="18">
        <v>83600</v>
      </c>
      <c r="H55" s="18">
        <v>82200</v>
      </c>
      <c r="I55" s="21">
        <v>78800</v>
      </c>
      <c r="J55" s="21">
        <v>77700</v>
      </c>
      <c r="K55" s="21">
        <v>82500</v>
      </c>
      <c r="L55" s="21">
        <v>82400</v>
      </c>
      <c r="M55" s="21">
        <v>83600</v>
      </c>
      <c r="N55" s="21">
        <v>84900</v>
      </c>
      <c r="O55" s="21">
        <v>86200</v>
      </c>
      <c r="P55" s="21">
        <v>88000</v>
      </c>
      <c r="Q55" s="21">
        <v>86000</v>
      </c>
      <c r="R55" s="21">
        <v>88800</v>
      </c>
      <c r="S55" s="18">
        <v>89300</v>
      </c>
      <c r="T55" s="18">
        <v>86900</v>
      </c>
      <c r="U55" s="18">
        <v>83900</v>
      </c>
      <c r="V55" s="117" t="s">
        <v>344</v>
      </c>
      <c r="W55" s="117" t="s">
        <v>344</v>
      </c>
    </row>
    <row r="56" spans="1:23" x14ac:dyDescent="0.2">
      <c r="A56" s="16" t="s">
        <v>47</v>
      </c>
      <c r="B56" s="17" t="s">
        <v>17</v>
      </c>
      <c r="C56" s="18">
        <v>53600</v>
      </c>
      <c r="D56" s="18">
        <v>52300</v>
      </c>
      <c r="E56" s="18">
        <v>54100</v>
      </c>
      <c r="F56" s="18">
        <v>55800</v>
      </c>
      <c r="G56" s="18">
        <v>56000</v>
      </c>
      <c r="H56" s="18">
        <v>53900</v>
      </c>
      <c r="I56" s="21">
        <v>51000</v>
      </c>
      <c r="J56" s="21">
        <v>52700</v>
      </c>
      <c r="K56" s="21">
        <v>52300</v>
      </c>
      <c r="L56" s="21">
        <v>53800</v>
      </c>
      <c r="M56" s="21">
        <v>57100</v>
      </c>
      <c r="N56" s="21">
        <v>54600</v>
      </c>
      <c r="O56" s="21">
        <v>53300</v>
      </c>
      <c r="P56" s="21">
        <v>54100</v>
      </c>
      <c r="Q56" s="21">
        <v>52500</v>
      </c>
      <c r="R56" s="21">
        <v>54700</v>
      </c>
      <c r="S56" s="18">
        <v>54700</v>
      </c>
      <c r="T56" s="18">
        <v>47800</v>
      </c>
      <c r="U56" s="18">
        <v>56000</v>
      </c>
      <c r="V56" s="117" t="s">
        <v>344</v>
      </c>
      <c r="W56" s="117" t="s">
        <v>344</v>
      </c>
    </row>
    <row r="57" spans="1:23" x14ac:dyDescent="0.2">
      <c r="A57" s="16" t="s">
        <v>47</v>
      </c>
      <c r="B57" s="17" t="s">
        <v>18</v>
      </c>
      <c r="C57" s="18">
        <v>12200</v>
      </c>
      <c r="D57" s="18">
        <v>12000</v>
      </c>
      <c r="E57" s="18">
        <v>12000</v>
      </c>
      <c r="F57" s="18">
        <v>12600</v>
      </c>
      <c r="G57" s="18">
        <v>12800</v>
      </c>
      <c r="H57" s="18">
        <v>12600</v>
      </c>
      <c r="I57" s="21">
        <v>12900</v>
      </c>
      <c r="J57" s="21">
        <v>12600</v>
      </c>
      <c r="K57" s="21">
        <v>12400</v>
      </c>
      <c r="L57" s="21">
        <v>12400</v>
      </c>
      <c r="M57" s="21">
        <v>12100</v>
      </c>
      <c r="N57" s="21">
        <v>13100</v>
      </c>
      <c r="O57" s="21">
        <v>12900</v>
      </c>
      <c r="P57" s="21">
        <v>12300</v>
      </c>
      <c r="Q57" s="21">
        <v>13100</v>
      </c>
      <c r="R57" s="21">
        <v>11900</v>
      </c>
      <c r="S57" s="18">
        <v>11700</v>
      </c>
      <c r="T57" s="18">
        <v>11600</v>
      </c>
      <c r="U57" s="18">
        <v>12800</v>
      </c>
      <c r="V57" s="117" t="s">
        <v>344</v>
      </c>
      <c r="W57" s="117" t="s">
        <v>344</v>
      </c>
    </row>
    <row r="58" spans="1:23" x14ac:dyDescent="0.2">
      <c r="A58" s="16" t="s">
        <v>47</v>
      </c>
      <c r="B58" s="17" t="s">
        <v>19</v>
      </c>
      <c r="C58" s="18">
        <v>50800</v>
      </c>
      <c r="D58" s="18">
        <v>50800</v>
      </c>
      <c r="E58" s="18">
        <v>51300</v>
      </c>
      <c r="F58" s="18">
        <v>53200</v>
      </c>
      <c r="G58" s="18">
        <v>51200</v>
      </c>
      <c r="H58" s="18">
        <v>50200</v>
      </c>
      <c r="I58" s="21">
        <v>47700</v>
      </c>
      <c r="J58" s="21">
        <v>47100</v>
      </c>
      <c r="K58" s="21">
        <v>50400</v>
      </c>
      <c r="L58" s="21">
        <v>51200</v>
      </c>
      <c r="M58" s="21">
        <v>50300</v>
      </c>
      <c r="N58" s="21">
        <v>51300</v>
      </c>
      <c r="O58" s="21">
        <v>50000</v>
      </c>
      <c r="P58" s="21">
        <v>50700</v>
      </c>
      <c r="Q58" s="21">
        <v>47500</v>
      </c>
      <c r="R58" s="21">
        <v>50200</v>
      </c>
      <c r="S58" s="18">
        <v>48600</v>
      </c>
      <c r="T58" s="18">
        <v>47400</v>
      </c>
      <c r="U58" s="18">
        <v>45400</v>
      </c>
      <c r="V58" s="117" t="s">
        <v>344</v>
      </c>
      <c r="W58" s="117" t="s">
        <v>344</v>
      </c>
    </row>
    <row r="59" spans="1:23" x14ac:dyDescent="0.2">
      <c r="A59" s="16" t="s">
        <v>47</v>
      </c>
      <c r="B59" s="17" t="s">
        <v>20</v>
      </c>
      <c r="C59" s="18">
        <v>147900</v>
      </c>
      <c r="D59" s="18">
        <v>145900</v>
      </c>
      <c r="E59" s="18">
        <v>152600</v>
      </c>
      <c r="F59" s="18">
        <v>157300</v>
      </c>
      <c r="G59" s="18">
        <v>153000</v>
      </c>
      <c r="H59" s="18">
        <v>149600</v>
      </c>
      <c r="I59" s="21">
        <v>149500</v>
      </c>
      <c r="J59" s="21">
        <v>150600</v>
      </c>
      <c r="K59" s="21">
        <v>156100</v>
      </c>
      <c r="L59" s="21">
        <v>150900</v>
      </c>
      <c r="M59" s="21">
        <v>153100</v>
      </c>
      <c r="N59" s="21">
        <v>158500</v>
      </c>
      <c r="O59" s="21">
        <v>153700</v>
      </c>
      <c r="P59" s="21">
        <v>154300</v>
      </c>
      <c r="Q59" s="21">
        <v>158800</v>
      </c>
      <c r="R59" s="21">
        <v>154900</v>
      </c>
      <c r="S59" s="18">
        <v>156400</v>
      </c>
      <c r="T59" s="18">
        <v>158800</v>
      </c>
      <c r="U59" s="18">
        <v>161200</v>
      </c>
      <c r="V59" s="117" t="s">
        <v>344</v>
      </c>
      <c r="W59" s="117" t="s">
        <v>344</v>
      </c>
    </row>
    <row r="60" spans="1:23" x14ac:dyDescent="0.2">
      <c r="A60" s="16" t="s">
        <v>47</v>
      </c>
      <c r="B60" s="17" t="s">
        <v>21</v>
      </c>
      <c r="C60" s="18">
        <v>42400</v>
      </c>
      <c r="D60" s="18">
        <v>41700</v>
      </c>
      <c r="E60" s="18">
        <v>41500</v>
      </c>
      <c r="F60" s="18">
        <v>42900</v>
      </c>
      <c r="G60" s="18">
        <v>42300</v>
      </c>
      <c r="H60" s="18">
        <v>41600</v>
      </c>
      <c r="I60" s="21">
        <v>40200</v>
      </c>
      <c r="J60" s="21">
        <v>41100</v>
      </c>
      <c r="K60" s="21">
        <v>39000</v>
      </c>
      <c r="L60" s="21">
        <v>41700</v>
      </c>
      <c r="M60" s="21">
        <v>43800</v>
      </c>
      <c r="N60" s="21">
        <v>42200</v>
      </c>
      <c r="O60" s="21">
        <v>44400</v>
      </c>
      <c r="P60" s="21">
        <v>44900</v>
      </c>
      <c r="Q60" s="21">
        <v>44400</v>
      </c>
      <c r="R60" s="21">
        <v>45200</v>
      </c>
      <c r="S60" s="18">
        <v>45200</v>
      </c>
      <c r="T60" s="18">
        <v>45200</v>
      </c>
      <c r="U60" s="18">
        <v>46100</v>
      </c>
      <c r="V60" s="117" t="s">
        <v>344</v>
      </c>
      <c r="W60" s="117" t="s">
        <v>344</v>
      </c>
    </row>
    <row r="61" spans="1:23" x14ac:dyDescent="0.2">
      <c r="A61" s="16" t="s">
        <v>47</v>
      </c>
      <c r="B61" s="17" t="s">
        <v>27</v>
      </c>
      <c r="C61" s="18">
        <v>41800</v>
      </c>
      <c r="D61" s="18">
        <v>41700</v>
      </c>
      <c r="E61" s="18">
        <v>43600</v>
      </c>
      <c r="F61" s="18">
        <v>43800</v>
      </c>
      <c r="G61" s="18">
        <v>42100</v>
      </c>
      <c r="H61" s="18">
        <v>40700</v>
      </c>
      <c r="I61" s="21">
        <v>40200</v>
      </c>
      <c r="J61" s="21">
        <v>40800</v>
      </c>
      <c r="K61" s="21">
        <v>39800</v>
      </c>
      <c r="L61" s="21">
        <v>38400</v>
      </c>
      <c r="M61" s="21">
        <v>39500</v>
      </c>
      <c r="N61" s="21">
        <v>40400</v>
      </c>
      <c r="O61" s="21">
        <v>41500</v>
      </c>
      <c r="P61" s="21">
        <v>41900</v>
      </c>
      <c r="Q61" s="21">
        <v>41800</v>
      </c>
      <c r="R61" s="21">
        <v>42800</v>
      </c>
      <c r="S61" s="18">
        <v>42100</v>
      </c>
      <c r="T61" s="18">
        <v>40600</v>
      </c>
      <c r="U61" s="18">
        <v>44200</v>
      </c>
      <c r="V61" s="117" t="s">
        <v>344</v>
      </c>
      <c r="W61" s="117" t="s">
        <v>344</v>
      </c>
    </row>
    <row r="62" spans="1:23" x14ac:dyDescent="0.2">
      <c r="A62" s="16" t="s">
        <v>47</v>
      </c>
      <c r="B62" s="17" t="s">
        <v>28</v>
      </c>
      <c r="C62" s="18">
        <v>84800</v>
      </c>
      <c r="D62" s="18">
        <v>82100</v>
      </c>
      <c r="E62" s="18">
        <v>85900</v>
      </c>
      <c r="F62" s="18">
        <v>85700</v>
      </c>
      <c r="G62" s="18">
        <v>87600</v>
      </c>
      <c r="H62" s="18">
        <v>84300</v>
      </c>
      <c r="I62" s="21">
        <v>85300</v>
      </c>
      <c r="J62" s="21">
        <v>83600</v>
      </c>
      <c r="K62" s="21">
        <v>86500</v>
      </c>
      <c r="L62" s="21">
        <v>84500</v>
      </c>
      <c r="M62" s="21">
        <v>90200</v>
      </c>
      <c r="N62" s="21">
        <v>86200</v>
      </c>
      <c r="O62" s="21">
        <v>88900</v>
      </c>
      <c r="P62" s="21">
        <v>91900</v>
      </c>
      <c r="Q62" s="21">
        <v>89500</v>
      </c>
      <c r="R62" s="21">
        <v>92800</v>
      </c>
      <c r="S62" s="18">
        <v>91100</v>
      </c>
      <c r="T62" s="18">
        <v>88800</v>
      </c>
      <c r="U62" s="18">
        <v>91000</v>
      </c>
      <c r="V62" s="117" t="s">
        <v>344</v>
      </c>
      <c r="W62" s="117" t="s">
        <v>344</v>
      </c>
    </row>
    <row r="63" spans="1:23" ht="30" customHeight="1" x14ac:dyDescent="0.2">
      <c r="A63" s="17" t="s">
        <v>182</v>
      </c>
      <c r="B63" s="17" t="s">
        <v>54</v>
      </c>
      <c r="C63" s="18" t="s">
        <v>190</v>
      </c>
      <c r="D63" s="18" t="s">
        <v>190</v>
      </c>
      <c r="E63" s="18" t="s">
        <v>190</v>
      </c>
      <c r="F63" s="18" t="s">
        <v>190</v>
      </c>
      <c r="G63" s="18" t="s">
        <v>190</v>
      </c>
      <c r="H63" s="18" t="s">
        <v>190</v>
      </c>
      <c r="I63" s="18" t="s">
        <v>190</v>
      </c>
      <c r="J63" s="18" t="s">
        <v>190</v>
      </c>
      <c r="K63" s="18">
        <v>216500</v>
      </c>
      <c r="L63" s="18">
        <v>216800</v>
      </c>
      <c r="M63" s="18">
        <v>215400</v>
      </c>
      <c r="N63" s="18">
        <v>220400</v>
      </c>
      <c r="O63" s="18">
        <v>212300</v>
      </c>
      <c r="P63" s="18">
        <v>214200</v>
      </c>
      <c r="Q63" s="18">
        <v>212000</v>
      </c>
      <c r="R63" s="18">
        <v>219600</v>
      </c>
      <c r="S63" s="18">
        <v>211700</v>
      </c>
      <c r="T63" s="18">
        <v>210600</v>
      </c>
      <c r="U63" s="18">
        <v>213300</v>
      </c>
      <c r="V63" s="117" t="s">
        <v>344</v>
      </c>
      <c r="W63" s="117" t="s">
        <v>344</v>
      </c>
    </row>
    <row r="64" spans="1:23" x14ac:dyDescent="0.2">
      <c r="A64" s="16" t="s">
        <v>182</v>
      </c>
      <c r="B64" s="16" t="s">
        <v>55</v>
      </c>
      <c r="C64" s="18" t="s">
        <v>190</v>
      </c>
      <c r="D64" s="18" t="s">
        <v>190</v>
      </c>
      <c r="E64" s="18" t="s">
        <v>190</v>
      </c>
      <c r="F64" s="18" t="s">
        <v>190</v>
      </c>
      <c r="G64" s="18" t="s">
        <v>190</v>
      </c>
      <c r="H64" s="18" t="s">
        <v>190</v>
      </c>
      <c r="I64" s="21" t="s">
        <v>190</v>
      </c>
      <c r="J64" s="21" t="s">
        <v>190</v>
      </c>
      <c r="K64" s="21">
        <v>9400</v>
      </c>
      <c r="L64" s="21">
        <v>7100</v>
      </c>
      <c r="M64" s="21">
        <v>9200</v>
      </c>
      <c r="N64" s="21">
        <v>11300</v>
      </c>
      <c r="O64" s="21">
        <v>9000</v>
      </c>
      <c r="P64" s="21">
        <v>13800</v>
      </c>
      <c r="Q64" s="21">
        <v>12100</v>
      </c>
      <c r="R64" s="21">
        <v>9400</v>
      </c>
      <c r="S64" s="18">
        <v>8300</v>
      </c>
      <c r="T64" s="18">
        <v>9500</v>
      </c>
      <c r="U64" s="18">
        <v>5400</v>
      </c>
      <c r="V64" s="117" t="s">
        <v>344</v>
      </c>
      <c r="W64" s="117" t="s">
        <v>344</v>
      </c>
    </row>
    <row r="65" spans="1:23" x14ac:dyDescent="0.2">
      <c r="A65" s="16" t="s">
        <v>182</v>
      </c>
      <c r="B65" s="16" t="s">
        <v>56</v>
      </c>
      <c r="C65" s="18" t="s">
        <v>190</v>
      </c>
      <c r="D65" s="18" t="s">
        <v>190</v>
      </c>
      <c r="E65" s="18" t="s">
        <v>190</v>
      </c>
      <c r="F65" s="18" t="s">
        <v>190</v>
      </c>
      <c r="G65" s="18" t="s">
        <v>190</v>
      </c>
      <c r="H65" s="18" t="s">
        <v>190</v>
      </c>
      <c r="I65" s="21" t="s">
        <v>190</v>
      </c>
      <c r="J65" s="21" t="s">
        <v>190</v>
      </c>
      <c r="K65" s="21">
        <v>20700</v>
      </c>
      <c r="L65" s="21">
        <v>20500</v>
      </c>
      <c r="M65" s="21">
        <v>17300</v>
      </c>
      <c r="N65" s="21">
        <v>20800</v>
      </c>
      <c r="O65" s="21">
        <v>21300</v>
      </c>
      <c r="P65" s="21">
        <v>18800</v>
      </c>
      <c r="Q65" s="21">
        <v>20000</v>
      </c>
      <c r="R65" s="21">
        <v>20800</v>
      </c>
      <c r="S65" s="18">
        <v>17800</v>
      </c>
      <c r="T65" s="18">
        <v>20600</v>
      </c>
      <c r="U65" s="18">
        <v>18600</v>
      </c>
      <c r="V65" s="117" t="s">
        <v>344</v>
      </c>
      <c r="W65" s="117" t="s">
        <v>344</v>
      </c>
    </row>
    <row r="66" spans="1:23" x14ac:dyDescent="0.2">
      <c r="A66" s="16" t="s">
        <v>182</v>
      </c>
      <c r="B66" s="16" t="s">
        <v>57</v>
      </c>
      <c r="C66" s="18" t="s">
        <v>190</v>
      </c>
      <c r="D66" s="18" t="s">
        <v>190</v>
      </c>
      <c r="E66" s="18" t="s">
        <v>190</v>
      </c>
      <c r="F66" s="18" t="s">
        <v>190</v>
      </c>
      <c r="G66" s="18" t="s">
        <v>190</v>
      </c>
      <c r="H66" s="18" t="s">
        <v>190</v>
      </c>
      <c r="I66" s="21" t="s">
        <v>190</v>
      </c>
      <c r="J66" s="21" t="s">
        <v>190</v>
      </c>
      <c r="K66" s="21">
        <v>6400</v>
      </c>
      <c r="L66" s="21">
        <v>5200</v>
      </c>
      <c r="M66" s="21">
        <v>6300</v>
      </c>
      <c r="N66" s="21">
        <v>5800</v>
      </c>
      <c r="O66" s="21">
        <v>7700</v>
      </c>
      <c r="P66" s="21">
        <v>5300</v>
      </c>
      <c r="Q66" s="21">
        <v>6900</v>
      </c>
      <c r="R66" s="21">
        <v>7800</v>
      </c>
      <c r="S66" s="18">
        <v>8300</v>
      </c>
      <c r="T66" s="18">
        <v>6500</v>
      </c>
      <c r="U66" s="18">
        <v>5800</v>
      </c>
      <c r="V66" s="117" t="s">
        <v>344</v>
      </c>
      <c r="W66" s="117" t="s">
        <v>344</v>
      </c>
    </row>
    <row r="67" spans="1:23" x14ac:dyDescent="0.2">
      <c r="A67" s="16" t="s">
        <v>182</v>
      </c>
      <c r="B67" s="16" t="s">
        <v>58</v>
      </c>
      <c r="C67" s="18" t="s">
        <v>190</v>
      </c>
      <c r="D67" s="18" t="s">
        <v>190</v>
      </c>
      <c r="E67" s="18" t="s">
        <v>190</v>
      </c>
      <c r="F67" s="18" t="s">
        <v>190</v>
      </c>
      <c r="G67" s="18" t="s">
        <v>190</v>
      </c>
      <c r="H67" s="18" t="s">
        <v>190</v>
      </c>
      <c r="I67" s="21" t="s">
        <v>190</v>
      </c>
      <c r="J67" s="21" t="s">
        <v>190</v>
      </c>
      <c r="K67" s="21">
        <v>63000</v>
      </c>
      <c r="L67" s="21">
        <v>64000</v>
      </c>
      <c r="M67" s="21">
        <v>63200</v>
      </c>
      <c r="N67" s="21">
        <v>62600</v>
      </c>
      <c r="O67" s="21">
        <v>61000</v>
      </c>
      <c r="P67" s="21">
        <v>63200</v>
      </c>
      <c r="Q67" s="21">
        <v>59400</v>
      </c>
      <c r="R67" s="21">
        <v>59500</v>
      </c>
      <c r="S67" s="18">
        <v>57300</v>
      </c>
      <c r="T67" s="18">
        <v>58900</v>
      </c>
      <c r="U67" s="18">
        <v>55100</v>
      </c>
      <c r="V67" s="117" t="s">
        <v>344</v>
      </c>
      <c r="W67" s="117" t="s">
        <v>344</v>
      </c>
    </row>
    <row r="68" spans="1:23" x14ac:dyDescent="0.2">
      <c r="A68" s="16" t="s">
        <v>182</v>
      </c>
      <c r="B68" s="16" t="s">
        <v>96</v>
      </c>
      <c r="C68" s="18" t="s">
        <v>190</v>
      </c>
      <c r="D68" s="18" t="s">
        <v>190</v>
      </c>
      <c r="E68" s="18" t="s">
        <v>190</v>
      </c>
      <c r="F68" s="18" t="s">
        <v>190</v>
      </c>
      <c r="G68" s="18" t="s">
        <v>190</v>
      </c>
      <c r="H68" s="18" t="s">
        <v>190</v>
      </c>
      <c r="I68" s="21" t="s">
        <v>190</v>
      </c>
      <c r="J68" s="21" t="s">
        <v>190</v>
      </c>
      <c r="K68" s="21">
        <v>7400</v>
      </c>
      <c r="L68" s="21">
        <v>9900</v>
      </c>
      <c r="M68" s="21">
        <v>10200</v>
      </c>
      <c r="N68" s="21">
        <v>8900</v>
      </c>
      <c r="O68" s="21">
        <v>9100</v>
      </c>
      <c r="P68" s="21">
        <v>8200</v>
      </c>
      <c r="Q68" s="21">
        <v>9600</v>
      </c>
      <c r="R68" s="21">
        <v>7300</v>
      </c>
      <c r="S68" s="21">
        <v>6000</v>
      </c>
      <c r="T68" s="21">
        <v>8200</v>
      </c>
      <c r="U68" s="21">
        <v>10700</v>
      </c>
      <c r="V68" s="117" t="s">
        <v>344</v>
      </c>
      <c r="W68" s="117" t="s">
        <v>344</v>
      </c>
    </row>
    <row r="69" spans="1:23" x14ac:dyDescent="0.2">
      <c r="A69" s="16" t="s">
        <v>182</v>
      </c>
      <c r="B69" s="16" t="s">
        <v>59</v>
      </c>
      <c r="C69" s="18" t="s">
        <v>190</v>
      </c>
      <c r="D69" s="18" t="s">
        <v>190</v>
      </c>
      <c r="E69" s="18" t="s">
        <v>190</v>
      </c>
      <c r="F69" s="18" t="s">
        <v>190</v>
      </c>
      <c r="G69" s="18" t="s">
        <v>190</v>
      </c>
      <c r="H69" s="18" t="s">
        <v>190</v>
      </c>
      <c r="I69" s="21" t="s">
        <v>190</v>
      </c>
      <c r="J69" s="21" t="s">
        <v>190</v>
      </c>
      <c r="K69" s="21">
        <v>3200</v>
      </c>
      <c r="L69" s="21">
        <v>2900</v>
      </c>
      <c r="M69" s="21">
        <v>1000</v>
      </c>
      <c r="N69" s="21">
        <v>1800</v>
      </c>
      <c r="O69" s="21">
        <v>3900</v>
      </c>
      <c r="P69" s="21">
        <v>4400</v>
      </c>
      <c r="Q69" s="21">
        <v>3000</v>
      </c>
      <c r="R69" s="21">
        <v>2400</v>
      </c>
      <c r="S69" s="21">
        <v>4300</v>
      </c>
      <c r="T69" s="21">
        <v>4800</v>
      </c>
      <c r="U69" s="21">
        <v>2900</v>
      </c>
      <c r="V69" s="117" t="s">
        <v>344</v>
      </c>
      <c r="W69" s="117" t="s">
        <v>344</v>
      </c>
    </row>
    <row r="70" spans="1:23" x14ac:dyDescent="0.2">
      <c r="A70" s="16" t="s">
        <v>182</v>
      </c>
      <c r="B70" s="16" t="s">
        <v>60</v>
      </c>
      <c r="C70" s="18" t="s">
        <v>190</v>
      </c>
      <c r="D70" s="18" t="s">
        <v>190</v>
      </c>
      <c r="E70" s="18" t="s">
        <v>190</v>
      </c>
      <c r="F70" s="18" t="s">
        <v>190</v>
      </c>
      <c r="G70" s="18" t="s">
        <v>190</v>
      </c>
      <c r="H70" s="18" t="s">
        <v>190</v>
      </c>
      <c r="I70" s="21" t="s">
        <v>190</v>
      </c>
      <c r="J70" s="21" t="s">
        <v>190</v>
      </c>
      <c r="K70" s="21">
        <v>2700</v>
      </c>
      <c r="L70" s="21">
        <v>3000</v>
      </c>
      <c r="M70" s="21">
        <v>3300</v>
      </c>
      <c r="N70" s="21">
        <v>2900</v>
      </c>
      <c r="O70" s="21">
        <v>2700</v>
      </c>
      <c r="P70" s="21">
        <v>2900</v>
      </c>
      <c r="Q70" s="21">
        <v>2600</v>
      </c>
      <c r="R70" s="21">
        <v>3000</v>
      </c>
      <c r="S70" s="21">
        <v>2600</v>
      </c>
      <c r="T70" s="21">
        <v>2300</v>
      </c>
      <c r="U70" s="21">
        <v>2000</v>
      </c>
      <c r="V70" s="117" t="s">
        <v>344</v>
      </c>
      <c r="W70" s="117" t="s">
        <v>344</v>
      </c>
    </row>
    <row r="71" spans="1:23" x14ac:dyDescent="0.2">
      <c r="A71" s="16" t="s">
        <v>182</v>
      </c>
      <c r="B71" s="16" t="s">
        <v>97</v>
      </c>
      <c r="C71" s="18" t="s">
        <v>190</v>
      </c>
      <c r="D71" s="18" t="s">
        <v>190</v>
      </c>
      <c r="E71" s="18" t="s">
        <v>190</v>
      </c>
      <c r="F71" s="18" t="s">
        <v>190</v>
      </c>
      <c r="G71" s="18" t="s">
        <v>190</v>
      </c>
      <c r="H71" s="18" t="s">
        <v>190</v>
      </c>
      <c r="I71" s="21" t="s">
        <v>190</v>
      </c>
      <c r="J71" s="21" t="s">
        <v>190</v>
      </c>
      <c r="K71" s="21">
        <v>4000</v>
      </c>
      <c r="L71" s="21">
        <v>3400</v>
      </c>
      <c r="M71" s="21">
        <v>3200</v>
      </c>
      <c r="N71" s="21">
        <v>4400</v>
      </c>
      <c r="O71" s="21">
        <v>4500</v>
      </c>
      <c r="P71" s="21">
        <v>5200</v>
      </c>
      <c r="Q71" s="21">
        <v>3700</v>
      </c>
      <c r="R71" s="21">
        <v>4200</v>
      </c>
      <c r="S71" s="21">
        <v>3300</v>
      </c>
      <c r="T71" s="21">
        <v>3500</v>
      </c>
      <c r="U71" s="21">
        <v>3600</v>
      </c>
      <c r="V71" s="117" t="s">
        <v>344</v>
      </c>
      <c r="W71" s="117" t="s">
        <v>344</v>
      </c>
    </row>
    <row r="72" spans="1:23" x14ac:dyDescent="0.2">
      <c r="A72" s="16" t="s">
        <v>182</v>
      </c>
      <c r="B72" s="16" t="s">
        <v>61</v>
      </c>
      <c r="C72" s="18" t="s">
        <v>190</v>
      </c>
      <c r="D72" s="18" t="s">
        <v>190</v>
      </c>
      <c r="E72" s="18" t="s">
        <v>190</v>
      </c>
      <c r="F72" s="18" t="s">
        <v>190</v>
      </c>
      <c r="G72" s="18" t="s">
        <v>190</v>
      </c>
      <c r="H72" s="18" t="s">
        <v>190</v>
      </c>
      <c r="I72" s="21" t="s">
        <v>190</v>
      </c>
      <c r="J72" s="21" t="s">
        <v>190</v>
      </c>
      <c r="K72" s="21">
        <v>7700</v>
      </c>
      <c r="L72" s="21">
        <v>8100</v>
      </c>
      <c r="M72" s="21">
        <v>7100</v>
      </c>
      <c r="N72" s="21">
        <v>6900</v>
      </c>
      <c r="O72" s="21">
        <v>7200</v>
      </c>
      <c r="P72" s="21">
        <v>8500</v>
      </c>
      <c r="Q72" s="21">
        <v>9000</v>
      </c>
      <c r="R72" s="21">
        <v>7300</v>
      </c>
      <c r="S72" s="18">
        <v>6600</v>
      </c>
      <c r="T72" s="18">
        <v>9000</v>
      </c>
      <c r="U72" s="18">
        <v>10900</v>
      </c>
      <c r="V72" s="117" t="s">
        <v>344</v>
      </c>
      <c r="W72" s="117" t="s">
        <v>344</v>
      </c>
    </row>
    <row r="73" spans="1:23" x14ac:dyDescent="0.2">
      <c r="A73" s="16" t="s">
        <v>182</v>
      </c>
      <c r="B73" s="16" t="s">
        <v>62</v>
      </c>
      <c r="C73" s="18" t="s">
        <v>190</v>
      </c>
      <c r="D73" s="18" t="s">
        <v>190</v>
      </c>
      <c r="E73" s="18" t="s">
        <v>190</v>
      </c>
      <c r="F73" s="18" t="s">
        <v>190</v>
      </c>
      <c r="G73" s="18" t="s">
        <v>190</v>
      </c>
      <c r="H73" s="18" t="s">
        <v>190</v>
      </c>
      <c r="I73" s="21" t="s">
        <v>190</v>
      </c>
      <c r="J73" s="21" t="s">
        <v>190</v>
      </c>
      <c r="K73" s="21">
        <v>35400</v>
      </c>
      <c r="L73" s="21">
        <v>37300</v>
      </c>
      <c r="M73" s="21">
        <v>34100</v>
      </c>
      <c r="N73" s="21">
        <v>38600</v>
      </c>
      <c r="O73" s="21">
        <v>38000</v>
      </c>
      <c r="P73" s="21">
        <v>36400</v>
      </c>
      <c r="Q73" s="21">
        <v>40300</v>
      </c>
      <c r="R73" s="21">
        <v>35400</v>
      </c>
      <c r="S73" s="18">
        <v>35200</v>
      </c>
      <c r="T73" s="18">
        <v>37100</v>
      </c>
      <c r="U73" s="18">
        <v>37200</v>
      </c>
      <c r="V73" s="117" t="s">
        <v>344</v>
      </c>
      <c r="W73" s="117" t="s">
        <v>344</v>
      </c>
    </row>
    <row r="74" spans="1:23" x14ac:dyDescent="0.2">
      <c r="A74" s="16" t="s">
        <v>182</v>
      </c>
      <c r="B74" s="16" t="s">
        <v>63</v>
      </c>
      <c r="C74" s="18" t="s">
        <v>190</v>
      </c>
      <c r="D74" s="18" t="s">
        <v>190</v>
      </c>
      <c r="E74" s="18" t="s">
        <v>190</v>
      </c>
      <c r="F74" s="18" t="s">
        <v>190</v>
      </c>
      <c r="G74" s="18" t="s">
        <v>190</v>
      </c>
      <c r="H74" s="18" t="s">
        <v>190</v>
      </c>
      <c r="I74" s="21" t="s">
        <v>190</v>
      </c>
      <c r="J74" s="21" t="s">
        <v>190</v>
      </c>
      <c r="K74" s="21">
        <v>39200</v>
      </c>
      <c r="L74" s="21">
        <v>43400</v>
      </c>
      <c r="M74" s="21">
        <v>42800</v>
      </c>
      <c r="N74" s="21">
        <v>43800</v>
      </c>
      <c r="O74" s="21">
        <v>45400</v>
      </c>
      <c r="P74" s="21">
        <v>41900</v>
      </c>
      <c r="Q74" s="21">
        <v>42400</v>
      </c>
      <c r="R74" s="21">
        <v>45400</v>
      </c>
      <c r="S74" s="18">
        <v>39100</v>
      </c>
      <c r="T74" s="18">
        <v>39700</v>
      </c>
      <c r="U74" s="18">
        <v>32800</v>
      </c>
      <c r="V74" s="117" t="s">
        <v>344</v>
      </c>
      <c r="W74" s="117" t="s">
        <v>344</v>
      </c>
    </row>
    <row r="75" spans="1:23" x14ac:dyDescent="0.2">
      <c r="A75" s="16" t="s">
        <v>182</v>
      </c>
      <c r="B75" s="16" t="s">
        <v>64</v>
      </c>
      <c r="C75" s="18" t="s">
        <v>190</v>
      </c>
      <c r="D75" s="18" t="s">
        <v>190</v>
      </c>
      <c r="E75" s="18" t="s">
        <v>190</v>
      </c>
      <c r="F75" s="18" t="s">
        <v>190</v>
      </c>
      <c r="G75" s="18" t="s">
        <v>190</v>
      </c>
      <c r="H75" s="18" t="s">
        <v>190</v>
      </c>
      <c r="I75" s="21" t="s">
        <v>190</v>
      </c>
      <c r="J75" s="21" t="s">
        <v>190</v>
      </c>
      <c r="K75" s="21">
        <v>107700</v>
      </c>
      <c r="L75" s="21">
        <v>104000</v>
      </c>
      <c r="M75" s="21">
        <v>108300</v>
      </c>
      <c r="N75" s="21">
        <v>109700</v>
      </c>
      <c r="O75" s="21">
        <v>113600</v>
      </c>
      <c r="P75" s="21">
        <v>111200</v>
      </c>
      <c r="Q75" s="21">
        <v>113700</v>
      </c>
      <c r="R75" s="21">
        <v>111700</v>
      </c>
      <c r="S75" s="18">
        <v>113700</v>
      </c>
      <c r="T75" s="18">
        <v>112100</v>
      </c>
      <c r="U75" s="18">
        <v>118500</v>
      </c>
      <c r="V75" s="117" t="s">
        <v>344</v>
      </c>
      <c r="W75" s="117" t="s">
        <v>344</v>
      </c>
    </row>
    <row r="76" spans="1:23" x14ac:dyDescent="0.2">
      <c r="A76" s="16" t="s">
        <v>182</v>
      </c>
      <c r="B76" s="16" t="s">
        <v>65</v>
      </c>
      <c r="C76" s="18" t="s">
        <v>190</v>
      </c>
      <c r="D76" s="18" t="s">
        <v>190</v>
      </c>
      <c r="E76" s="18" t="s">
        <v>190</v>
      </c>
      <c r="F76" s="18" t="s">
        <v>190</v>
      </c>
      <c r="G76" s="18" t="s">
        <v>190</v>
      </c>
      <c r="H76" s="18" t="s">
        <v>190</v>
      </c>
      <c r="I76" s="21" t="s">
        <v>190</v>
      </c>
      <c r="J76" s="21" t="s">
        <v>190</v>
      </c>
      <c r="K76" s="21">
        <v>133300</v>
      </c>
      <c r="L76" s="21">
        <v>133500</v>
      </c>
      <c r="M76" s="21">
        <v>140000</v>
      </c>
      <c r="N76" s="21">
        <v>139400</v>
      </c>
      <c r="O76" s="21">
        <v>145500</v>
      </c>
      <c r="P76" s="21">
        <v>141100</v>
      </c>
      <c r="Q76" s="21">
        <v>142000</v>
      </c>
      <c r="R76" s="21">
        <v>139600</v>
      </c>
      <c r="S76" s="18">
        <v>125200</v>
      </c>
      <c r="T76" s="18">
        <v>127300</v>
      </c>
      <c r="U76" s="18">
        <v>135400</v>
      </c>
      <c r="V76" s="117" t="s">
        <v>344</v>
      </c>
      <c r="W76" s="117" t="s">
        <v>344</v>
      </c>
    </row>
    <row r="77" spans="1:23" x14ac:dyDescent="0.2">
      <c r="A77" s="16" t="s">
        <v>182</v>
      </c>
      <c r="B77" s="16" t="s">
        <v>66</v>
      </c>
      <c r="C77" s="18" t="s">
        <v>190</v>
      </c>
      <c r="D77" s="18" t="s">
        <v>190</v>
      </c>
      <c r="E77" s="18" t="s">
        <v>190</v>
      </c>
      <c r="F77" s="18" t="s">
        <v>190</v>
      </c>
      <c r="G77" s="18" t="s">
        <v>190</v>
      </c>
      <c r="H77" s="18" t="s">
        <v>190</v>
      </c>
      <c r="I77" s="21" t="s">
        <v>190</v>
      </c>
      <c r="J77" s="21" t="s">
        <v>190</v>
      </c>
      <c r="K77" s="21">
        <v>8000</v>
      </c>
      <c r="L77" s="21">
        <v>8200</v>
      </c>
      <c r="M77" s="21">
        <v>8600</v>
      </c>
      <c r="N77" s="21">
        <v>8000</v>
      </c>
      <c r="O77" s="21">
        <v>7500</v>
      </c>
      <c r="P77" s="21">
        <v>8900</v>
      </c>
      <c r="Q77" s="21">
        <v>9000</v>
      </c>
      <c r="R77" s="21">
        <v>9100</v>
      </c>
      <c r="S77" s="18">
        <v>7900</v>
      </c>
      <c r="T77" s="18">
        <v>8600</v>
      </c>
      <c r="U77" s="18">
        <v>9100</v>
      </c>
      <c r="V77" s="117" t="s">
        <v>344</v>
      </c>
      <c r="W77" s="117" t="s">
        <v>344</v>
      </c>
    </row>
    <row r="78" spans="1:23" x14ac:dyDescent="0.2">
      <c r="A78" s="16" t="s">
        <v>182</v>
      </c>
      <c r="B78" s="16" t="s">
        <v>67</v>
      </c>
      <c r="C78" s="18" t="s">
        <v>190</v>
      </c>
      <c r="D78" s="18" t="s">
        <v>190</v>
      </c>
      <c r="E78" s="18" t="s">
        <v>190</v>
      </c>
      <c r="F78" s="18" t="s">
        <v>190</v>
      </c>
      <c r="G78" s="18" t="s">
        <v>190</v>
      </c>
      <c r="H78" s="18" t="s">
        <v>190</v>
      </c>
      <c r="I78" s="21" t="s">
        <v>190</v>
      </c>
      <c r="J78" s="21" t="s">
        <v>190</v>
      </c>
      <c r="K78" s="21">
        <v>335300</v>
      </c>
      <c r="L78" s="21">
        <v>333200</v>
      </c>
      <c r="M78" s="21">
        <v>345400</v>
      </c>
      <c r="N78" s="21">
        <v>345300</v>
      </c>
      <c r="O78" s="21">
        <v>349500</v>
      </c>
      <c r="P78" s="21">
        <v>372800</v>
      </c>
      <c r="Q78" s="21">
        <v>381700</v>
      </c>
      <c r="R78" s="21">
        <v>375400</v>
      </c>
      <c r="S78" s="18">
        <v>369100</v>
      </c>
      <c r="T78" s="18">
        <v>387700</v>
      </c>
      <c r="U78" s="18">
        <v>391900</v>
      </c>
      <c r="V78" s="117" t="s">
        <v>344</v>
      </c>
      <c r="W78" s="117" t="s">
        <v>344</v>
      </c>
    </row>
    <row r="79" spans="1:23" x14ac:dyDescent="0.2">
      <c r="A79" s="16" t="s">
        <v>182</v>
      </c>
      <c r="B79" s="16" t="s">
        <v>68</v>
      </c>
      <c r="C79" s="18" t="s">
        <v>190</v>
      </c>
      <c r="D79" s="18" t="s">
        <v>190</v>
      </c>
      <c r="E79" s="18" t="s">
        <v>190</v>
      </c>
      <c r="F79" s="18" t="s">
        <v>190</v>
      </c>
      <c r="G79" s="18" t="s">
        <v>190</v>
      </c>
      <c r="H79" s="18" t="s">
        <v>190</v>
      </c>
      <c r="I79" s="21" t="s">
        <v>190</v>
      </c>
      <c r="J79" s="21" t="s">
        <v>190</v>
      </c>
      <c r="K79" s="21">
        <v>49400</v>
      </c>
      <c r="L79" s="21">
        <v>50800</v>
      </c>
      <c r="M79" s="21">
        <v>50300</v>
      </c>
      <c r="N79" s="21">
        <v>49600</v>
      </c>
      <c r="O79" s="21">
        <v>50500</v>
      </c>
      <c r="P79" s="21">
        <v>51000</v>
      </c>
      <c r="Q79" s="21">
        <v>46700</v>
      </c>
      <c r="R79" s="21">
        <v>49500</v>
      </c>
      <c r="S79" s="18">
        <v>50100</v>
      </c>
      <c r="T79" s="18">
        <v>47700</v>
      </c>
      <c r="U79" s="18">
        <v>51300</v>
      </c>
      <c r="V79" s="117" t="s">
        <v>344</v>
      </c>
      <c r="W79" s="117" t="s">
        <v>344</v>
      </c>
    </row>
    <row r="80" spans="1:23" x14ac:dyDescent="0.2">
      <c r="A80" s="16" t="s">
        <v>182</v>
      </c>
      <c r="B80" s="16" t="s">
        <v>69</v>
      </c>
      <c r="C80" s="18" t="s">
        <v>190</v>
      </c>
      <c r="D80" s="18" t="s">
        <v>190</v>
      </c>
      <c r="E80" s="18" t="s">
        <v>190</v>
      </c>
      <c r="F80" s="18" t="s">
        <v>190</v>
      </c>
      <c r="G80" s="18" t="s">
        <v>190</v>
      </c>
      <c r="H80" s="18" t="s">
        <v>190</v>
      </c>
      <c r="I80" s="21" t="s">
        <v>190</v>
      </c>
      <c r="J80" s="21" t="s">
        <v>190</v>
      </c>
      <c r="K80" s="21">
        <v>130500</v>
      </c>
      <c r="L80" s="21">
        <v>133300</v>
      </c>
      <c r="M80" s="21">
        <v>133100</v>
      </c>
      <c r="N80" s="21">
        <v>137400</v>
      </c>
      <c r="O80" s="21">
        <v>137800</v>
      </c>
      <c r="P80" s="21">
        <v>139600</v>
      </c>
      <c r="Q80" s="21">
        <v>137600</v>
      </c>
      <c r="R80" s="21">
        <v>136100</v>
      </c>
      <c r="S80" s="18">
        <v>137900</v>
      </c>
      <c r="T80" s="18">
        <v>138500</v>
      </c>
      <c r="U80" s="18">
        <v>139100</v>
      </c>
      <c r="V80" s="117" t="s">
        <v>344</v>
      </c>
      <c r="W80" s="117" t="s">
        <v>344</v>
      </c>
    </row>
    <row r="81" spans="1:23" x14ac:dyDescent="0.2">
      <c r="A81" s="16" t="s">
        <v>182</v>
      </c>
      <c r="B81" s="16" t="s">
        <v>70</v>
      </c>
      <c r="C81" s="18" t="s">
        <v>190</v>
      </c>
      <c r="D81" s="18" t="s">
        <v>190</v>
      </c>
      <c r="E81" s="18" t="s">
        <v>190</v>
      </c>
      <c r="F81" s="18" t="s">
        <v>190</v>
      </c>
      <c r="G81" s="18" t="s">
        <v>190</v>
      </c>
      <c r="H81" s="18" t="s">
        <v>190</v>
      </c>
      <c r="I81" s="21" t="s">
        <v>190</v>
      </c>
      <c r="J81" s="21" t="s">
        <v>190</v>
      </c>
      <c r="K81" s="21">
        <v>10000</v>
      </c>
      <c r="L81" s="21">
        <v>8700</v>
      </c>
      <c r="M81" s="21">
        <v>7000</v>
      </c>
      <c r="N81" s="21">
        <v>9100</v>
      </c>
      <c r="O81" s="21">
        <v>9600</v>
      </c>
      <c r="P81" s="21">
        <v>9800</v>
      </c>
      <c r="Q81" s="21">
        <v>8400</v>
      </c>
      <c r="R81" s="21">
        <v>9200</v>
      </c>
      <c r="S81" s="18">
        <v>6600</v>
      </c>
      <c r="T81" s="18">
        <v>4800</v>
      </c>
      <c r="U81" s="18">
        <v>11200</v>
      </c>
      <c r="V81" s="117" t="s">
        <v>344</v>
      </c>
      <c r="W81" s="117" t="s">
        <v>344</v>
      </c>
    </row>
    <row r="82" spans="1:23" x14ac:dyDescent="0.2">
      <c r="A82" s="16" t="s">
        <v>182</v>
      </c>
      <c r="B82" s="16" t="s">
        <v>71</v>
      </c>
      <c r="C82" s="18" t="s">
        <v>190</v>
      </c>
      <c r="D82" s="18" t="s">
        <v>190</v>
      </c>
      <c r="E82" s="18" t="s">
        <v>190</v>
      </c>
      <c r="F82" s="18" t="s">
        <v>190</v>
      </c>
      <c r="G82" s="18" t="s">
        <v>190</v>
      </c>
      <c r="H82" s="18" t="s">
        <v>190</v>
      </c>
      <c r="I82" s="21" t="s">
        <v>190</v>
      </c>
      <c r="J82" s="21" t="s">
        <v>190</v>
      </c>
      <c r="K82" s="21">
        <v>8700</v>
      </c>
      <c r="L82" s="21">
        <v>9600</v>
      </c>
      <c r="M82" s="21">
        <v>11100</v>
      </c>
      <c r="N82" s="21">
        <v>9000</v>
      </c>
      <c r="O82" s="21">
        <v>6500</v>
      </c>
      <c r="P82" s="21">
        <v>8200</v>
      </c>
      <c r="Q82" s="21">
        <v>7700</v>
      </c>
      <c r="R82" s="21">
        <v>7300</v>
      </c>
      <c r="S82" s="18">
        <v>6100</v>
      </c>
      <c r="T82" s="18">
        <v>6700</v>
      </c>
      <c r="U82" s="18">
        <v>9900</v>
      </c>
      <c r="V82" s="117" t="s">
        <v>344</v>
      </c>
      <c r="W82" s="117" t="s">
        <v>344</v>
      </c>
    </row>
    <row r="83" spans="1:23" x14ac:dyDescent="0.2">
      <c r="A83" s="16" t="s">
        <v>182</v>
      </c>
      <c r="B83" s="16" t="s">
        <v>72</v>
      </c>
      <c r="C83" s="18" t="s">
        <v>190</v>
      </c>
      <c r="D83" s="18" t="s">
        <v>190</v>
      </c>
      <c r="E83" s="18" t="s">
        <v>190</v>
      </c>
      <c r="F83" s="18" t="s">
        <v>190</v>
      </c>
      <c r="G83" s="18" t="s">
        <v>190</v>
      </c>
      <c r="H83" s="18" t="s">
        <v>190</v>
      </c>
      <c r="I83" s="21" t="s">
        <v>190</v>
      </c>
      <c r="J83" s="21" t="s">
        <v>190</v>
      </c>
      <c r="K83" s="21">
        <v>26400</v>
      </c>
      <c r="L83" s="21">
        <v>24000</v>
      </c>
      <c r="M83" s="21">
        <v>27300</v>
      </c>
      <c r="N83" s="21">
        <v>25700</v>
      </c>
      <c r="O83" s="21">
        <v>27600</v>
      </c>
      <c r="P83" s="21">
        <v>28100</v>
      </c>
      <c r="Q83" s="21">
        <v>28200</v>
      </c>
      <c r="R83" s="21">
        <v>32300</v>
      </c>
      <c r="S83" s="18">
        <v>30200</v>
      </c>
      <c r="T83" s="18">
        <v>25100</v>
      </c>
      <c r="U83" s="18">
        <v>29900</v>
      </c>
      <c r="V83" s="117" t="s">
        <v>344</v>
      </c>
      <c r="W83" s="117" t="s">
        <v>344</v>
      </c>
    </row>
    <row r="84" spans="1:23" x14ac:dyDescent="0.2">
      <c r="A84" s="16" t="s">
        <v>182</v>
      </c>
      <c r="B84" s="16" t="s">
        <v>73</v>
      </c>
      <c r="C84" s="18" t="s">
        <v>190</v>
      </c>
      <c r="D84" s="18" t="s">
        <v>190</v>
      </c>
      <c r="E84" s="18" t="s">
        <v>190</v>
      </c>
      <c r="F84" s="18" t="s">
        <v>190</v>
      </c>
      <c r="G84" s="18" t="s">
        <v>190</v>
      </c>
      <c r="H84" s="18" t="s">
        <v>190</v>
      </c>
      <c r="I84" s="21" t="s">
        <v>190</v>
      </c>
      <c r="J84" s="21" t="s">
        <v>190</v>
      </c>
      <c r="K84" s="21">
        <v>4400</v>
      </c>
      <c r="L84" s="21">
        <v>4200</v>
      </c>
      <c r="M84" s="21">
        <v>4500</v>
      </c>
      <c r="N84" s="21">
        <v>5700</v>
      </c>
      <c r="O84" s="21">
        <v>4600</v>
      </c>
      <c r="P84" s="21">
        <v>4600</v>
      </c>
      <c r="Q84" s="21">
        <v>4100</v>
      </c>
      <c r="R84" s="21">
        <v>5900</v>
      </c>
      <c r="S84" s="18">
        <v>4500</v>
      </c>
      <c r="T84" s="18">
        <v>2800</v>
      </c>
      <c r="U84" s="18">
        <v>4400</v>
      </c>
      <c r="V84" s="117" t="s">
        <v>344</v>
      </c>
      <c r="W84" s="117" t="s">
        <v>344</v>
      </c>
    </row>
    <row r="85" spans="1:23" x14ac:dyDescent="0.2">
      <c r="A85" s="16" t="s">
        <v>182</v>
      </c>
      <c r="B85" s="16" t="s">
        <v>53</v>
      </c>
      <c r="C85" s="18" t="s">
        <v>190</v>
      </c>
      <c r="D85" s="18" t="s">
        <v>190</v>
      </c>
      <c r="E85" s="18" t="s">
        <v>190</v>
      </c>
      <c r="F85" s="18" t="s">
        <v>190</v>
      </c>
      <c r="G85" s="18" t="s">
        <v>190</v>
      </c>
      <c r="H85" s="18" t="s">
        <v>190</v>
      </c>
      <c r="I85" s="21" t="s">
        <v>190</v>
      </c>
      <c r="J85" s="21" t="s">
        <v>190</v>
      </c>
      <c r="K85" s="21">
        <v>552300</v>
      </c>
      <c r="L85" s="21">
        <v>566300</v>
      </c>
      <c r="M85" s="21">
        <v>572100</v>
      </c>
      <c r="N85" s="21">
        <v>592700</v>
      </c>
      <c r="O85" s="21">
        <v>605600</v>
      </c>
      <c r="P85" s="21">
        <v>603400</v>
      </c>
      <c r="Q85" s="21">
        <v>593900</v>
      </c>
      <c r="R85" s="21">
        <v>621500</v>
      </c>
      <c r="S85" s="18">
        <v>631800</v>
      </c>
      <c r="T85" s="18">
        <v>632600</v>
      </c>
      <c r="U85" s="18">
        <v>635400</v>
      </c>
      <c r="V85" s="117" t="s">
        <v>344</v>
      </c>
      <c r="W85" s="117" t="s">
        <v>344</v>
      </c>
    </row>
    <row r="86" spans="1:23" x14ac:dyDescent="0.2">
      <c r="A86" s="16" t="s">
        <v>182</v>
      </c>
      <c r="B86" s="16" t="s">
        <v>74</v>
      </c>
      <c r="C86" s="18" t="s">
        <v>190</v>
      </c>
      <c r="D86" s="18" t="s">
        <v>190</v>
      </c>
      <c r="E86" s="18" t="s">
        <v>190</v>
      </c>
      <c r="F86" s="18" t="s">
        <v>190</v>
      </c>
      <c r="G86" s="18" t="s">
        <v>190</v>
      </c>
      <c r="H86" s="18" t="s">
        <v>190</v>
      </c>
      <c r="I86" s="21" t="s">
        <v>190</v>
      </c>
      <c r="J86" s="21" t="s">
        <v>190</v>
      </c>
      <c r="K86" s="21">
        <v>4600</v>
      </c>
      <c r="L86" s="21">
        <v>4300</v>
      </c>
      <c r="M86" s="21">
        <v>4100</v>
      </c>
      <c r="N86" s="21">
        <v>4500</v>
      </c>
      <c r="O86" s="21">
        <v>5100</v>
      </c>
      <c r="P86" s="21">
        <v>5900</v>
      </c>
      <c r="Q86" s="21">
        <v>2500</v>
      </c>
      <c r="R86" s="21">
        <v>2100</v>
      </c>
      <c r="S86" s="18">
        <v>5100</v>
      </c>
      <c r="T86" s="18">
        <v>2800</v>
      </c>
      <c r="U86" s="18">
        <v>3600</v>
      </c>
      <c r="V86" s="117" t="s">
        <v>344</v>
      </c>
      <c r="W86" s="117" t="s">
        <v>344</v>
      </c>
    </row>
    <row r="87" spans="1:23" x14ac:dyDescent="0.2">
      <c r="A87" s="16" t="s">
        <v>182</v>
      </c>
      <c r="B87" s="16" t="s">
        <v>75</v>
      </c>
      <c r="C87" s="18" t="s">
        <v>190</v>
      </c>
      <c r="D87" s="18" t="s">
        <v>190</v>
      </c>
      <c r="E87" s="18" t="s">
        <v>190</v>
      </c>
      <c r="F87" s="18" t="s">
        <v>190</v>
      </c>
      <c r="G87" s="18" t="s">
        <v>190</v>
      </c>
      <c r="H87" s="18" t="s">
        <v>190</v>
      </c>
      <c r="I87" s="21" t="s">
        <v>190</v>
      </c>
      <c r="J87" s="21" t="s">
        <v>190</v>
      </c>
      <c r="K87" s="21">
        <v>35100</v>
      </c>
      <c r="L87" s="21">
        <v>37100</v>
      </c>
      <c r="M87" s="21">
        <v>37500</v>
      </c>
      <c r="N87" s="21">
        <v>35500</v>
      </c>
      <c r="O87" s="21">
        <v>35800</v>
      </c>
      <c r="P87" s="21">
        <v>37000</v>
      </c>
      <c r="Q87" s="21">
        <v>37200</v>
      </c>
      <c r="R87" s="21">
        <v>34500</v>
      </c>
      <c r="S87" s="18">
        <v>35000</v>
      </c>
      <c r="T87" s="18">
        <v>37400</v>
      </c>
      <c r="U87" s="18">
        <v>38100</v>
      </c>
      <c r="V87" s="117" t="s">
        <v>344</v>
      </c>
      <c r="W87" s="117" t="s">
        <v>344</v>
      </c>
    </row>
    <row r="88" spans="1:23" x14ac:dyDescent="0.2">
      <c r="A88" s="16" t="s">
        <v>182</v>
      </c>
      <c r="B88" s="16" t="s">
        <v>76</v>
      </c>
      <c r="C88" s="18" t="s">
        <v>190</v>
      </c>
      <c r="D88" s="18" t="s">
        <v>190</v>
      </c>
      <c r="E88" s="18" t="s">
        <v>190</v>
      </c>
      <c r="F88" s="18" t="s">
        <v>190</v>
      </c>
      <c r="G88" s="18" t="s">
        <v>190</v>
      </c>
      <c r="H88" s="18" t="s">
        <v>190</v>
      </c>
      <c r="I88" s="21" t="s">
        <v>190</v>
      </c>
      <c r="J88" s="21" t="s">
        <v>190</v>
      </c>
      <c r="K88" s="21">
        <v>16300</v>
      </c>
      <c r="L88" s="21">
        <v>17500</v>
      </c>
      <c r="M88" s="21">
        <v>17000</v>
      </c>
      <c r="N88" s="21">
        <v>17100</v>
      </c>
      <c r="O88" s="21">
        <v>14000</v>
      </c>
      <c r="P88" s="21">
        <v>15400</v>
      </c>
      <c r="Q88" s="21">
        <v>13200</v>
      </c>
      <c r="R88" s="21">
        <v>13000</v>
      </c>
      <c r="S88" s="18">
        <v>16800</v>
      </c>
      <c r="T88" s="18">
        <v>11400</v>
      </c>
      <c r="U88" s="18">
        <v>12300</v>
      </c>
      <c r="V88" s="117" t="s">
        <v>344</v>
      </c>
      <c r="W88" s="117" t="s">
        <v>344</v>
      </c>
    </row>
    <row r="89" spans="1:23" x14ac:dyDescent="0.2">
      <c r="A89" s="16" t="s">
        <v>182</v>
      </c>
      <c r="B89" s="16" t="s">
        <v>77</v>
      </c>
      <c r="C89" s="18" t="s">
        <v>190</v>
      </c>
      <c r="D89" s="18" t="s">
        <v>190</v>
      </c>
      <c r="E89" s="18" t="s">
        <v>190</v>
      </c>
      <c r="F89" s="18" t="s">
        <v>190</v>
      </c>
      <c r="G89" s="18" t="s">
        <v>190</v>
      </c>
      <c r="H89" s="18" t="s">
        <v>190</v>
      </c>
      <c r="I89" s="21" t="s">
        <v>190</v>
      </c>
      <c r="J89" s="21" t="s">
        <v>190</v>
      </c>
      <c r="K89" s="21">
        <v>59100</v>
      </c>
      <c r="L89" s="21">
        <v>63300</v>
      </c>
      <c r="M89" s="21">
        <v>70400</v>
      </c>
      <c r="N89" s="21">
        <v>72200</v>
      </c>
      <c r="O89" s="21">
        <v>62900</v>
      </c>
      <c r="P89" s="21">
        <v>61000</v>
      </c>
      <c r="Q89" s="21">
        <v>67200</v>
      </c>
      <c r="R89" s="21">
        <v>71900</v>
      </c>
      <c r="S89" s="18">
        <v>62100</v>
      </c>
      <c r="T89" s="18">
        <v>65600</v>
      </c>
      <c r="U89" s="18">
        <v>62700</v>
      </c>
      <c r="V89" s="117" t="s">
        <v>344</v>
      </c>
      <c r="W89" s="117" t="s">
        <v>344</v>
      </c>
    </row>
    <row r="90" spans="1:23" x14ac:dyDescent="0.2">
      <c r="A90" s="16" t="s">
        <v>182</v>
      </c>
      <c r="B90" s="16" t="s">
        <v>78</v>
      </c>
      <c r="C90" s="18" t="s">
        <v>190</v>
      </c>
      <c r="D90" s="18" t="s">
        <v>190</v>
      </c>
      <c r="E90" s="18" t="s">
        <v>190</v>
      </c>
      <c r="F90" s="18" t="s">
        <v>190</v>
      </c>
      <c r="G90" s="18" t="s">
        <v>190</v>
      </c>
      <c r="H90" s="18" t="s">
        <v>190</v>
      </c>
      <c r="I90" s="21" t="s">
        <v>190</v>
      </c>
      <c r="J90" s="21" t="s">
        <v>190</v>
      </c>
      <c r="K90" s="21">
        <v>84500</v>
      </c>
      <c r="L90" s="21">
        <v>83500</v>
      </c>
      <c r="M90" s="21">
        <v>93000</v>
      </c>
      <c r="N90" s="21">
        <v>85100</v>
      </c>
      <c r="O90" s="21">
        <v>84900</v>
      </c>
      <c r="P90" s="21">
        <v>88800</v>
      </c>
      <c r="Q90" s="21">
        <v>91300</v>
      </c>
      <c r="R90" s="21">
        <v>94600</v>
      </c>
      <c r="S90" s="18">
        <v>88100</v>
      </c>
      <c r="T90" s="18">
        <v>87600</v>
      </c>
      <c r="U90" s="18">
        <v>93800</v>
      </c>
      <c r="V90" s="117" t="s">
        <v>344</v>
      </c>
      <c r="W90" s="117" t="s">
        <v>344</v>
      </c>
    </row>
    <row r="91" spans="1:23" x14ac:dyDescent="0.2">
      <c r="A91" s="16" t="s">
        <v>182</v>
      </c>
      <c r="B91" s="16" t="s">
        <v>79</v>
      </c>
      <c r="C91" s="18" t="s">
        <v>190</v>
      </c>
      <c r="D91" s="18" t="s">
        <v>190</v>
      </c>
      <c r="E91" s="18" t="s">
        <v>190</v>
      </c>
      <c r="F91" s="18" t="s">
        <v>190</v>
      </c>
      <c r="G91" s="18" t="s">
        <v>190</v>
      </c>
      <c r="H91" s="18" t="s">
        <v>190</v>
      </c>
      <c r="I91" s="21" t="s">
        <v>190</v>
      </c>
      <c r="J91" s="21" t="s">
        <v>190</v>
      </c>
      <c r="K91" s="21">
        <v>93900</v>
      </c>
      <c r="L91" s="21">
        <v>95100</v>
      </c>
      <c r="M91" s="21">
        <v>100500</v>
      </c>
      <c r="N91" s="21">
        <v>94100</v>
      </c>
      <c r="O91" s="21">
        <v>97400</v>
      </c>
      <c r="P91" s="21">
        <v>100300</v>
      </c>
      <c r="Q91" s="21">
        <v>101700</v>
      </c>
      <c r="R91" s="21">
        <v>107100</v>
      </c>
      <c r="S91" s="18">
        <v>101200</v>
      </c>
      <c r="T91" s="18">
        <v>99400</v>
      </c>
      <c r="U91" s="18">
        <v>98700</v>
      </c>
      <c r="V91" s="117" t="s">
        <v>344</v>
      </c>
      <c r="W91" s="117" t="s">
        <v>344</v>
      </c>
    </row>
    <row r="92" spans="1:23" x14ac:dyDescent="0.2">
      <c r="A92" s="16" t="s">
        <v>182</v>
      </c>
      <c r="B92" s="16" t="s">
        <v>80</v>
      </c>
      <c r="C92" s="18" t="s">
        <v>190</v>
      </c>
      <c r="D92" s="18" t="s">
        <v>190</v>
      </c>
      <c r="E92" s="18" t="s">
        <v>190</v>
      </c>
      <c r="F92" s="18" t="s">
        <v>190</v>
      </c>
      <c r="G92" s="18" t="s">
        <v>190</v>
      </c>
      <c r="H92" s="18" t="s">
        <v>190</v>
      </c>
      <c r="I92" s="21" t="s">
        <v>190</v>
      </c>
      <c r="J92" s="21" t="s">
        <v>190</v>
      </c>
      <c r="K92" s="21">
        <v>4600</v>
      </c>
      <c r="L92" s="21">
        <v>5000</v>
      </c>
      <c r="M92" s="21">
        <v>6900</v>
      </c>
      <c r="N92" s="21">
        <v>5500</v>
      </c>
      <c r="O92" s="21">
        <v>6000</v>
      </c>
      <c r="P92" s="21">
        <v>5600</v>
      </c>
      <c r="Q92" s="21">
        <v>5000</v>
      </c>
      <c r="R92" s="21">
        <v>5300</v>
      </c>
      <c r="S92" s="18">
        <v>5700</v>
      </c>
      <c r="T92" s="18">
        <v>5300</v>
      </c>
      <c r="U92" s="18">
        <v>5600</v>
      </c>
      <c r="V92" s="117" t="s">
        <v>344</v>
      </c>
      <c r="W92" s="117" t="s">
        <v>344</v>
      </c>
    </row>
    <row r="93" spans="1:23" x14ac:dyDescent="0.2">
      <c r="A93" s="16" t="s">
        <v>182</v>
      </c>
      <c r="B93" s="16" t="s">
        <v>81</v>
      </c>
      <c r="C93" s="18" t="s">
        <v>190</v>
      </c>
      <c r="D93" s="18" t="s">
        <v>190</v>
      </c>
      <c r="E93" s="18" t="s">
        <v>190</v>
      </c>
      <c r="F93" s="18" t="s">
        <v>190</v>
      </c>
      <c r="G93" s="18" t="s">
        <v>190</v>
      </c>
      <c r="H93" s="18" t="s">
        <v>190</v>
      </c>
      <c r="I93" s="21" t="s">
        <v>190</v>
      </c>
      <c r="J93" s="21" t="s">
        <v>190</v>
      </c>
      <c r="K93" s="21">
        <v>199800</v>
      </c>
      <c r="L93" s="21">
        <v>193100</v>
      </c>
      <c r="M93" s="21">
        <v>204100</v>
      </c>
      <c r="N93" s="21">
        <v>209600</v>
      </c>
      <c r="O93" s="21">
        <v>216100</v>
      </c>
      <c r="P93" s="21">
        <v>214400</v>
      </c>
      <c r="Q93" s="21">
        <v>217500</v>
      </c>
      <c r="R93" s="21">
        <v>205600</v>
      </c>
      <c r="S93" s="18">
        <v>201600</v>
      </c>
      <c r="T93" s="18">
        <v>194700</v>
      </c>
      <c r="U93" s="18">
        <v>202400</v>
      </c>
      <c r="V93" s="117" t="s">
        <v>344</v>
      </c>
      <c r="W93" s="117" t="s">
        <v>344</v>
      </c>
    </row>
    <row r="94" spans="1:23" x14ac:dyDescent="0.2">
      <c r="A94" s="16" t="s">
        <v>182</v>
      </c>
      <c r="B94" s="16" t="s">
        <v>82</v>
      </c>
      <c r="C94" s="18" t="s">
        <v>190</v>
      </c>
      <c r="D94" s="18" t="s">
        <v>190</v>
      </c>
      <c r="E94" s="18" t="s">
        <v>190</v>
      </c>
      <c r="F94" s="18" t="s">
        <v>190</v>
      </c>
      <c r="G94" s="18" t="s">
        <v>190</v>
      </c>
      <c r="H94" s="18" t="s">
        <v>190</v>
      </c>
      <c r="I94" s="21" t="s">
        <v>190</v>
      </c>
      <c r="J94" s="21" t="s">
        <v>190</v>
      </c>
      <c r="K94" s="21">
        <v>3100</v>
      </c>
      <c r="L94" s="21">
        <v>2700</v>
      </c>
      <c r="M94" s="21">
        <v>2300</v>
      </c>
      <c r="N94" s="21">
        <v>2100</v>
      </c>
      <c r="O94" s="21">
        <v>3100</v>
      </c>
      <c r="P94" s="21">
        <v>2800</v>
      </c>
      <c r="Q94" s="21">
        <v>2900</v>
      </c>
      <c r="R94" s="21">
        <v>2800</v>
      </c>
      <c r="S94" s="18">
        <v>2400</v>
      </c>
      <c r="T94" s="18">
        <v>2300</v>
      </c>
      <c r="U94" s="18">
        <v>1900</v>
      </c>
      <c r="V94" s="117" t="s">
        <v>344</v>
      </c>
      <c r="W94" s="117" t="s">
        <v>344</v>
      </c>
    </row>
    <row r="95" spans="1:23" x14ac:dyDescent="0.2">
      <c r="A95" s="16" t="s">
        <v>182</v>
      </c>
      <c r="B95" s="16" t="s">
        <v>83</v>
      </c>
      <c r="C95" s="18" t="s">
        <v>190</v>
      </c>
      <c r="D95" s="18" t="s">
        <v>190</v>
      </c>
      <c r="E95" s="18" t="s">
        <v>190</v>
      </c>
      <c r="F95" s="18" t="s">
        <v>190</v>
      </c>
      <c r="G95" s="18" t="s">
        <v>190</v>
      </c>
      <c r="H95" s="18" t="s">
        <v>190</v>
      </c>
      <c r="I95" s="21" t="s">
        <v>190</v>
      </c>
      <c r="J95" s="21" t="s">
        <v>190</v>
      </c>
      <c r="K95" s="21">
        <v>6500</v>
      </c>
      <c r="L95" s="21">
        <v>4900</v>
      </c>
      <c r="M95" s="21">
        <v>5200</v>
      </c>
      <c r="N95" s="21">
        <v>5600</v>
      </c>
      <c r="O95" s="21">
        <v>5100</v>
      </c>
      <c r="P95" s="21">
        <v>5400</v>
      </c>
      <c r="Q95" s="21">
        <v>5200</v>
      </c>
      <c r="R95" s="21">
        <v>5300</v>
      </c>
      <c r="S95" s="18">
        <v>5000</v>
      </c>
      <c r="T95" s="18">
        <v>4400</v>
      </c>
      <c r="U95" s="18">
        <v>5600</v>
      </c>
      <c r="V95" s="117" t="s">
        <v>344</v>
      </c>
      <c r="W95" s="117" t="s">
        <v>344</v>
      </c>
    </row>
    <row r="96" spans="1:23" x14ac:dyDescent="0.2">
      <c r="A96" s="16" t="s">
        <v>182</v>
      </c>
      <c r="B96" s="16" t="s">
        <v>84</v>
      </c>
      <c r="C96" s="18" t="s">
        <v>190</v>
      </c>
      <c r="D96" s="18" t="s">
        <v>190</v>
      </c>
      <c r="E96" s="18" t="s">
        <v>190</v>
      </c>
      <c r="F96" s="18" t="s">
        <v>190</v>
      </c>
      <c r="G96" s="18" t="s">
        <v>190</v>
      </c>
      <c r="H96" s="18" t="s">
        <v>190</v>
      </c>
      <c r="I96" s="21" t="s">
        <v>190</v>
      </c>
      <c r="J96" s="21" t="s">
        <v>190</v>
      </c>
      <c r="K96" s="21">
        <v>6400</v>
      </c>
      <c r="L96" s="21">
        <v>7500</v>
      </c>
      <c r="M96" s="21">
        <v>7100</v>
      </c>
      <c r="N96" s="21">
        <v>6900</v>
      </c>
      <c r="O96" s="21">
        <v>7900</v>
      </c>
      <c r="P96" s="21">
        <v>7600</v>
      </c>
      <c r="Q96" s="21">
        <v>6000</v>
      </c>
      <c r="R96" s="21">
        <v>6900</v>
      </c>
      <c r="S96" s="18">
        <v>6500</v>
      </c>
      <c r="T96" s="18">
        <v>4900</v>
      </c>
      <c r="U96" s="18">
        <v>5900</v>
      </c>
      <c r="V96" s="117" t="s">
        <v>344</v>
      </c>
      <c r="W96" s="117" t="s">
        <v>344</v>
      </c>
    </row>
    <row r="97" spans="1:23" x14ac:dyDescent="0.2">
      <c r="A97" s="16" t="s">
        <v>182</v>
      </c>
      <c r="B97" s="16" t="s">
        <v>15</v>
      </c>
      <c r="C97" s="18" t="s">
        <v>190</v>
      </c>
      <c r="D97" s="18" t="s">
        <v>190</v>
      </c>
      <c r="E97" s="18" t="s">
        <v>190</v>
      </c>
      <c r="F97" s="18" t="s">
        <v>190</v>
      </c>
      <c r="G97" s="18" t="s">
        <v>190</v>
      </c>
      <c r="H97" s="18" t="s">
        <v>190</v>
      </c>
      <c r="I97" s="21" t="s">
        <v>190</v>
      </c>
      <c r="J97" s="21" t="s">
        <v>190</v>
      </c>
      <c r="K97" s="21">
        <v>11200</v>
      </c>
      <c r="L97" s="21">
        <v>11500</v>
      </c>
      <c r="M97" s="21">
        <v>12600</v>
      </c>
      <c r="N97" s="21">
        <v>11900</v>
      </c>
      <c r="O97" s="21">
        <v>12100</v>
      </c>
      <c r="P97" s="21">
        <v>12300</v>
      </c>
      <c r="Q97" s="21">
        <v>12200</v>
      </c>
      <c r="R97" s="21">
        <v>12100</v>
      </c>
      <c r="S97" s="58">
        <v>11100</v>
      </c>
      <c r="T97" s="58">
        <v>10300</v>
      </c>
      <c r="U97" s="58">
        <v>11500</v>
      </c>
      <c r="V97" s="117" t="s">
        <v>344</v>
      </c>
      <c r="W97" s="117" t="s">
        <v>344</v>
      </c>
    </row>
    <row r="98" spans="1:23" x14ac:dyDescent="0.2">
      <c r="A98" s="16" t="s">
        <v>182</v>
      </c>
      <c r="B98" s="16" t="s">
        <v>85</v>
      </c>
      <c r="C98" s="18" t="s">
        <v>190</v>
      </c>
      <c r="D98" s="18" t="s">
        <v>190</v>
      </c>
      <c r="E98" s="18" t="s">
        <v>190</v>
      </c>
      <c r="F98" s="18" t="s">
        <v>190</v>
      </c>
      <c r="G98" s="18" t="s">
        <v>190</v>
      </c>
      <c r="H98" s="18" t="s">
        <v>190</v>
      </c>
      <c r="I98" s="21" t="s">
        <v>190</v>
      </c>
      <c r="J98" s="21" t="s">
        <v>190</v>
      </c>
      <c r="K98" s="21">
        <v>58500</v>
      </c>
      <c r="L98" s="21">
        <v>56900</v>
      </c>
      <c r="M98" s="21">
        <v>58900</v>
      </c>
      <c r="N98" s="21">
        <v>59500</v>
      </c>
      <c r="O98" s="21">
        <v>59600</v>
      </c>
      <c r="P98" s="21">
        <v>62700</v>
      </c>
      <c r="Q98" s="21">
        <v>58900</v>
      </c>
      <c r="R98" s="21">
        <v>67900</v>
      </c>
      <c r="S98" s="58">
        <v>57700</v>
      </c>
      <c r="T98" s="58">
        <v>63800</v>
      </c>
      <c r="U98" s="58">
        <v>59400</v>
      </c>
      <c r="V98" s="117" t="s">
        <v>344</v>
      </c>
      <c r="W98" s="117" t="s">
        <v>344</v>
      </c>
    </row>
    <row r="99" spans="1:23" x14ac:dyDescent="0.2">
      <c r="A99" s="16" t="s">
        <v>182</v>
      </c>
      <c r="B99" s="16" t="s">
        <v>86</v>
      </c>
      <c r="C99" s="18" t="s">
        <v>190</v>
      </c>
      <c r="D99" s="18" t="s">
        <v>190</v>
      </c>
      <c r="E99" s="18" t="s">
        <v>190</v>
      </c>
      <c r="F99" s="18" t="s">
        <v>190</v>
      </c>
      <c r="G99" s="18" t="s">
        <v>190</v>
      </c>
      <c r="H99" s="18" t="s">
        <v>190</v>
      </c>
      <c r="I99" s="21" t="s">
        <v>190</v>
      </c>
      <c r="J99" s="21" t="s">
        <v>190</v>
      </c>
      <c r="K99" s="21">
        <v>19600</v>
      </c>
      <c r="L99" s="21">
        <v>18200</v>
      </c>
      <c r="M99" s="21">
        <v>17500</v>
      </c>
      <c r="N99" s="21">
        <v>19800</v>
      </c>
      <c r="O99" s="21">
        <v>15600</v>
      </c>
      <c r="P99" s="21">
        <v>18900</v>
      </c>
      <c r="Q99" s="21">
        <v>22700</v>
      </c>
      <c r="R99" s="21">
        <v>24200</v>
      </c>
      <c r="S99" s="58">
        <v>19400</v>
      </c>
      <c r="T99" s="58">
        <v>20300</v>
      </c>
      <c r="U99" s="58">
        <v>18000</v>
      </c>
      <c r="V99" s="117" t="s">
        <v>344</v>
      </c>
      <c r="W99" s="117" t="s">
        <v>344</v>
      </c>
    </row>
    <row r="100" spans="1:23" x14ac:dyDescent="0.2">
      <c r="A100" s="16" t="s">
        <v>182</v>
      </c>
      <c r="B100" s="16" t="s">
        <v>87</v>
      </c>
      <c r="C100" s="18" t="s">
        <v>190</v>
      </c>
      <c r="D100" s="18" t="s">
        <v>190</v>
      </c>
      <c r="E100" s="18" t="s">
        <v>190</v>
      </c>
      <c r="F100" s="18" t="s">
        <v>190</v>
      </c>
      <c r="G100" s="18" t="s">
        <v>190</v>
      </c>
      <c r="H100" s="18" t="s">
        <v>190</v>
      </c>
      <c r="I100" s="21" t="s">
        <v>190</v>
      </c>
      <c r="J100" s="21" t="s">
        <v>190</v>
      </c>
      <c r="K100" s="21">
        <v>5400</v>
      </c>
      <c r="L100" s="21">
        <v>6600</v>
      </c>
      <c r="M100" s="21">
        <v>6500</v>
      </c>
      <c r="N100" s="21">
        <v>6600</v>
      </c>
      <c r="O100" s="21">
        <v>6700</v>
      </c>
      <c r="P100" s="21">
        <v>6800</v>
      </c>
      <c r="Q100" s="21">
        <v>7400</v>
      </c>
      <c r="R100" s="21">
        <v>5200</v>
      </c>
      <c r="S100" s="58">
        <v>6800</v>
      </c>
      <c r="T100" s="58">
        <v>6600</v>
      </c>
      <c r="U100" s="58">
        <v>5400</v>
      </c>
      <c r="V100" s="117" t="s">
        <v>344</v>
      </c>
      <c r="W100" s="117" t="s">
        <v>344</v>
      </c>
    </row>
    <row r="101" spans="1:23" x14ac:dyDescent="0.2">
      <c r="A101" s="16" t="s">
        <v>182</v>
      </c>
      <c r="B101" s="16" t="s">
        <v>88</v>
      </c>
      <c r="C101" s="18" t="s">
        <v>190</v>
      </c>
      <c r="D101" s="18" t="s">
        <v>190</v>
      </c>
      <c r="E101" s="18" t="s">
        <v>190</v>
      </c>
      <c r="F101" s="18" t="s">
        <v>190</v>
      </c>
      <c r="G101" s="18" t="s">
        <v>190</v>
      </c>
      <c r="H101" s="18" t="s">
        <v>190</v>
      </c>
      <c r="I101" s="21" t="s">
        <v>190</v>
      </c>
      <c r="J101" s="21" t="s">
        <v>190</v>
      </c>
      <c r="K101" s="21">
        <v>4400</v>
      </c>
      <c r="L101" s="21">
        <v>3700</v>
      </c>
      <c r="M101" s="21">
        <v>2500</v>
      </c>
      <c r="N101" s="21">
        <v>1900</v>
      </c>
      <c r="O101" s="21">
        <v>2300</v>
      </c>
      <c r="P101" s="21">
        <v>2100</v>
      </c>
      <c r="Q101" s="21">
        <v>4400</v>
      </c>
      <c r="R101" s="21">
        <v>2500</v>
      </c>
      <c r="S101" s="58">
        <v>4200</v>
      </c>
      <c r="T101" s="58">
        <v>700</v>
      </c>
      <c r="U101" s="58">
        <v>800</v>
      </c>
      <c r="V101" s="117" t="s">
        <v>344</v>
      </c>
      <c r="W101" s="117" t="s">
        <v>344</v>
      </c>
    </row>
    <row r="102" spans="1:23" x14ac:dyDescent="0.2">
      <c r="A102" s="16" t="s">
        <v>182</v>
      </c>
      <c r="B102" s="16" t="s">
        <v>18</v>
      </c>
      <c r="C102" s="18" t="s">
        <v>190</v>
      </c>
      <c r="D102" s="18" t="s">
        <v>190</v>
      </c>
      <c r="E102" s="18" t="s">
        <v>190</v>
      </c>
      <c r="F102" s="18" t="s">
        <v>190</v>
      </c>
      <c r="G102" s="18" t="s">
        <v>190</v>
      </c>
      <c r="H102" s="18" t="s">
        <v>190</v>
      </c>
      <c r="I102" s="21" t="s">
        <v>190</v>
      </c>
      <c r="J102" s="21" t="s">
        <v>190</v>
      </c>
      <c r="K102" s="21">
        <v>12400</v>
      </c>
      <c r="L102" s="21">
        <v>12400</v>
      </c>
      <c r="M102" s="21">
        <v>12100</v>
      </c>
      <c r="N102" s="21">
        <v>13100</v>
      </c>
      <c r="O102" s="21">
        <v>12900</v>
      </c>
      <c r="P102" s="21">
        <v>12300</v>
      </c>
      <c r="Q102" s="21">
        <v>13100</v>
      </c>
      <c r="R102" s="21">
        <v>11900</v>
      </c>
      <c r="S102" s="58">
        <v>11700</v>
      </c>
      <c r="T102" s="58">
        <v>11600</v>
      </c>
      <c r="U102" s="58">
        <v>12800</v>
      </c>
      <c r="V102" s="117" t="s">
        <v>344</v>
      </c>
      <c r="W102" s="117" t="s">
        <v>344</v>
      </c>
    </row>
    <row r="103" spans="1:23" x14ac:dyDescent="0.2">
      <c r="A103" s="16" t="s">
        <v>182</v>
      </c>
      <c r="B103" s="16" t="s">
        <v>89</v>
      </c>
      <c r="C103" s="18" t="s">
        <v>190</v>
      </c>
      <c r="D103" s="18" t="s">
        <v>190</v>
      </c>
      <c r="E103" s="18" t="s">
        <v>190</v>
      </c>
      <c r="F103" s="18" t="s">
        <v>190</v>
      </c>
      <c r="G103" s="18" t="s">
        <v>190</v>
      </c>
      <c r="H103" s="18" t="s">
        <v>190</v>
      </c>
      <c r="I103" s="21" t="s">
        <v>190</v>
      </c>
      <c r="J103" s="21" t="s">
        <v>190</v>
      </c>
      <c r="K103" s="21">
        <v>26900</v>
      </c>
      <c r="L103" s="21">
        <v>26200</v>
      </c>
      <c r="M103" s="21">
        <v>26500</v>
      </c>
      <c r="N103" s="21">
        <v>24000</v>
      </c>
      <c r="O103" s="21">
        <v>21500</v>
      </c>
      <c r="P103" s="21">
        <v>23200</v>
      </c>
      <c r="Q103" s="21">
        <v>27200</v>
      </c>
      <c r="R103" s="21">
        <v>25000</v>
      </c>
      <c r="S103" s="18">
        <v>33300</v>
      </c>
      <c r="T103" s="18">
        <v>19800</v>
      </c>
      <c r="U103" s="18">
        <v>26800</v>
      </c>
      <c r="V103" s="117" t="s">
        <v>344</v>
      </c>
      <c r="W103" s="117" t="s">
        <v>344</v>
      </c>
    </row>
    <row r="104" spans="1:23" x14ac:dyDescent="0.2">
      <c r="A104" s="16" t="s">
        <v>182</v>
      </c>
      <c r="B104" s="16" t="s">
        <v>90</v>
      </c>
      <c r="C104" s="18" t="s">
        <v>190</v>
      </c>
      <c r="D104" s="18" t="s">
        <v>190</v>
      </c>
      <c r="E104" s="18" t="s">
        <v>190</v>
      </c>
      <c r="F104" s="18" t="s">
        <v>190</v>
      </c>
      <c r="G104" s="18" t="s">
        <v>190</v>
      </c>
      <c r="H104" s="18" t="s">
        <v>190</v>
      </c>
      <c r="I104" s="21" t="s">
        <v>190</v>
      </c>
      <c r="J104" s="21" t="s">
        <v>190</v>
      </c>
      <c r="K104" s="21">
        <v>8600</v>
      </c>
      <c r="L104" s="21">
        <v>7400</v>
      </c>
      <c r="M104" s="21">
        <v>9800</v>
      </c>
      <c r="N104" s="21">
        <v>10500</v>
      </c>
      <c r="O104" s="21">
        <v>7700</v>
      </c>
      <c r="P104" s="21">
        <v>10200</v>
      </c>
      <c r="Q104" s="21">
        <v>7300</v>
      </c>
      <c r="R104" s="21">
        <v>7100</v>
      </c>
      <c r="S104" s="18">
        <v>7400</v>
      </c>
      <c r="T104" s="18">
        <v>5800</v>
      </c>
      <c r="U104" s="18">
        <v>7100</v>
      </c>
      <c r="V104" s="117" t="s">
        <v>344</v>
      </c>
      <c r="W104" s="117" t="s">
        <v>344</v>
      </c>
    </row>
    <row r="105" spans="1:23" x14ac:dyDescent="0.2">
      <c r="A105" s="16" t="s">
        <v>182</v>
      </c>
      <c r="B105" s="16" t="s">
        <v>91</v>
      </c>
      <c r="C105" s="18" t="s">
        <v>190</v>
      </c>
      <c r="D105" s="18" t="s">
        <v>190</v>
      </c>
      <c r="E105" s="18" t="s">
        <v>190</v>
      </c>
      <c r="F105" s="18" t="s">
        <v>190</v>
      </c>
      <c r="G105" s="18" t="s">
        <v>190</v>
      </c>
      <c r="H105" s="18" t="s">
        <v>190</v>
      </c>
      <c r="I105" s="21" t="s">
        <v>190</v>
      </c>
      <c r="J105" s="21" t="s">
        <v>190</v>
      </c>
      <c r="K105" s="21">
        <v>6700</v>
      </c>
      <c r="L105" s="21">
        <v>7500</v>
      </c>
      <c r="M105" s="21">
        <v>7300</v>
      </c>
      <c r="N105" s="21">
        <v>6600</v>
      </c>
      <c r="O105" s="21">
        <v>6000</v>
      </c>
      <c r="P105" s="21">
        <v>12600</v>
      </c>
      <c r="Q105" s="21">
        <v>9400</v>
      </c>
      <c r="R105" s="21">
        <v>5300</v>
      </c>
      <c r="S105" s="18">
        <v>10600</v>
      </c>
      <c r="T105" s="18">
        <v>9700</v>
      </c>
      <c r="U105" s="18">
        <v>9900</v>
      </c>
      <c r="V105" s="117" t="s">
        <v>344</v>
      </c>
      <c r="W105" s="117" t="s">
        <v>344</v>
      </c>
    </row>
    <row r="106" spans="1:23" x14ac:dyDescent="0.2">
      <c r="A106" s="16" t="s">
        <v>182</v>
      </c>
      <c r="B106" s="16" t="s">
        <v>92</v>
      </c>
      <c r="C106" s="18" t="s">
        <v>190</v>
      </c>
      <c r="D106" s="18" t="s">
        <v>190</v>
      </c>
      <c r="E106" s="18" t="s">
        <v>190</v>
      </c>
      <c r="F106" s="18" t="s">
        <v>190</v>
      </c>
      <c r="G106" s="18" t="s">
        <v>190</v>
      </c>
      <c r="H106" s="18" t="s">
        <v>190</v>
      </c>
      <c r="I106" s="21" t="s">
        <v>190</v>
      </c>
      <c r="J106" s="21" t="s">
        <v>190</v>
      </c>
      <c r="K106" s="21">
        <v>10500</v>
      </c>
      <c r="L106" s="21">
        <v>11300</v>
      </c>
      <c r="M106" s="21">
        <v>13000</v>
      </c>
      <c r="N106" s="21">
        <v>9800</v>
      </c>
      <c r="O106" s="21">
        <v>10400</v>
      </c>
      <c r="P106" s="21">
        <v>12500</v>
      </c>
      <c r="Q106" s="21">
        <v>12400</v>
      </c>
      <c r="R106" s="21">
        <v>13000</v>
      </c>
      <c r="S106" s="18">
        <v>14900</v>
      </c>
      <c r="T106" s="18">
        <v>13000</v>
      </c>
      <c r="U106" s="18">
        <v>8000</v>
      </c>
      <c r="V106" s="117" t="s">
        <v>344</v>
      </c>
      <c r="W106" s="117" t="s">
        <v>344</v>
      </c>
    </row>
    <row r="107" spans="1:23" x14ac:dyDescent="0.2">
      <c r="A107" s="16" t="s">
        <v>182</v>
      </c>
      <c r="B107" s="16" t="s">
        <v>93</v>
      </c>
      <c r="C107" s="18" t="s">
        <v>190</v>
      </c>
      <c r="D107" s="18" t="s">
        <v>190</v>
      </c>
      <c r="E107" s="18" t="s">
        <v>190</v>
      </c>
      <c r="F107" s="18" t="s">
        <v>190</v>
      </c>
      <c r="G107" s="18" t="s">
        <v>190</v>
      </c>
      <c r="H107" s="18" t="s">
        <v>190</v>
      </c>
      <c r="I107" s="21" t="s">
        <v>190</v>
      </c>
      <c r="J107" s="21" t="s">
        <v>190</v>
      </c>
      <c r="K107" s="21">
        <v>2700</v>
      </c>
      <c r="L107" s="21">
        <v>3600</v>
      </c>
      <c r="M107" s="21">
        <v>2800</v>
      </c>
      <c r="N107" s="21">
        <v>2300</v>
      </c>
      <c r="O107" s="21">
        <v>2500</v>
      </c>
      <c r="P107" s="21">
        <v>2400</v>
      </c>
      <c r="Q107" s="21">
        <v>2700</v>
      </c>
      <c r="R107" s="21">
        <v>2100</v>
      </c>
      <c r="S107" s="18">
        <v>5500</v>
      </c>
      <c r="T107" s="18">
        <v>3000</v>
      </c>
      <c r="U107" s="18">
        <v>3300</v>
      </c>
      <c r="V107" s="117" t="s">
        <v>344</v>
      </c>
      <c r="W107" s="117" t="s">
        <v>344</v>
      </c>
    </row>
    <row r="108" spans="1:23" x14ac:dyDescent="0.2">
      <c r="A108" s="16" t="s">
        <v>182</v>
      </c>
      <c r="B108" s="16" t="s">
        <v>94</v>
      </c>
      <c r="C108" s="18" t="s">
        <v>190</v>
      </c>
      <c r="D108" s="18" t="s">
        <v>190</v>
      </c>
      <c r="E108" s="18" t="s">
        <v>190</v>
      </c>
      <c r="F108" s="18" t="s">
        <v>190</v>
      </c>
      <c r="G108" s="18" t="s">
        <v>190</v>
      </c>
      <c r="H108" s="18" t="s">
        <v>190</v>
      </c>
      <c r="I108" s="21" t="s">
        <v>190</v>
      </c>
      <c r="J108" s="21" t="s">
        <v>190</v>
      </c>
      <c r="K108" s="21">
        <v>12200</v>
      </c>
      <c r="L108" s="21">
        <v>12200</v>
      </c>
      <c r="M108" s="21">
        <v>13100</v>
      </c>
      <c r="N108" s="21">
        <v>13200</v>
      </c>
      <c r="O108" s="21">
        <v>13300</v>
      </c>
      <c r="P108" s="21">
        <v>13100</v>
      </c>
      <c r="Q108" s="21">
        <v>12800</v>
      </c>
      <c r="R108" s="21">
        <v>13500</v>
      </c>
      <c r="S108" s="18">
        <v>13100</v>
      </c>
      <c r="T108" s="18">
        <v>13100</v>
      </c>
      <c r="U108" s="18">
        <v>13900</v>
      </c>
      <c r="V108" s="117" t="s">
        <v>344</v>
      </c>
      <c r="W108" s="117" t="s">
        <v>344</v>
      </c>
    </row>
    <row r="109" spans="1:23" x14ac:dyDescent="0.2">
      <c r="A109" s="16" t="s">
        <v>182</v>
      </c>
      <c r="B109" s="16" t="s">
        <v>95</v>
      </c>
      <c r="C109" s="18" t="s">
        <v>190</v>
      </c>
      <c r="D109" s="18" t="s">
        <v>190</v>
      </c>
      <c r="E109" s="18" t="s">
        <v>190</v>
      </c>
      <c r="F109" s="18" t="s">
        <v>190</v>
      </c>
      <c r="G109" s="18" t="s">
        <v>190</v>
      </c>
      <c r="H109" s="18" t="s">
        <v>190</v>
      </c>
      <c r="I109" s="21" t="s">
        <v>190</v>
      </c>
      <c r="J109" s="21" t="s">
        <v>190</v>
      </c>
      <c r="K109" s="21">
        <v>7400</v>
      </c>
      <c r="L109" s="21">
        <v>6200</v>
      </c>
      <c r="M109" s="21">
        <v>7300</v>
      </c>
      <c r="N109" s="21">
        <v>6100</v>
      </c>
      <c r="O109" s="21">
        <v>6900</v>
      </c>
      <c r="P109" s="21">
        <v>4100</v>
      </c>
      <c r="Q109" s="21">
        <v>4300</v>
      </c>
      <c r="R109" s="21">
        <v>5400</v>
      </c>
      <c r="S109" s="18">
        <v>4500</v>
      </c>
      <c r="T109" s="18">
        <v>4100</v>
      </c>
      <c r="U109" s="18">
        <v>2100</v>
      </c>
      <c r="V109" s="117" t="s">
        <v>344</v>
      </c>
      <c r="W109" s="117" t="s">
        <v>344</v>
      </c>
    </row>
    <row r="110" spans="1:23" ht="30" customHeight="1" x14ac:dyDescent="0.2">
      <c r="A110" s="17" t="s">
        <v>183</v>
      </c>
      <c r="B110" s="17" t="s">
        <v>112</v>
      </c>
      <c r="C110" s="18" t="s">
        <v>190</v>
      </c>
      <c r="D110" s="18" t="s">
        <v>190</v>
      </c>
      <c r="E110" s="18" t="s">
        <v>190</v>
      </c>
      <c r="F110" s="18" t="s">
        <v>190</v>
      </c>
      <c r="G110" s="18" t="s">
        <v>190</v>
      </c>
      <c r="H110" s="18" t="s">
        <v>190</v>
      </c>
      <c r="I110" s="18" t="s">
        <v>190</v>
      </c>
      <c r="J110" s="18" t="s">
        <v>190</v>
      </c>
      <c r="K110" s="18">
        <v>25300</v>
      </c>
      <c r="L110" s="18">
        <v>26700</v>
      </c>
      <c r="M110" s="18">
        <v>28700</v>
      </c>
      <c r="N110" s="18">
        <v>25500</v>
      </c>
      <c r="O110" s="18">
        <v>27400</v>
      </c>
      <c r="P110" s="18">
        <v>28200</v>
      </c>
      <c r="Q110" s="18">
        <v>26700</v>
      </c>
      <c r="R110" s="18">
        <v>27700</v>
      </c>
      <c r="S110" s="18">
        <v>26000</v>
      </c>
      <c r="T110" s="18">
        <v>23600</v>
      </c>
      <c r="U110" s="18">
        <v>24700</v>
      </c>
      <c r="V110" s="117" t="s">
        <v>344</v>
      </c>
      <c r="W110" s="117" t="s">
        <v>344</v>
      </c>
    </row>
    <row r="111" spans="1:23" x14ac:dyDescent="0.2">
      <c r="A111" s="16" t="s">
        <v>183</v>
      </c>
      <c r="B111" s="9" t="s">
        <v>113</v>
      </c>
      <c r="C111" s="18" t="s">
        <v>190</v>
      </c>
      <c r="D111" s="18" t="s">
        <v>190</v>
      </c>
      <c r="E111" s="18" t="s">
        <v>190</v>
      </c>
      <c r="F111" s="18" t="s">
        <v>190</v>
      </c>
      <c r="G111" s="18" t="s">
        <v>190</v>
      </c>
      <c r="H111" s="18" t="s">
        <v>190</v>
      </c>
      <c r="I111" s="21" t="s">
        <v>190</v>
      </c>
      <c r="J111" s="21" t="s">
        <v>190</v>
      </c>
      <c r="K111" s="21">
        <v>20500</v>
      </c>
      <c r="L111" s="21">
        <v>19600</v>
      </c>
      <c r="M111" s="21">
        <v>19200</v>
      </c>
      <c r="N111" s="21">
        <v>18100</v>
      </c>
      <c r="O111" s="21">
        <v>19500</v>
      </c>
      <c r="P111" s="21">
        <v>23400</v>
      </c>
      <c r="Q111" s="21">
        <v>17300</v>
      </c>
      <c r="R111" s="21">
        <v>13000</v>
      </c>
      <c r="S111" s="18">
        <v>24100</v>
      </c>
      <c r="T111" s="18">
        <v>16900</v>
      </c>
      <c r="U111" s="18">
        <v>16500</v>
      </c>
      <c r="V111" s="117" t="s">
        <v>344</v>
      </c>
      <c r="W111" s="117" t="s">
        <v>344</v>
      </c>
    </row>
    <row r="112" spans="1:23" x14ac:dyDescent="0.2">
      <c r="A112" s="16" t="s">
        <v>183</v>
      </c>
      <c r="B112" s="9" t="s">
        <v>114</v>
      </c>
      <c r="C112" s="18" t="s">
        <v>190</v>
      </c>
      <c r="D112" s="18" t="s">
        <v>190</v>
      </c>
      <c r="E112" s="18" t="s">
        <v>190</v>
      </c>
      <c r="F112" s="18" t="s">
        <v>190</v>
      </c>
      <c r="G112" s="18" t="s">
        <v>190</v>
      </c>
      <c r="H112" s="18" t="s">
        <v>190</v>
      </c>
      <c r="I112" s="21" t="s">
        <v>190</v>
      </c>
      <c r="J112" s="21" t="s">
        <v>190</v>
      </c>
      <c r="K112" s="21">
        <v>75700</v>
      </c>
      <c r="L112" s="21">
        <v>76200</v>
      </c>
      <c r="M112" s="21">
        <v>85900</v>
      </c>
      <c r="N112" s="21">
        <v>89600</v>
      </c>
      <c r="O112" s="21">
        <v>79600</v>
      </c>
      <c r="P112" s="21">
        <v>80500</v>
      </c>
      <c r="Q112" s="21">
        <v>86400</v>
      </c>
      <c r="R112" s="21">
        <v>89300</v>
      </c>
      <c r="S112" s="18">
        <v>79100</v>
      </c>
      <c r="T112" s="18">
        <v>81500</v>
      </c>
      <c r="U112" s="18">
        <v>75100</v>
      </c>
      <c r="V112" s="117" t="s">
        <v>344</v>
      </c>
      <c r="W112" s="117" t="s">
        <v>344</v>
      </c>
    </row>
    <row r="113" spans="1:23" x14ac:dyDescent="0.2">
      <c r="A113" s="16" t="s">
        <v>183</v>
      </c>
      <c r="B113" s="9" t="s">
        <v>115</v>
      </c>
      <c r="C113" s="18" t="s">
        <v>190</v>
      </c>
      <c r="D113" s="18" t="s">
        <v>190</v>
      </c>
      <c r="E113" s="18" t="s">
        <v>190</v>
      </c>
      <c r="F113" s="18" t="s">
        <v>190</v>
      </c>
      <c r="G113" s="18" t="s">
        <v>190</v>
      </c>
      <c r="H113" s="18" t="s">
        <v>190</v>
      </c>
      <c r="I113" s="21" t="s">
        <v>190</v>
      </c>
      <c r="J113" s="21" t="s">
        <v>190</v>
      </c>
      <c r="K113" s="21">
        <v>17800</v>
      </c>
      <c r="L113" s="21">
        <v>16800</v>
      </c>
      <c r="M113" s="21">
        <v>12800</v>
      </c>
      <c r="N113" s="21">
        <v>13900</v>
      </c>
      <c r="O113" s="21">
        <v>16900</v>
      </c>
      <c r="P113" s="21">
        <v>17500</v>
      </c>
      <c r="Q113" s="21">
        <v>17200</v>
      </c>
      <c r="R113" s="21">
        <v>15600</v>
      </c>
      <c r="S113" s="18">
        <v>16400</v>
      </c>
      <c r="T113" s="18">
        <v>12900</v>
      </c>
      <c r="U113" s="18">
        <v>16100</v>
      </c>
      <c r="V113" s="117" t="s">
        <v>344</v>
      </c>
      <c r="W113" s="117" t="s">
        <v>344</v>
      </c>
    </row>
    <row r="114" spans="1:23" x14ac:dyDescent="0.2">
      <c r="A114" s="16" t="s">
        <v>183</v>
      </c>
      <c r="B114" s="9" t="s">
        <v>13</v>
      </c>
      <c r="C114" s="18" t="s">
        <v>190</v>
      </c>
      <c r="D114" s="18" t="s">
        <v>190</v>
      </c>
      <c r="E114" s="18" t="s">
        <v>190</v>
      </c>
      <c r="F114" s="18" t="s">
        <v>190</v>
      </c>
      <c r="G114" s="18" t="s">
        <v>190</v>
      </c>
      <c r="H114" s="18" t="s">
        <v>190</v>
      </c>
      <c r="I114" s="21" t="s">
        <v>190</v>
      </c>
      <c r="J114" s="21" t="s">
        <v>190</v>
      </c>
      <c r="K114" s="21">
        <v>45200</v>
      </c>
      <c r="L114" s="21">
        <v>47100</v>
      </c>
      <c r="M114" s="21">
        <v>46200</v>
      </c>
      <c r="N114" s="21">
        <v>44700</v>
      </c>
      <c r="O114" s="21">
        <v>46100</v>
      </c>
      <c r="P114" s="21">
        <v>45600</v>
      </c>
      <c r="Q114" s="21">
        <v>44800</v>
      </c>
      <c r="R114" s="21">
        <v>46500</v>
      </c>
      <c r="S114" s="58">
        <v>46600</v>
      </c>
      <c r="T114" s="58">
        <v>45300</v>
      </c>
      <c r="U114" s="58">
        <v>47400</v>
      </c>
      <c r="V114" s="117" t="s">
        <v>344</v>
      </c>
      <c r="W114" s="117" t="s">
        <v>344</v>
      </c>
    </row>
    <row r="115" spans="1:23" x14ac:dyDescent="0.2">
      <c r="A115" s="16" t="s">
        <v>183</v>
      </c>
      <c r="B115" s="9" t="s">
        <v>116</v>
      </c>
      <c r="C115" s="18" t="s">
        <v>190</v>
      </c>
      <c r="D115" s="18" t="s">
        <v>190</v>
      </c>
      <c r="E115" s="18" t="s">
        <v>190</v>
      </c>
      <c r="F115" s="18" t="s">
        <v>190</v>
      </c>
      <c r="G115" s="18" t="s">
        <v>190</v>
      </c>
      <c r="H115" s="18" t="s">
        <v>190</v>
      </c>
      <c r="I115" s="21" t="s">
        <v>190</v>
      </c>
      <c r="J115" s="21" t="s">
        <v>190</v>
      </c>
      <c r="K115" s="21">
        <v>11200</v>
      </c>
      <c r="L115" s="21">
        <v>11500</v>
      </c>
      <c r="M115" s="21">
        <v>12600</v>
      </c>
      <c r="N115" s="21">
        <v>11900</v>
      </c>
      <c r="O115" s="21">
        <v>12100</v>
      </c>
      <c r="P115" s="21">
        <v>12300</v>
      </c>
      <c r="Q115" s="21">
        <v>12200</v>
      </c>
      <c r="R115" s="21">
        <v>12100</v>
      </c>
      <c r="S115" s="58">
        <v>11100</v>
      </c>
      <c r="T115" s="58">
        <v>10300</v>
      </c>
      <c r="U115" s="58">
        <v>11500</v>
      </c>
      <c r="V115" s="117" t="s">
        <v>344</v>
      </c>
      <c r="W115" s="117" t="s">
        <v>344</v>
      </c>
    </row>
    <row r="116" spans="1:23" x14ac:dyDescent="0.2">
      <c r="A116" s="16" t="s">
        <v>183</v>
      </c>
      <c r="B116" s="9" t="s">
        <v>117</v>
      </c>
      <c r="C116" s="18" t="s">
        <v>190</v>
      </c>
      <c r="D116" s="18" t="s">
        <v>190</v>
      </c>
      <c r="E116" s="18" t="s">
        <v>190</v>
      </c>
      <c r="F116" s="18" t="s">
        <v>190</v>
      </c>
      <c r="G116" s="18" t="s">
        <v>190</v>
      </c>
      <c r="H116" s="18" t="s">
        <v>190</v>
      </c>
      <c r="I116" s="21" t="s">
        <v>190</v>
      </c>
      <c r="J116" s="21" t="s">
        <v>190</v>
      </c>
      <c r="K116" s="21">
        <v>12200</v>
      </c>
      <c r="L116" s="21">
        <v>12200</v>
      </c>
      <c r="M116" s="21">
        <v>13100</v>
      </c>
      <c r="N116" s="21">
        <v>13200</v>
      </c>
      <c r="O116" s="21">
        <v>13300</v>
      </c>
      <c r="P116" s="21">
        <v>13100</v>
      </c>
      <c r="Q116" s="21">
        <v>12800</v>
      </c>
      <c r="R116" s="21">
        <v>13500</v>
      </c>
      <c r="S116" s="58">
        <v>13100</v>
      </c>
      <c r="T116" s="58">
        <v>13100</v>
      </c>
      <c r="U116" s="58">
        <v>13900</v>
      </c>
      <c r="V116" s="117" t="s">
        <v>344</v>
      </c>
      <c r="W116" s="117" t="s">
        <v>344</v>
      </c>
    </row>
    <row r="117" spans="1:23" x14ac:dyDescent="0.2">
      <c r="A117" s="16" t="s">
        <v>183</v>
      </c>
      <c r="B117" s="9" t="s">
        <v>118</v>
      </c>
      <c r="C117" s="18" t="s">
        <v>190</v>
      </c>
      <c r="D117" s="18" t="s">
        <v>190</v>
      </c>
      <c r="E117" s="18" t="s">
        <v>190</v>
      </c>
      <c r="F117" s="18" t="s">
        <v>190</v>
      </c>
      <c r="G117" s="18" t="s">
        <v>190</v>
      </c>
      <c r="H117" s="18" t="s">
        <v>190</v>
      </c>
      <c r="I117" s="21" t="s">
        <v>190</v>
      </c>
      <c r="J117" s="21" t="s">
        <v>190</v>
      </c>
      <c r="K117" s="21">
        <v>12400</v>
      </c>
      <c r="L117" s="21">
        <v>12400</v>
      </c>
      <c r="M117" s="21">
        <v>12100</v>
      </c>
      <c r="N117" s="21">
        <v>13100</v>
      </c>
      <c r="O117" s="21">
        <v>12900</v>
      </c>
      <c r="P117" s="21">
        <v>12300</v>
      </c>
      <c r="Q117" s="21">
        <v>13100</v>
      </c>
      <c r="R117" s="21">
        <v>11900</v>
      </c>
      <c r="S117" s="58">
        <v>11700</v>
      </c>
      <c r="T117" s="58">
        <v>11600</v>
      </c>
      <c r="U117" s="58">
        <v>12800</v>
      </c>
      <c r="V117" s="117" t="s">
        <v>344</v>
      </c>
      <c r="W117" s="117" t="s">
        <v>344</v>
      </c>
    </row>
    <row r="118" spans="1:23" x14ac:dyDescent="0.2">
      <c r="A118" s="16" t="s">
        <v>183</v>
      </c>
      <c r="B118" s="9" t="s">
        <v>184</v>
      </c>
      <c r="C118" s="18" t="s">
        <v>190</v>
      </c>
      <c r="D118" s="18" t="s">
        <v>190</v>
      </c>
      <c r="E118" s="18" t="s">
        <v>190</v>
      </c>
      <c r="F118" s="18" t="s">
        <v>190</v>
      </c>
      <c r="G118" s="18" t="s">
        <v>190</v>
      </c>
      <c r="H118" s="18" t="s">
        <v>190</v>
      </c>
      <c r="I118" s="21" t="s">
        <v>190</v>
      </c>
      <c r="J118" s="21" t="s">
        <v>190</v>
      </c>
      <c r="K118" s="21">
        <v>220200</v>
      </c>
      <c r="L118" s="21">
        <v>222500</v>
      </c>
      <c r="M118" s="21">
        <v>230600</v>
      </c>
      <c r="N118" s="21">
        <v>230000</v>
      </c>
      <c r="O118" s="21">
        <v>227700</v>
      </c>
      <c r="P118" s="21">
        <v>232900</v>
      </c>
      <c r="Q118" s="21">
        <v>230400</v>
      </c>
      <c r="R118" s="21">
        <v>229700</v>
      </c>
      <c r="S118" s="21">
        <v>228100</v>
      </c>
      <c r="T118" s="18">
        <v>215300</v>
      </c>
      <c r="U118" s="18">
        <v>217800</v>
      </c>
      <c r="V118" s="117" t="s">
        <v>344</v>
      </c>
      <c r="W118" s="117" t="s">
        <v>344</v>
      </c>
    </row>
    <row r="119" spans="1:23" ht="30" customHeight="1" x14ac:dyDescent="0.2">
      <c r="A119" s="17" t="s">
        <v>185</v>
      </c>
      <c r="B119" s="17" t="s">
        <v>111</v>
      </c>
      <c r="C119" s="18" t="s">
        <v>190</v>
      </c>
      <c r="D119" s="18" t="s">
        <v>190</v>
      </c>
      <c r="E119" s="18" t="s">
        <v>190</v>
      </c>
      <c r="F119" s="18" t="s">
        <v>190</v>
      </c>
      <c r="G119" s="18" t="s">
        <v>190</v>
      </c>
      <c r="H119" s="18" t="s">
        <v>190</v>
      </c>
      <c r="I119" s="18" t="s">
        <v>190</v>
      </c>
      <c r="J119" s="18" t="s">
        <v>190</v>
      </c>
      <c r="K119" s="18">
        <v>6300</v>
      </c>
      <c r="L119" s="18">
        <v>9600</v>
      </c>
      <c r="M119" s="18">
        <v>10400</v>
      </c>
      <c r="N119" s="18">
        <v>8000</v>
      </c>
      <c r="O119" s="18">
        <v>9400</v>
      </c>
      <c r="P119" s="18">
        <v>11500</v>
      </c>
      <c r="Q119" s="18">
        <v>13100</v>
      </c>
      <c r="R119" s="18">
        <v>13200</v>
      </c>
      <c r="S119" s="18">
        <v>8700</v>
      </c>
      <c r="T119" s="18">
        <v>17300</v>
      </c>
      <c r="U119" s="18">
        <v>22400</v>
      </c>
      <c r="V119" s="117" t="s">
        <v>344</v>
      </c>
      <c r="W119" s="117" t="s">
        <v>344</v>
      </c>
    </row>
    <row r="120" spans="1:23" x14ac:dyDescent="0.2">
      <c r="A120" s="17" t="s">
        <v>185</v>
      </c>
      <c r="B120" s="9" t="s">
        <v>186</v>
      </c>
      <c r="C120" s="18" t="s">
        <v>190</v>
      </c>
      <c r="D120" s="18" t="s">
        <v>190</v>
      </c>
      <c r="E120" s="18" t="s">
        <v>190</v>
      </c>
      <c r="F120" s="18" t="s">
        <v>190</v>
      </c>
      <c r="G120" s="18" t="s">
        <v>190</v>
      </c>
      <c r="H120" s="18" t="s">
        <v>190</v>
      </c>
      <c r="I120" s="21" t="s">
        <v>190</v>
      </c>
      <c r="J120" s="21" t="s">
        <v>190</v>
      </c>
      <c r="K120" s="21">
        <v>121800</v>
      </c>
      <c r="L120" s="21">
        <v>127300</v>
      </c>
      <c r="M120" s="21">
        <v>122900</v>
      </c>
      <c r="N120" s="21">
        <v>123900</v>
      </c>
      <c r="O120" s="21">
        <v>118700</v>
      </c>
      <c r="P120" s="21">
        <v>121200</v>
      </c>
      <c r="Q120" s="21">
        <v>123600</v>
      </c>
      <c r="R120" s="21">
        <v>131400</v>
      </c>
      <c r="S120" s="18">
        <v>136600</v>
      </c>
      <c r="T120" s="18">
        <v>161100</v>
      </c>
      <c r="U120" s="18">
        <v>160600</v>
      </c>
      <c r="V120" s="117" t="s">
        <v>344</v>
      </c>
      <c r="W120" s="117" t="s">
        <v>344</v>
      </c>
    </row>
    <row r="121" spans="1:23" x14ac:dyDescent="0.2">
      <c r="A121" s="17" t="s">
        <v>185</v>
      </c>
      <c r="B121" s="9" t="s">
        <v>151</v>
      </c>
      <c r="C121" s="18" t="s">
        <v>190</v>
      </c>
      <c r="D121" s="18" t="s">
        <v>190</v>
      </c>
      <c r="E121" s="18" t="s">
        <v>190</v>
      </c>
      <c r="F121" s="18" t="s">
        <v>190</v>
      </c>
      <c r="G121" s="18" t="s">
        <v>190</v>
      </c>
      <c r="H121" s="18" t="s">
        <v>190</v>
      </c>
      <c r="I121" s="21" t="s">
        <v>190</v>
      </c>
      <c r="J121" s="21" t="s">
        <v>190</v>
      </c>
      <c r="K121" s="21">
        <v>267300</v>
      </c>
      <c r="L121" s="21">
        <v>267400</v>
      </c>
      <c r="M121" s="21">
        <v>273300</v>
      </c>
      <c r="N121" s="21">
        <v>266200</v>
      </c>
      <c r="O121" s="21">
        <v>267600</v>
      </c>
      <c r="P121" s="21">
        <v>292400</v>
      </c>
      <c r="Q121" s="21">
        <v>267300</v>
      </c>
      <c r="R121" s="21">
        <v>269700</v>
      </c>
      <c r="S121" s="21">
        <v>299900</v>
      </c>
      <c r="T121" s="18">
        <v>314200</v>
      </c>
      <c r="U121" s="18">
        <v>334200</v>
      </c>
      <c r="V121" s="117" t="s">
        <v>344</v>
      </c>
      <c r="W121" s="117" t="s">
        <v>344</v>
      </c>
    </row>
    <row r="122" spans="1:23" ht="34.5" customHeight="1" x14ac:dyDescent="0.2">
      <c r="A122" s="91" t="s">
        <v>270</v>
      </c>
      <c r="B122" s="92" t="s">
        <v>271</v>
      </c>
      <c r="C122" s="18" t="s">
        <v>190</v>
      </c>
      <c r="D122" s="18" t="s">
        <v>190</v>
      </c>
      <c r="E122" s="18" t="s">
        <v>190</v>
      </c>
      <c r="F122" s="18" t="s">
        <v>190</v>
      </c>
      <c r="G122" s="18" t="s">
        <v>190</v>
      </c>
      <c r="H122" s="18" t="s">
        <v>190</v>
      </c>
      <c r="I122" s="18" t="s">
        <v>190</v>
      </c>
      <c r="J122" s="18" t="s">
        <v>190</v>
      </c>
      <c r="K122" s="18">
        <v>3400</v>
      </c>
      <c r="L122" s="18">
        <v>2900</v>
      </c>
      <c r="M122" s="18">
        <v>2500</v>
      </c>
      <c r="N122" s="18">
        <v>3000</v>
      </c>
      <c r="O122" s="18">
        <v>4000</v>
      </c>
      <c r="P122" s="18">
        <v>3500</v>
      </c>
      <c r="Q122" s="18">
        <v>3600</v>
      </c>
      <c r="R122" s="18">
        <v>3300</v>
      </c>
      <c r="S122" s="18">
        <v>3000</v>
      </c>
      <c r="T122" s="18">
        <v>2500</v>
      </c>
      <c r="U122" s="18">
        <v>2200</v>
      </c>
      <c r="V122" s="117" t="s">
        <v>344</v>
      </c>
      <c r="W122" s="117" t="s">
        <v>344</v>
      </c>
    </row>
    <row r="123" spans="1:23" x14ac:dyDescent="0.2">
      <c r="A123" s="91" t="s">
        <v>270</v>
      </c>
      <c r="B123" s="92" t="s">
        <v>272</v>
      </c>
      <c r="C123" s="18" t="s">
        <v>190</v>
      </c>
      <c r="D123" s="18" t="s">
        <v>190</v>
      </c>
      <c r="E123" s="18" t="s">
        <v>190</v>
      </c>
      <c r="F123" s="18" t="s">
        <v>190</v>
      </c>
      <c r="G123" s="18" t="s">
        <v>190</v>
      </c>
      <c r="H123" s="18" t="s">
        <v>190</v>
      </c>
      <c r="I123" s="18" t="s">
        <v>190</v>
      </c>
      <c r="J123" s="18" t="s">
        <v>190</v>
      </c>
      <c r="K123" s="18">
        <v>2200</v>
      </c>
      <c r="L123" s="18">
        <v>2700</v>
      </c>
      <c r="M123" s="18">
        <v>1500</v>
      </c>
      <c r="N123" s="18">
        <v>1700</v>
      </c>
      <c r="O123" s="18">
        <v>1600</v>
      </c>
      <c r="P123" s="18">
        <v>2000</v>
      </c>
      <c r="Q123" s="18">
        <v>2600</v>
      </c>
      <c r="R123" s="18">
        <v>1700</v>
      </c>
      <c r="S123" s="18">
        <v>2000</v>
      </c>
      <c r="T123" s="18">
        <v>1200</v>
      </c>
      <c r="U123" s="18">
        <v>700</v>
      </c>
      <c r="V123" s="117" t="s">
        <v>344</v>
      </c>
      <c r="W123" s="117" t="s">
        <v>344</v>
      </c>
    </row>
    <row r="124" spans="1:23" x14ac:dyDescent="0.2">
      <c r="A124" s="91" t="s">
        <v>270</v>
      </c>
      <c r="B124" s="92" t="s">
        <v>273</v>
      </c>
      <c r="C124" s="18" t="s">
        <v>190</v>
      </c>
      <c r="D124" s="18" t="s">
        <v>190</v>
      </c>
      <c r="E124" s="18" t="s">
        <v>190</v>
      </c>
      <c r="F124" s="18" t="s">
        <v>190</v>
      </c>
      <c r="G124" s="18" t="s">
        <v>190</v>
      </c>
      <c r="H124" s="18" t="s">
        <v>190</v>
      </c>
      <c r="I124" s="18" t="s">
        <v>190</v>
      </c>
      <c r="J124" s="18" t="s">
        <v>190</v>
      </c>
      <c r="K124" s="18">
        <v>5500</v>
      </c>
      <c r="L124" s="18">
        <v>5300</v>
      </c>
      <c r="M124" s="18">
        <v>3000</v>
      </c>
      <c r="N124" s="18">
        <v>2200</v>
      </c>
      <c r="O124" s="18">
        <v>3200</v>
      </c>
      <c r="P124" s="18">
        <v>3400</v>
      </c>
      <c r="Q124" s="18">
        <v>6100</v>
      </c>
      <c r="R124" s="18">
        <v>2700</v>
      </c>
      <c r="S124" s="18">
        <v>4700</v>
      </c>
      <c r="T124" s="18">
        <v>1400</v>
      </c>
      <c r="U124" s="18">
        <v>1000</v>
      </c>
      <c r="V124" s="117" t="s">
        <v>344</v>
      </c>
      <c r="W124" s="117" t="s">
        <v>344</v>
      </c>
    </row>
    <row r="125" spans="1:23" x14ac:dyDescent="0.2">
      <c r="A125" s="91" t="s">
        <v>270</v>
      </c>
      <c r="B125" s="92" t="s">
        <v>274</v>
      </c>
      <c r="C125" s="18" t="s">
        <v>190</v>
      </c>
      <c r="D125" s="18" t="s">
        <v>190</v>
      </c>
      <c r="E125" s="18" t="s">
        <v>190</v>
      </c>
      <c r="F125" s="18" t="s">
        <v>190</v>
      </c>
      <c r="G125" s="18" t="s">
        <v>190</v>
      </c>
      <c r="H125" s="18" t="s">
        <v>190</v>
      </c>
      <c r="I125" s="18" t="s">
        <v>190</v>
      </c>
      <c r="J125" s="18" t="s">
        <v>190</v>
      </c>
      <c r="K125" s="18">
        <v>9700</v>
      </c>
      <c r="L125" s="18">
        <v>9800</v>
      </c>
      <c r="M125" s="18">
        <v>11400</v>
      </c>
      <c r="N125" s="18">
        <v>10900</v>
      </c>
      <c r="O125" s="18">
        <v>11600</v>
      </c>
      <c r="P125" s="18">
        <v>11500</v>
      </c>
      <c r="Q125" s="18">
        <v>10800</v>
      </c>
      <c r="R125" s="18">
        <v>10200</v>
      </c>
      <c r="S125" s="18">
        <v>9800</v>
      </c>
      <c r="T125" s="18">
        <v>10600</v>
      </c>
      <c r="U125" s="18">
        <v>10000</v>
      </c>
      <c r="V125" s="117" t="s">
        <v>344</v>
      </c>
      <c r="W125" s="117" t="s">
        <v>344</v>
      </c>
    </row>
    <row r="126" spans="1:23" x14ac:dyDescent="0.2">
      <c r="A126" s="91" t="s">
        <v>270</v>
      </c>
      <c r="B126" s="92" t="s">
        <v>275</v>
      </c>
      <c r="C126" s="18" t="s">
        <v>190</v>
      </c>
      <c r="D126" s="18" t="s">
        <v>190</v>
      </c>
      <c r="E126" s="18" t="s">
        <v>190</v>
      </c>
      <c r="F126" s="18" t="s">
        <v>190</v>
      </c>
      <c r="G126" s="18" t="s">
        <v>190</v>
      </c>
      <c r="H126" s="18" t="s">
        <v>190</v>
      </c>
      <c r="I126" s="18" t="s">
        <v>190</v>
      </c>
      <c r="J126" s="18" t="s">
        <v>190</v>
      </c>
      <c r="K126" s="18">
        <v>9600</v>
      </c>
      <c r="L126" s="18">
        <v>10200</v>
      </c>
      <c r="M126" s="18">
        <v>11100</v>
      </c>
      <c r="N126" s="18">
        <v>10900</v>
      </c>
      <c r="O126" s="18">
        <v>11000</v>
      </c>
      <c r="P126" s="18">
        <v>11600</v>
      </c>
      <c r="Q126" s="18">
        <v>11300</v>
      </c>
      <c r="R126" s="18">
        <v>11100</v>
      </c>
      <c r="S126" s="18">
        <v>10400</v>
      </c>
      <c r="T126" s="18">
        <v>9400</v>
      </c>
      <c r="U126" s="18" t="s">
        <v>296</v>
      </c>
      <c r="V126" s="117" t="s">
        <v>344</v>
      </c>
      <c r="W126" s="117" t="s">
        <v>344</v>
      </c>
    </row>
    <row r="127" spans="1:23" x14ac:dyDescent="0.2">
      <c r="A127" s="91" t="s">
        <v>270</v>
      </c>
      <c r="B127" s="92" t="s">
        <v>276</v>
      </c>
      <c r="C127" s="18" t="s">
        <v>190</v>
      </c>
      <c r="D127" s="18" t="s">
        <v>190</v>
      </c>
      <c r="E127" s="18" t="s">
        <v>190</v>
      </c>
      <c r="F127" s="18" t="s">
        <v>190</v>
      </c>
      <c r="G127" s="18" t="s">
        <v>190</v>
      </c>
      <c r="H127" s="18" t="s">
        <v>190</v>
      </c>
      <c r="I127" s="18" t="s">
        <v>190</v>
      </c>
      <c r="J127" s="18" t="s">
        <v>190</v>
      </c>
      <c r="K127" s="18">
        <v>1600</v>
      </c>
      <c r="L127" s="18">
        <v>1300</v>
      </c>
      <c r="M127" s="18">
        <v>1500</v>
      </c>
      <c r="N127" s="18">
        <v>1100</v>
      </c>
      <c r="O127" s="18">
        <v>1100</v>
      </c>
      <c r="P127" s="18">
        <v>700</v>
      </c>
      <c r="Q127" s="18">
        <v>800</v>
      </c>
      <c r="R127" s="18">
        <v>1000</v>
      </c>
      <c r="S127" s="18">
        <v>700</v>
      </c>
      <c r="T127" s="18">
        <v>900</v>
      </c>
      <c r="U127" s="18" t="s">
        <v>208</v>
      </c>
      <c r="V127" s="117" t="s">
        <v>344</v>
      </c>
      <c r="W127" s="117" t="s">
        <v>344</v>
      </c>
    </row>
    <row r="128" spans="1:23" x14ac:dyDescent="0.2">
      <c r="A128" s="91" t="s">
        <v>270</v>
      </c>
      <c r="B128" s="92" t="s">
        <v>277</v>
      </c>
      <c r="C128" s="18" t="s">
        <v>190</v>
      </c>
      <c r="D128" s="18" t="s">
        <v>190</v>
      </c>
      <c r="E128" s="18" t="s">
        <v>190</v>
      </c>
      <c r="F128" s="18" t="s">
        <v>190</v>
      </c>
      <c r="G128" s="18" t="s">
        <v>190</v>
      </c>
      <c r="H128" s="18" t="s">
        <v>190</v>
      </c>
      <c r="I128" s="18" t="s">
        <v>190</v>
      </c>
      <c r="J128" s="18" t="s">
        <v>190</v>
      </c>
      <c r="K128" s="18">
        <v>11300</v>
      </c>
      <c r="L128" s="18">
        <v>11200</v>
      </c>
      <c r="M128" s="18">
        <v>10200</v>
      </c>
      <c r="N128" s="18">
        <v>12000</v>
      </c>
      <c r="O128" s="18">
        <v>11600</v>
      </c>
      <c r="P128" s="18">
        <v>11200</v>
      </c>
      <c r="Q128" s="18">
        <v>10900</v>
      </c>
      <c r="R128" s="18">
        <v>9400</v>
      </c>
      <c r="S128" s="18" t="s">
        <v>296</v>
      </c>
      <c r="T128" s="18" t="s">
        <v>296</v>
      </c>
      <c r="U128" s="18" t="s">
        <v>296</v>
      </c>
      <c r="V128" s="117" t="s">
        <v>344</v>
      </c>
      <c r="W128" s="117" t="s">
        <v>344</v>
      </c>
    </row>
    <row r="129" spans="1:23" x14ac:dyDescent="0.2">
      <c r="A129" s="91" t="s">
        <v>270</v>
      </c>
      <c r="B129" s="92" t="s">
        <v>278</v>
      </c>
      <c r="C129" s="18" t="s">
        <v>190</v>
      </c>
      <c r="D129" s="18" t="s">
        <v>190</v>
      </c>
      <c r="E129" s="18" t="s">
        <v>190</v>
      </c>
      <c r="F129" s="18" t="s">
        <v>190</v>
      </c>
      <c r="G129" s="18" t="s">
        <v>190</v>
      </c>
      <c r="H129" s="18" t="s">
        <v>190</v>
      </c>
      <c r="I129" s="18" t="s">
        <v>190</v>
      </c>
      <c r="J129" s="18" t="s">
        <v>190</v>
      </c>
      <c r="K129" s="18">
        <v>1100</v>
      </c>
      <c r="L129" s="18">
        <v>1200</v>
      </c>
      <c r="M129" s="18">
        <v>1900</v>
      </c>
      <c r="N129" s="18">
        <v>1100</v>
      </c>
      <c r="O129" s="18">
        <v>1300</v>
      </c>
      <c r="P129" s="18">
        <v>1000</v>
      </c>
      <c r="Q129" s="18">
        <v>2200</v>
      </c>
      <c r="R129" s="18">
        <v>2500</v>
      </c>
      <c r="S129" s="18" t="s">
        <v>194</v>
      </c>
      <c r="T129" s="18" t="s">
        <v>208</v>
      </c>
      <c r="U129" s="18" t="s">
        <v>208</v>
      </c>
      <c r="V129" s="117" t="s">
        <v>344</v>
      </c>
      <c r="W129" s="117" t="s">
        <v>344</v>
      </c>
    </row>
    <row r="130" spans="1:23" x14ac:dyDescent="0.2">
      <c r="A130" s="91" t="s">
        <v>270</v>
      </c>
      <c r="B130" s="92" t="s">
        <v>279</v>
      </c>
      <c r="C130" s="18" t="s">
        <v>190</v>
      </c>
      <c r="D130" s="18" t="s">
        <v>190</v>
      </c>
      <c r="E130" s="18" t="s">
        <v>190</v>
      </c>
      <c r="F130" s="18" t="s">
        <v>190</v>
      </c>
      <c r="G130" s="18" t="s">
        <v>190</v>
      </c>
      <c r="H130" s="18" t="s">
        <v>190</v>
      </c>
      <c r="I130" s="18" t="s">
        <v>190</v>
      </c>
      <c r="J130" s="18" t="s">
        <v>190</v>
      </c>
      <c r="K130" s="18">
        <v>2500</v>
      </c>
      <c r="L130" s="18">
        <v>2400</v>
      </c>
      <c r="M130" s="18">
        <v>1700</v>
      </c>
      <c r="N130" s="18">
        <v>2300</v>
      </c>
      <c r="O130" s="18">
        <v>1600</v>
      </c>
      <c r="P130" s="18">
        <v>1700</v>
      </c>
      <c r="Q130" s="18">
        <v>1900</v>
      </c>
      <c r="R130" s="18">
        <v>3300</v>
      </c>
      <c r="S130" s="18">
        <v>3300</v>
      </c>
      <c r="T130" s="18">
        <v>2500</v>
      </c>
      <c r="U130" s="18">
        <v>3800</v>
      </c>
      <c r="V130" s="117" t="s">
        <v>344</v>
      </c>
      <c r="W130" s="117" t="s">
        <v>344</v>
      </c>
    </row>
    <row r="131" spans="1:23" ht="30" customHeight="1" x14ac:dyDescent="0.2">
      <c r="A131" s="17" t="s">
        <v>263</v>
      </c>
      <c r="B131" s="9" t="s">
        <v>280</v>
      </c>
      <c r="C131" s="18" t="s">
        <v>190</v>
      </c>
      <c r="D131" s="18" t="s">
        <v>190</v>
      </c>
      <c r="E131" s="18" t="s">
        <v>190</v>
      </c>
      <c r="F131" s="18" t="s">
        <v>190</v>
      </c>
      <c r="G131" s="18" t="s">
        <v>190</v>
      </c>
      <c r="H131" s="18" t="s">
        <v>190</v>
      </c>
      <c r="I131" s="21" t="s">
        <v>190</v>
      </c>
      <c r="J131" s="21" t="s">
        <v>190</v>
      </c>
      <c r="K131" s="18">
        <v>388100</v>
      </c>
      <c r="L131" s="18">
        <v>387600</v>
      </c>
      <c r="M131" s="18">
        <v>400800</v>
      </c>
      <c r="N131" s="18">
        <v>392800</v>
      </c>
      <c r="O131" s="18">
        <v>401300</v>
      </c>
      <c r="P131" s="18">
        <v>421800</v>
      </c>
      <c r="Q131" s="18">
        <v>428700</v>
      </c>
      <c r="R131" s="18">
        <v>439700</v>
      </c>
      <c r="S131" s="18">
        <v>405800</v>
      </c>
      <c r="T131" s="18">
        <v>472300</v>
      </c>
      <c r="U131" s="18">
        <v>482500</v>
      </c>
      <c r="V131" s="117" t="s">
        <v>344</v>
      </c>
      <c r="W131" s="117" t="s">
        <v>344</v>
      </c>
    </row>
    <row r="132" spans="1:23" x14ac:dyDescent="0.2">
      <c r="A132" s="17" t="s">
        <v>263</v>
      </c>
      <c r="B132" s="92" t="s">
        <v>264</v>
      </c>
      <c r="C132" s="18" t="s">
        <v>190</v>
      </c>
      <c r="D132" s="18" t="s">
        <v>190</v>
      </c>
      <c r="E132" s="18" t="s">
        <v>190</v>
      </c>
      <c r="F132" s="18" t="s">
        <v>190</v>
      </c>
      <c r="G132" s="18" t="s">
        <v>190</v>
      </c>
      <c r="H132" s="18" t="s">
        <v>190</v>
      </c>
      <c r="I132" s="21" t="s">
        <v>190</v>
      </c>
      <c r="J132" s="21" t="s">
        <v>190</v>
      </c>
      <c r="K132" s="18">
        <v>460500</v>
      </c>
      <c r="L132" s="18">
        <v>464000</v>
      </c>
      <c r="M132" s="18">
        <v>471200</v>
      </c>
      <c r="N132" s="18">
        <v>480700</v>
      </c>
      <c r="O132" s="18">
        <v>478300</v>
      </c>
      <c r="P132" s="18">
        <v>476200</v>
      </c>
      <c r="Q132" s="18">
        <v>506500</v>
      </c>
      <c r="R132" s="18">
        <v>475500</v>
      </c>
      <c r="S132" s="18">
        <v>466600</v>
      </c>
      <c r="T132" s="18">
        <v>490700</v>
      </c>
      <c r="U132" s="18">
        <v>479400</v>
      </c>
      <c r="V132" s="117" t="s">
        <v>344</v>
      </c>
      <c r="W132" s="117" t="s">
        <v>344</v>
      </c>
    </row>
    <row r="133" spans="1:23" x14ac:dyDescent="0.2">
      <c r="A133" s="17" t="s">
        <v>263</v>
      </c>
      <c r="B133" s="92" t="s">
        <v>265</v>
      </c>
      <c r="C133" s="18" t="s">
        <v>190</v>
      </c>
      <c r="D133" s="18" t="s">
        <v>190</v>
      </c>
      <c r="E133" s="18" t="s">
        <v>190</v>
      </c>
      <c r="F133" s="18" t="s">
        <v>190</v>
      </c>
      <c r="G133" s="18" t="s">
        <v>190</v>
      </c>
      <c r="H133" s="18" t="s">
        <v>190</v>
      </c>
      <c r="I133" s="21" t="s">
        <v>190</v>
      </c>
      <c r="J133" s="21" t="s">
        <v>190</v>
      </c>
      <c r="K133" s="18">
        <v>509800</v>
      </c>
      <c r="L133" s="18">
        <v>505300</v>
      </c>
      <c r="M133" s="18">
        <v>519500</v>
      </c>
      <c r="N133" s="18">
        <v>520900</v>
      </c>
      <c r="O133" s="18">
        <v>508900</v>
      </c>
      <c r="P133" s="18">
        <v>529500</v>
      </c>
      <c r="Q133" s="18">
        <v>511700</v>
      </c>
      <c r="R133" s="18">
        <v>538200</v>
      </c>
      <c r="S133" s="18">
        <v>558300</v>
      </c>
      <c r="T133" s="18">
        <v>528000</v>
      </c>
      <c r="U133" s="18">
        <v>522000</v>
      </c>
      <c r="V133" s="117" t="s">
        <v>344</v>
      </c>
      <c r="W133" s="117" t="s">
        <v>344</v>
      </c>
    </row>
    <row r="134" spans="1:23" x14ac:dyDescent="0.2">
      <c r="A134" s="17" t="s">
        <v>263</v>
      </c>
      <c r="B134" s="92" t="s">
        <v>266</v>
      </c>
      <c r="C134" s="18" t="s">
        <v>190</v>
      </c>
      <c r="D134" s="18" t="s">
        <v>190</v>
      </c>
      <c r="E134" s="18" t="s">
        <v>190</v>
      </c>
      <c r="F134" s="18" t="s">
        <v>190</v>
      </c>
      <c r="G134" s="18" t="s">
        <v>190</v>
      </c>
      <c r="H134" s="18" t="s">
        <v>190</v>
      </c>
      <c r="I134" s="21" t="s">
        <v>190</v>
      </c>
      <c r="J134" s="21" t="s">
        <v>190</v>
      </c>
      <c r="K134" s="18">
        <v>543000</v>
      </c>
      <c r="L134" s="18">
        <v>562900</v>
      </c>
      <c r="M134" s="18">
        <v>562700</v>
      </c>
      <c r="N134" s="18">
        <v>596000</v>
      </c>
      <c r="O134" s="18">
        <v>612500</v>
      </c>
      <c r="P134" s="18">
        <v>586700</v>
      </c>
      <c r="Q134" s="18">
        <v>597500</v>
      </c>
      <c r="R134" s="18">
        <v>606200</v>
      </c>
      <c r="S134" s="18">
        <v>588200</v>
      </c>
      <c r="T134" s="18">
        <v>590800</v>
      </c>
      <c r="U134" s="18">
        <v>608400</v>
      </c>
      <c r="V134" s="117" t="s">
        <v>344</v>
      </c>
      <c r="W134" s="117" t="s">
        <v>344</v>
      </c>
    </row>
    <row r="135" spans="1:23" x14ac:dyDescent="0.2">
      <c r="A135" s="17" t="s">
        <v>263</v>
      </c>
      <c r="B135" s="92" t="s">
        <v>281</v>
      </c>
      <c r="C135" s="18" t="s">
        <v>190</v>
      </c>
      <c r="D135" s="18" t="s">
        <v>190</v>
      </c>
      <c r="E135" s="18" t="s">
        <v>190</v>
      </c>
      <c r="F135" s="18" t="s">
        <v>190</v>
      </c>
      <c r="G135" s="18" t="s">
        <v>190</v>
      </c>
      <c r="H135" s="18" t="s">
        <v>190</v>
      </c>
      <c r="I135" s="21" t="s">
        <v>190</v>
      </c>
      <c r="J135" s="21" t="s">
        <v>190</v>
      </c>
      <c r="K135" s="18">
        <v>580500</v>
      </c>
      <c r="L135" s="18">
        <v>575200</v>
      </c>
      <c r="M135" s="18">
        <v>604600</v>
      </c>
      <c r="N135" s="18">
        <v>592500</v>
      </c>
      <c r="O135" s="18">
        <v>595300</v>
      </c>
      <c r="P135" s="18">
        <v>624700</v>
      </c>
      <c r="Q135" s="18">
        <v>594000</v>
      </c>
      <c r="R135" s="18">
        <v>604200</v>
      </c>
      <c r="S135" s="18">
        <v>594500</v>
      </c>
      <c r="T135" s="18">
        <v>520000</v>
      </c>
      <c r="U135" s="18">
        <v>551600</v>
      </c>
      <c r="V135" s="117" t="s">
        <v>344</v>
      </c>
      <c r="W135" s="117" t="s">
        <v>344</v>
      </c>
    </row>
  </sheetData>
  <phoneticPr fontId="44" type="noConversion"/>
  <hyperlinks>
    <hyperlink ref="A12" location="Contents!A1" display="This cell contains a hyperlink to the Table of Contents" xr:uid="{00000000-0004-0000-0B00-000000000000}"/>
    <hyperlink ref="A9" r:id="rId1" xr:uid="{7E28D7B0-2C8B-4174-AC9D-2284CD6B80E9}"/>
    <hyperlink ref="A10" r:id="rId2" xr:uid="{4BCECADE-7B28-4B25-8229-EAD115BBA9F2}"/>
  </hyperlinks>
  <pageMargins left="0.7" right="0.7" top="0.75" bottom="0.75" header="0.3" footer="0.3"/>
  <pageSetup paperSize="9" scale="22" orientation="portrait" r:id="rId3"/>
  <ignoredErrors>
    <ignoredError sqref="C16:S16 T16:U16" formulaRange="1"/>
  </ignoredErrors>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X256"/>
  <sheetViews>
    <sheetView showGridLines="0" zoomScaleNormal="100" workbookViewId="0"/>
  </sheetViews>
  <sheetFormatPr defaultColWidth="9.140625" defaultRowHeight="15" x14ac:dyDescent="0.2"/>
  <cols>
    <col min="1" max="1" width="32.5703125" style="13" customWidth="1"/>
    <col min="2" max="2" width="56" style="9" bestFit="1" customWidth="1"/>
    <col min="3" max="3" width="49.85546875" style="14" bestFit="1" customWidth="1"/>
    <col min="4" max="18" width="11.42578125" style="14" customWidth="1"/>
    <col min="19" max="22" width="11.42578125" style="13" customWidth="1"/>
    <col min="23" max="23" width="17.42578125" style="13" bestFit="1" customWidth="1"/>
    <col min="24" max="24" width="17.42578125" style="13" customWidth="1"/>
    <col min="25" max="16384" width="9.140625" style="13"/>
  </cols>
  <sheetData>
    <row r="1" spans="1:24" ht="20.25" x14ac:dyDescent="0.3">
      <c r="A1" s="22" t="s">
        <v>329</v>
      </c>
      <c r="B1" s="13"/>
    </row>
    <row r="2" spans="1:24" x14ac:dyDescent="0.2">
      <c r="A2" s="9" t="s">
        <v>152</v>
      </c>
      <c r="B2" s="13"/>
    </row>
    <row r="3" spans="1:24" x14ac:dyDescent="0.2">
      <c r="A3" s="9" t="s">
        <v>258</v>
      </c>
      <c r="B3" s="13"/>
    </row>
    <row r="4" spans="1:24" x14ac:dyDescent="0.2">
      <c r="A4" s="9" t="s">
        <v>297</v>
      </c>
      <c r="B4" s="13"/>
    </row>
    <row r="5" spans="1:24" x14ac:dyDescent="0.2">
      <c r="A5" s="9" t="s">
        <v>302</v>
      </c>
      <c r="B5" s="13"/>
    </row>
    <row r="6" spans="1:24" x14ac:dyDescent="0.2">
      <c r="A6" s="9" t="s">
        <v>323</v>
      </c>
      <c r="B6" s="13"/>
      <c r="S6" s="14"/>
    </row>
    <row r="7" spans="1:24" ht="15" customHeight="1" x14ac:dyDescent="0.2">
      <c r="A7" s="9" t="s">
        <v>204</v>
      </c>
      <c r="B7" s="13"/>
    </row>
    <row r="8" spans="1:24" x14ac:dyDescent="0.2">
      <c r="A8" s="3" t="s">
        <v>310</v>
      </c>
      <c r="B8" s="13"/>
    </row>
    <row r="9" spans="1:24" x14ac:dyDescent="0.2">
      <c r="A9" s="111" t="s">
        <v>312</v>
      </c>
      <c r="B9" s="13"/>
    </row>
    <row r="10" spans="1:24" s="27" customFormat="1" x14ac:dyDescent="0.25">
      <c r="A10" s="26" t="s">
        <v>154</v>
      </c>
      <c r="C10" s="28"/>
      <c r="D10" s="132"/>
      <c r="E10" s="132"/>
      <c r="F10" s="132"/>
      <c r="G10" s="132"/>
      <c r="H10" s="132"/>
      <c r="I10" s="132"/>
      <c r="J10" s="132"/>
      <c r="K10" s="132"/>
      <c r="L10" s="132"/>
      <c r="M10" s="132"/>
      <c r="N10" s="132"/>
      <c r="O10" s="132"/>
      <c r="P10" s="132"/>
      <c r="Q10" s="132"/>
      <c r="R10" s="132"/>
      <c r="S10" s="132"/>
      <c r="T10" s="132"/>
      <c r="U10" s="132"/>
      <c r="V10" s="132"/>
      <c r="W10" s="132"/>
    </row>
    <row r="11" spans="1:24" s="27" customFormat="1" ht="30" customHeight="1" x14ac:dyDescent="0.25">
      <c r="A11" s="35" t="s">
        <v>232</v>
      </c>
      <c r="C11" s="28"/>
      <c r="D11" s="132"/>
      <c r="E11" s="132"/>
      <c r="F11" s="132"/>
      <c r="G11" s="132"/>
      <c r="H11" s="132"/>
      <c r="I11" s="132"/>
      <c r="J11" s="132"/>
      <c r="K11" s="132"/>
      <c r="L11" s="132"/>
      <c r="M11" s="132"/>
      <c r="N11" s="132"/>
      <c r="O11" s="132"/>
      <c r="P11" s="132"/>
      <c r="Q11" s="132"/>
      <c r="R11" s="132"/>
      <c r="S11" s="132"/>
      <c r="T11" s="132"/>
      <c r="U11" s="132"/>
      <c r="V11" s="132"/>
      <c r="W11" s="132"/>
    </row>
    <row r="12" spans="1:24" ht="15.75" customHeight="1" x14ac:dyDescent="0.25">
      <c r="A12" s="23" t="s">
        <v>193</v>
      </c>
      <c r="B12" s="23" t="s">
        <v>156</v>
      </c>
      <c r="C12" s="23" t="s">
        <v>157</v>
      </c>
      <c r="D12" s="24" t="s">
        <v>164</v>
      </c>
      <c r="E12" s="24" t="s">
        <v>165</v>
      </c>
      <c r="F12" s="24" t="s">
        <v>166</v>
      </c>
      <c r="G12" s="24" t="s">
        <v>167</v>
      </c>
      <c r="H12" s="24" t="s">
        <v>168</v>
      </c>
      <c r="I12" s="24" t="s">
        <v>169</v>
      </c>
      <c r="J12" s="24" t="s">
        <v>170</v>
      </c>
      <c r="K12" s="24" t="s">
        <v>171</v>
      </c>
      <c r="L12" s="24" t="s">
        <v>172</v>
      </c>
      <c r="M12" s="24" t="s">
        <v>173</v>
      </c>
      <c r="N12" s="24" t="s">
        <v>174</v>
      </c>
      <c r="O12" s="24" t="s">
        <v>175</v>
      </c>
      <c r="P12" s="24" t="s">
        <v>176</v>
      </c>
      <c r="Q12" s="24" t="s">
        <v>177</v>
      </c>
      <c r="R12" s="24" t="s">
        <v>123</v>
      </c>
      <c r="S12" s="25" t="s">
        <v>150</v>
      </c>
      <c r="T12" s="24" t="s">
        <v>187</v>
      </c>
      <c r="U12" s="24" t="s">
        <v>189</v>
      </c>
      <c r="V12" s="24" t="s">
        <v>257</v>
      </c>
      <c r="W12" s="24" t="s">
        <v>316</v>
      </c>
      <c r="X12" s="24" t="s">
        <v>337</v>
      </c>
    </row>
    <row r="13" spans="1:24" ht="15.75" customHeight="1" x14ac:dyDescent="0.2">
      <c r="A13" s="30" t="s">
        <v>206</v>
      </c>
      <c r="B13" s="17" t="s">
        <v>178</v>
      </c>
      <c r="C13" s="17" t="s">
        <v>48</v>
      </c>
      <c r="D13" s="29">
        <v>0.72499999999999998</v>
      </c>
      <c r="E13" s="29">
        <v>0.72499999999999998</v>
      </c>
      <c r="F13" s="29">
        <v>0.72400000000000009</v>
      </c>
      <c r="G13" s="29">
        <v>0.72400000000000009</v>
      </c>
      <c r="H13" s="29">
        <v>0.72099999999999997</v>
      </c>
      <c r="I13" s="29">
        <v>0.70599999999999996</v>
      </c>
      <c r="J13" s="29">
        <v>0.70099999999999996</v>
      </c>
      <c r="K13" s="29">
        <v>0.69799999999999995</v>
      </c>
      <c r="L13" s="29">
        <v>0.70499999999999996</v>
      </c>
      <c r="M13" s="29">
        <v>0.71200000000000008</v>
      </c>
      <c r="N13" s="29">
        <v>0.72299999999999998</v>
      </c>
      <c r="O13" s="29">
        <v>0.7340000000000001</v>
      </c>
      <c r="P13" s="29">
        <v>0.73799999999999999</v>
      </c>
      <c r="Q13" s="29">
        <v>0.747</v>
      </c>
      <c r="R13" s="29">
        <v>0.75</v>
      </c>
      <c r="S13" s="29">
        <v>0.75599999999999989</v>
      </c>
      <c r="T13" s="29">
        <v>0.75099999999999989</v>
      </c>
      <c r="U13" s="29">
        <v>0.747</v>
      </c>
      <c r="V13" s="29">
        <v>0.755</v>
      </c>
      <c r="W13" s="65">
        <v>0.75700000000000001</v>
      </c>
      <c r="X13" s="65">
        <v>0.753</v>
      </c>
    </row>
    <row r="14" spans="1:24" ht="15.75" customHeight="1" x14ac:dyDescent="0.2">
      <c r="A14" s="30" t="s">
        <v>206</v>
      </c>
      <c r="B14" s="17" t="s">
        <v>178</v>
      </c>
      <c r="C14" s="17" t="s">
        <v>1</v>
      </c>
      <c r="D14" s="29">
        <v>0.72599999999999998</v>
      </c>
      <c r="E14" s="29">
        <v>0.73</v>
      </c>
      <c r="F14" s="29">
        <v>0.73699999999999999</v>
      </c>
      <c r="G14" s="29">
        <v>0.7390000000000001</v>
      </c>
      <c r="H14" s="29">
        <v>0.73599999999999999</v>
      </c>
      <c r="I14" s="29">
        <v>0.72</v>
      </c>
      <c r="J14" s="29">
        <v>0.71</v>
      </c>
      <c r="K14" s="29">
        <v>0.70499999999999996</v>
      </c>
      <c r="L14" s="29">
        <v>0.70499999999999996</v>
      </c>
      <c r="M14" s="29">
        <v>0.70799999999999996</v>
      </c>
      <c r="N14" s="29">
        <v>0.72599999999999998</v>
      </c>
      <c r="O14" s="29">
        <v>0.73099999999999998</v>
      </c>
      <c r="P14" s="29">
        <v>0.73</v>
      </c>
      <c r="Q14" s="29">
        <v>0.74199999999999999</v>
      </c>
      <c r="R14" s="29">
        <v>0.74099999999999999</v>
      </c>
      <c r="S14" s="29">
        <v>0.748</v>
      </c>
      <c r="T14" s="29">
        <v>0.7340000000000001</v>
      </c>
      <c r="U14" s="29">
        <v>0.73199999999999998</v>
      </c>
      <c r="V14" s="29">
        <v>0.74400000000000011</v>
      </c>
      <c r="W14" s="65">
        <v>0.747</v>
      </c>
      <c r="X14" s="65">
        <v>0.74199999999999999</v>
      </c>
    </row>
    <row r="15" spans="1:24" ht="31.5" customHeight="1" x14ac:dyDescent="0.2">
      <c r="A15" s="30" t="s">
        <v>206</v>
      </c>
      <c r="B15" s="17" t="s">
        <v>179</v>
      </c>
      <c r="C15" s="17" t="s">
        <v>35</v>
      </c>
      <c r="D15" s="29">
        <v>0.7609999999999999</v>
      </c>
      <c r="E15" s="29">
        <v>0.77800000000000002</v>
      </c>
      <c r="F15" s="29">
        <v>0.79599999999999993</v>
      </c>
      <c r="G15" s="29">
        <v>0.79200000000000004</v>
      </c>
      <c r="H15" s="29">
        <v>0.79099999999999993</v>
      </c>
      <c r="I15" s="29">
        <v>0.79400000000000004</v>
      </c>
      <c r="J15" s="29">
        <v>0.79799999999999993</v>
      </c>
      <c r="K15" s="29">
        <v>0.77400000000000002</v>
      </c>
      <c r="L15" s="29">
        <v>0.78599999999999992</v>
      </c>
      <c r="M15" s="29">
        <v>0.77599999999999991</v>
      </c>
      <c r="N15" s="29">
        <v>0.78</v>
      </c>
      <c r="O15" s="29">
        <v>0.78700000000000003</v>
      </c>
      <c r="P15" s="29">
        <v>0.74299999999999999</v>
      </c>
      <c r="Q15" s="29">
        <v>0.79299999999999993</v>
      </c>
      <c r="R15" s="29">
        <v>0.77300000000000002</v>
      </c>
      <c r="S15" s="29">
        <v>0.8</v>
      </c>
      <c r="T15" s="29">
        <v>0.75700000000000001</v>
      </c>
      <c r="U15" s="29">
        <v>0.755</v>
      </c>
      <c r="V15" s="29">
        <v>0.748</v>
      </c>
      <c r="W15" s="117" t="s">
        <v>344</v>
      </c>
      <c r="X15" s="117" t="s">
        <v>344</v>
      </c>
    </row>
    <row r="16" spans="1:24" ht="15.75" customHeight="1" x14ac:dyDescent="0.2">
      <c r="A16" s="30" t="s">
        <v>206</v>
      </c>
      <c r="B16" s="17" t="s">
        <v>179</v>
      </c>
      <c r="C16" s="17" t="s">
        <v>36</v>
      </c>
      <c r="D16" s="29">
        <v>0.68900000000000006</v>
      </c>
      <c r="E16" s="29">
        <v>0.69200000000000006</v>
      </c>
      <c r="F16" s="29">
        <v>0.7</v>
      </c>
      <c r="G16" s="29">
        <v>0.70499999999999996</v>
      </c>
      <c r="H16" s="29">
        <v>0.69700000000000006</v>
      </c>
      <c r="I16" s="29">
        <v>0.68299999999999994</v>
      </c>
      <c r="J16" s="29">
        <v>0.67200000000000004</v>
      </c>
      <c r="K16" s="29">
        <v>0.67500000000000004</v>
      </c>
      <c r="L16" s="29">
        <v>0.67</v>
      </c>
      <c r="M16" s="29">
        <v>0.68099999999999994</v>
      </c>
      <c r="N16" s="29">
        <v>0.69299999999999995</v>
      </c>
      <c r="O16" s="29">
        <v>0.70799999999999996</v>
      </c>
      <c r="P16" s="29">
        <v>0.72199999999999998</v>
      </c>
      <c r="Q16" s="29">
        <v>0.71299999999999997</v>
      </c>
      <c r="R16" s="29">
        <v>0.71200000000000008</v>
      </c>
      <c r="S16" s="29">
        <v>0.72199999999999998</v>
      </c>
      <c r="T16" s="29">
        <v>0.72199999999999998</v>
      </c>
      <c r="U16" s="29">
        <v>0.71700000000000008</v>
      </c>
      <c r="V16" s="29">
        <v>0.73299999999999998</v>
      </c>
      <c r="W16" s="117" t="s">
        <v>344</v>
      </c>
      <c r="X16" s="117" t="s">
        <v>344</v>
      </c>
    </row>
    <row r="17" spans="1:24" ht="15.75" customHeight="1" x14ac:dyDescent="0.2">
      <c r="A17" s="30" t="s">
        <v>206</v>
      </c>
      <c r="B17" s="17" t="s">
        <v>179</v>
      </c>
      <c r="C17" s="17" t="s">
        <v>37</v>
      </c>
      <c r="D17" s="29">
        <v>0.753</v>
      </c>
      <c r="E17" s="29">
        <v>0.75099999999999989</v>
      </c>
      <c r="F17" s="29">
        <v>0.754</v>
      </c>
      <c r="G17" s="29">
        <v>0.754</v>
      </c>
      <c r="H17" s="29">
        <v>0.753</v>
      </c>
      <c r="I17" s="29">
        <v>0.72599999999999998</v>
      </c>
      <c r="J17" s="29">
        <v>0.71099999999999997</v>
      </c>
      <c r="K17" s="29">
        <v>0.71599999999999997</v>
      </c>
      <c r="L17" s="29">
        <v>0.72199999999999998</v>
      </c>
      <c r="M17" s="29">
        <v>0.71599999999999997</v>
      </c>
      <c r="N17" s="29">
        <v>0.748</v>
      </c>
      <c r="O17" s="29">
        <v>0.73499999999999999</v>
      </c>
      <c r="P17" s="29">
        <v>0.72900000000000009</v>
      </c>
      <c r="Q17" s="29">
        <v>0.76</v>
      </c>
      <c r="R17" s="29">
        <v>0.7659999999999999</v>
      </c>
      <c r="S17" s="29">
        <v>0.75800000000000001</v>
      </c>
      <c r="T17" s="29">
        <v>0.7390000000000001</v>
      </c>
      <c r="U17" s="29">
        <v>0.748</v>
      </c>
      <c r="V17" s="29">
        <v>0.77599999999999991</v>
      </c>
      <c r="W17" s="117" t="s">
        <v>344</v>
      </c>
      <c r="X17" s="117" t="s">
        <v>344</v>
      </c>
    </row>
    <row r="18" spans="1:24" ht="15.75" customHeight="1" x14ac:dyDescent="0.2">
      <c r="A18" s="30" t="s">
        <v>206</v>
      </c>
      <c r="B18" s="17" t="s">
        <v>179</v>
      </c>
      <c r="C18" s="17" t="s">
        <v>236</v>
      </c>
      <c r="D18" s="29">
        <v>0.73599999999999999</v>
      </c>
      <c r="E18" s="29">
        <v>0.73199999999999998</v>
      </c>
      <c r="F18" s="29">
        <v>0.74099999999999999</v>
      </c>
      <c r="G18" s="29">
        <v>0.74</v>
      </c>
      <c r="H18" s="29">
        <v>0.747</v>
      </c>
      <c r="I18" s="29">
        <v>0.72400000000000009</v>
      </c>
      <c r="J18" s="29">
        <v>0.72099999999999997</v>
      </c>
      <c r="K18" s="29">
        <v>0.70700000000000007</v>
      </c>
      <c r="L18" s="29">
        <v>0.70099999999999996</v>
      </c>
      <c r="M18" s="29">
        <v>0.71799999999999997</v>
      </c>
      <c r="N18" s="29">
        <v>0.72599999999999998</v>
      </c>
      <c r="O18" s="29">
        <v>0.72699999999999998</v>
      </c>
      <c r="P18" s="29">
        <v>0.74</v>
      </c>
      <c r="Q18" s="29">
        <v>0.74199999999999999</v>
      </c>
      <c r="R18" s="29">
        <v>0.74400000000000011</v>
      </c>
      <c r="S18" s="29">
        <v>0.73799999999999999</v>
      </c>
      <c r="T18" s="29">
        <v>0.746</v>
      </c>
      <c r="U18" s="29">
        <v>0.75</v>
      </c>
      <c r="V18" s="29">
        <v>0.747</v>
      </c>
      <c r="W18" s="117" t="s">
        <v>344</v>
      </c>
      <c r="X18" s="117" t="s">
        <v>344</v>
      </c>
    </row>
    <row r="19" spans="1:24" ht="15.75" customHeight="1" x14ac:dyDescent="0.2">
      <c r="A19" s="30" t="s">
        <v>206</v>
      </c>
      <c r="B19" s="17" t="s">
        <v>179</v>
      </c>
      <c r="C19" s="17" t="s">
        <v>38</v>
      </c>
      <c r="D19" s="29">
        <v>0.73299999999999998</v>
      </c>
      <c r="E19" s="29">
        <v>0.73599999999999999</v>
      </c>
      <c r="F19" s="29">
        <v>0.74099999999999999</v>
      </c>
      <c r="G19" s="29">
        <v>0.73699999999999999</v>
      </c>
      <c r="H19" s="29">
        <v>0.74</v>
      </c>
      <c r="I19" s="29">
        <v>0.71799999999999997</v>
      </c>
      <c r="J19" s="29">
        <v>0.71700000000000008</v>
      </c>
      <c r="K19" s="29">
        <v>0.70700000000000007</v>
      </c>
      <c r="L19" s="29">
        <v>0.70400000000000007</v>
      </c>
      <c r="M19" s="29">
        <v>0.69499999999999995</v>
      </c>
      <c r="N19" s="29">
        <v>0.71700000000000008</v>
      </c>
      <c r="O19" s="29">
        <v>0.72400000000000009</v>
      </c>
      <c r="P19" s="29">
        <v>0.72900000000000009</v>
      </c>
      <c r="Q19" s="29">
        <v>0.73299999999999998</v>
      </c>
      <c r="R19" s="29">
        <v>0.74199999999999999</v>
      </c>
      <c r="S19" s="29">
        <v>0.748</v>
      </c>
      <c r="T19" s="29">
        <v>0.71900000000000008</v>
      </c>
      <c r="U19" s="29">
        <v>0.71599999999999997</v>
      </c>
      <c r="V19" s="29">
        <v>0.73799999999999999</v>
      </c>
      <c r="W19" s="117" t="s">
        <v>344</v>
      </c>
      <c r="X19" s="117" t="s">
        <v>344</v>
      </c>
    </row>
    <row r="20" spans="1:24" ht="15.75" customHeight="1" x14ac:dyDescent="0.2">
      <c r="A20" s="30" t="s">
        <v>206</v>
      </c>
      <c r="B20" s="17" t="s">
        <v>179</v>
      </c>
      <c r="C20" s="17" t="s">
        <v>121</v>
      </c>
      <c r="D20" s="29">
        <v>0.79</v>
      </c>
      <c r="E20" s="29">
        <v>0.78099999999999992</v>
      </c>
      <c r="F20" s="29">
        <v>0.78299999999999992</v>
      </c>
      <c r="G20" s="29">
        <v>0.79200000000000004</v>
      </c>
      <c r="H20" s="29">
        <v>0.79</v>
      </c>
      <c r="I20" s="29">
        <v>0.79200000000000004</v>
      </c>
      <c r="J20" s="29">
        <v>0.77900000000000003</v>
      </c>
      <c r="K20" s="29">
        <v>0.76300000000000001</v>
      </c>
      <c r="L20" s="29">
        <v>0.75700000000000001</v>
      </c>
      <c r="M20" s="29">
        <v>0.75700000000000001</v>
      </c>
      <c r="N20" s="29">
        <v>0.77800000000000002</v>
      </c>
      <c r="O20" s="29">
        <v>0.78900000000000003</v>
      </c>
      <c r="P20" s="29">
        <v>0.77900000000000003</v>
      </c>
      <c r="Q20" s="29">
        <v>0.79200000000000004</v>
      </c>
      <c r="R20" s="29">
        <v>0.78900000000000003</v>
      </c>
      <c r="S20" s="29">
        <v>0.77700000000000002</v>
      </c>
      <c r="T20" s="29">
        <v>0.77200000000000002</v>
      </c>
      <c r="U20" s="29">
        <v>0.73</v>
      </c>
      <c r="V20" s="29">
        <v>0.746</v>
      </c>
      <c r="W20" s="117" t="s">
        <v>344</v>
      </c>
      <c r="X20" s="117" t="s">
        <v>344</v>
      </c>
    </row>
    <row r="21" spans="1:24" ht="15.75" customHeight="1" x14ac:dyDescent="0.2">
      <c r="A21" s="30" t="s">
        <v>206</v>
      </c>
      <c r="B21" s="17" t="s">
        <v>179</v>
      </c>
      <c r="C21" s="17" t="s">
        <v>39</v>
      </c>
      <c r="D21" s="29">
        <v>0.68400000000000005</v>
      </c>
      <c r="E21" s="29">
        <v>0.69499999999999995</v>
      </c>
      <c r="F21" s="29">
        <v>0.70200000000000007</v>
      </c>
      <c r="G21" s="29">
        <v>0.71200000000000008</v>
      </c>
      <c r="H21" s="29">
        <v>0.71099999999999997</v>
      </c>
      <c r="I21" s="29">
        <v>0.67400000000000004</v>
      </c>
      <c r="J21" s="29">
        <v>0.66900000000000004</v>
      </c>
      <c r="K21" s="29">
        <v>0.64400000000000002</v>
      </c>
      <c r="L21" s="29">
        <v>0.66</v>
      </c>
      <c r="M21" s="29">
        <v>0.66299999999999992</v>
      </c>
      <c r="N21" s="29">
        <v>0.70299999999999996</v>
      </c>
      <c r="O21" s="29">
        <v>0.68599999999999994</v>
      </c>
      <c r="P21" s="29">
        <v>0.67099999999999993</v>
      </c>
      <c r="Q21" s="29">
        <v>0.70700000000000007</v>
      </c>
      <c r="R21" s="29">
        <v>0.69700000000000006</v>
      </c>
      <c r="S21" s="29">
        <v>0.72799999999999998</v>
      </c>
      <c r="T21" s="29">
        <v>0.70700000000000007</v>
      </c>
      <c r="U21" s="29">
        <v>0.69400000000000006</v>
      </c>
      <c r="V21" s="29">
        <v>0.71</v>
      </c>
      <c r="W21" s="117" t="s">
        <v>344</v>
      </c>
      <c r="X21" s="117" t="s">
        <v>344</v>
      </c>
    </row>
    <row r="22" spans="1:24" ht="15.75" customHeight="1" x14ac:dyDescent="0.2">
      <c r="A22" s="30" t="s">
        <v>206</v>
      </c>
      <c r="B22" s="17" t="s">
        <v>179</v>
      </c>
      <c r="C22" s="17" t="s">
        <v>40</v>
      </c>
      <c r="D22" s="29">
        <v>0.76400000000000001</v>
      </c>
      <c r="E22" s="29">
        <v>0.7609999999999999</v>
      </c>
      <c r="F22" s="29">
        <v>0.77099999999999991</v>
      </c>
      <c r="G22" s="29">
        <v>0.76200000000000001</v>
      </c>
      <c r="H22" s="29">
        <v>0.755</v>
      </c>
      <c r="I22" s="29">
        <v>0.746</v>
      </c>
      <c r="J22" s="29">
        <v>0.71799999999999997</v>
      </c>
      <c r="K22" s="29">
        <v>0.70799999999999996</v>
      </c>
      <c r="L22" s="29">
        <v>0.69499999999999995</v>
      </c>
      <c r="M22" s="29">
        <v>0.72199999999999998</v>
      </c>
      <c r="N22" s="29">
        <v>0.746</v>
      </c>
      <c r="O22" s="29">
        <v>0.75700000000000001</v>
      </c>
      <c r="P22" s="29">
        <v>0.74400000000000011</v>
      </c>
      <c r="Q22" s="29">
        <v>0.75800000000000001</v>
      </c>
      <c r="R22" s="29">
        <v>0.73</v>
      </c>
      <c r="S22" s="29">
        <v>0.75599999999999989</v>
      </c>
      <c r="T22" s="29">
        <v>0.73</v>
      </c>
      <c r="U22" s="29">
        <v>0.69799999999999995</v>
      </c>
      <c r="V22" s="29">
        <v>0.72599999999999998</v>
      </c>
      <c r="W22" s="117" t="s">
        <v>344</v>
      </c>
      <c r="X22" s="117" t="s">
        <v>344</v>
      </c>
    </row>
    <row r="23" spans="1:24" ht="31.5" customHeight="1" x14ac:dyDescent="0.2">
      <c r="A23" s="30" t="s">
        <v>206</v>
      </c>
      <c r="B23" s="17" t="s">
        <v>180</v>
      </c>
      <c r="C23" s="17" t="s">
        <v>41</v>
      </c>
      <c r="D23" s="29">
        <v>0.78200000000000003</v>
      </c>
      <c r="E23" s="29">
        <v>0.78200000000000003</v>
      </c>
      <c r="F23" s="29">
        <v>0.79500000000000004</v>
      </c>
      <c r="G23" s="29">
        <v>0.79500000000000004</v>
      </c>
      <c r="H23" s="29">
        <v>0.78299999999999992</v>
      </c>
      <c r="I23" s="29">
        <v>0.76200000000000001</v>
      </c>
      <c r="J23" s="29">
        <v>0.747</v>
      </c>
      <c r="K23" s="29">
        <v>0.72099999999999997</v>
      </c>
      <c r="L23" s="29">
        <v>0.73299999999999998</v>
      </c>
      <c r="M23" s="29">
        <v>0.76500000000000001</v>
      </c>
      <c r="N23" s="29">
        <v>0.79200000000000004</v>
      </c>
      <c r="O23" s="29">
        <v>0.79299999999999993</v>
      </c>
      <c r="P23" s="29">
        <v>0.80599999999999994</v>
      </c>
      <c r="Q23" s="29">
        <v>0.79299999999999993</v>
      </c>
      <c r="R23" s="29">
        <v>0.79299999999999993</v>
      </c>
      <c r="S23" s="29">
        <v>0.78099999999999992</v>
      </c>
      <c r="T23" s="29">
        <v>0.77400000000000002</v>
      </c>
      <c r="U23" s="29">
        <v>0.752</v>
      </c>
      <c r="V23" s="65">
        <v>0.78200000000000003</v>
      </c>
      <c r="W23" s="117" t="s">
        <v>344</v>
      </c>
      <c r="X23" s="117" t="s">
        <v>344</v>
      </c>
    </row>
    <row r="24" spans="1:24" ht="15.75" customHeight="1" x14ac:dyDescent="0.2">
      <c r="A24" s="30" t="s">
        <v>206</v>
      </c>
      <c r="B24" s="17" t="s">
        <v>180</v>
      </c>
      <c r="C24" s="17" t="s">
        <v>42</v>
      </c>
      <c r="D24" s="29">
        <v>0.75599999999999989</v>
      </c>
      <c r="E24" s="29">
        <v>0.755</v>
      </c>
      <c r="F24" s="29">
        <v>0.76500000000000001</v>
      </c>
      <c r="G24" s="29">
        <v>0.7659999999999999</v>
      </c>
      <c r="H24" s="29">
        <v>0.7659999999999999</v>
      </c>
      <c r="I24" s="29">
        <v>0.75900000000000001</v>
      </c>
      <c r="J24" s="29">
        <v>0.75</v>
      </c>
      <c r="K24" s="29">
        <v>0.73699999999999999</v>
      </c>
      <c r="L24" s="29">
        <v>0.7390000000000001</v>
      </c>
      <c r="M24" s="29">
        <v>0.74199999999999999</v>
      </c>
      <c r="N24" s="29">
        <v>0.752</v>
      </c>
      <c r="O24" s="29">
        <v>0.7659999999999999</v>
      </c>
      <c r="P24" s="29">
        <v>0.74900000000000011</v>
      </c>
      <c r="Q24" s="29">
        <v>0.77099999999999991</v>
      </c>
      <c r="R24" s="29">
        <v>0.76300000000000001</v>
      </c>
      <c r="S24" s="29">
        <v>0.77700000000000002</v>
      </c>
      <c r="T24" s="29">
        <v>0.754</v>
      </c>
      <c r="U24" s="29">
        <v>0.73299999999999998</v>
      </c>
      <c r="V24" s="65">
        <v>0.73799999999999999</v>
      </c>
      <c r="W24" s="117" t="s">
        <v>344</v>
      </c>
      <c r="X24" s="117" t="s">
        <v>344</v>
      </c>
    </row>
    <row r="25" spans="1:24" ht="15.75" customHeight="1" x14ac:dyDescent="0.2">
      <c r="A25" s="30" t="s">
        <v>206</v>
      </c>
      <c r="B25" s="17" t="s">
        <v>180</v>
      </c>
      <c r="C25" s="17" t="s">
        <v>43</v>
      </c>
      <c r="D25" s="29">
        <v>0.73</v>
      </c>
      <c r="E25" s="29">
        <v>0.72699999999999998</v>
      </c>
      <c r="F25" s="29">
        <v>0.7390000000000001</v>
      </c>
      <c r="G25" s="29">
        <v>0.73799999999999999</v>
      </c>
      <c r="H25" s="29">
        <v>0.73199999999999998</v>
      </c>
      <c r="I25" s="29">
        <v>0.71499999999999997</v>
      </c>
      <c r="J25" s="29">
        <v>0.70400000000000007</v>
      </c>
      <c r="K25" s="29">
        <v>0.70099999999999996</v>
      </c>
      <c r="L25" s="29">
        <v>0.70900000000000007</v>
      </c>
      <c r="M25" s="29">
        <v>0.70599999999999996</v>
      </c>
      <c r="N25" s="29">
        <v>0.72900000000000009</v>
      </c>
      <c r="O25" s="29">
        <v>0.72599999999999998</v>
      </c>
      <c r="P25" s="29">
        <v>0.7390000000000001</v>
      </c>
      <c r="Q25" s="29">
        <v>0.746</v>
      </c>
      <c r="R25" s="29">
        <v>0.75</v>
      </c>
      <c r="S25" s="29">
        <v>0.74900000000000011</v>
      </c>
      <c r="T25" s="29">
        <v>0.73099999999999998</v>
      </c>
      <c r="U25" s="29">
        <v>0.72400000000000009</v>
      </c>
      <c r="V25" s="65">
        <v>0.748</v>
      </c>
      <c r="W25" s="117" t="s">
        <v>344</v>
      </c>
      <c r="X25" s="117" t="s">
        <v>344</v>
      </c>
    </row>
    <row r="26" spans="1:24" ht="15.75" customHeight="1" x14ac:dyDescent="0.2">
      <c r="A26" s="30" t="s">
        <v>206</v>
      </c>
      <c r="B26" s="17" t="s">
        <v>180</v>
      </c>
      <c r="C26" s="17" t="s">
        <v>44</v>
      </c>
      <c r="D26" s="29">
        <v>0.68599999999999994</v>
      </c>
      <c r="E26" s="29">
        <v>0.70299999999999996</v>
      </c>
      <c r="F26" s="29">
        <v>0.70099999999999996</v>
      </c>
      <c r="G26" s="29">
        <v>0.70700000000000007</v>
      </c>
      <c r="H26" s="29">
        <v>0.70499999999999996</v>
      </c>
      <c r="I26" s="29">
        <v>0.68400000000000005</v>
      </c>
      <c r="J26" s="29">
        <v>0.67599999999999993</v>
      </c>
      <c r="K26" s="29">
        <v>0.67900000000000005</v>
      </c>
      <c r="L26" s="29">
        <v>0.66700000000000004</v>
      </c>
      <c r="M26" s="29">
        <v>0.67400000000000004</v>
      </c>
      <c r="N26" s="29">
        <v>0.69</v>
      </c>
      <c r="O26" s="29">
        <v>0.7</v>
      </c>
      <c r="P26" s="29">
        <v>0.69200000000000006</v>
      </c>
      <c r="Q26" s="29">
        <v>0.70700000000000007</v>
      </c>
      <c r="R26" s="29">
        <v>0.70299999999999996</v>
      </c>
      <c r="S26" s="29">
        <v>0.71900000000000008</v>
      </c>
      <c r="T26" s="29">
        <v>0.71700000000000008</v>
      </c>
      <c r="U26" s="29">
        <v>0.7390000000000001</v>
      </c>
      <c r="V26" s="65">
        <v>0.74099999999999999</v>
      </c>
      <c r="W26" s="117" t="s">
        <v>344</v>
      </c>
      <c r="X26" s="117" t="s">
        <v>344</v>
      </c>
    </row>
    <row r="27" spans="1:24" ht="31.5" customHeight="1" x14ac:dyDescent="0.2">
      <c r="A27" s="30" t="s">
        <v>206</v>
      </c>
      <c r="B27" s="17" t="s">
        <v>181</v>
      </c>
      <c r="C27" s="17" t="s">
        <v>45</v>
      </c>
      <c r="D27" s="29">
        <f>D20</f>
        <v>0.79</v>
      </c>
      <c r="E27" s="29">
        <f t="shared" ref="E27:U27" si="0">E20</f>
        <v>0.78099999999999992</v>
      </c>
      <c r="F27" s="29">
        <f t="shared" si="0"/>
        <v>0.78299999999999992</v>
      </c>
      <c r="G27" s="29">
        <f t="shared" si="0"/>
        <v>0.79200000000000004</v>
      </c>
      <c r="H27" s="29">
        <f t="shared" si="0"/>
        <v>0.79</v>
      </c>
      <c r="I27" s="29">
        <f t="shared" si="0"/>
        <v>0.79200000000000004</v>
      </c>
      <c r="J27" s="29">
        <f t="shared" si="0"/>
        <v>0.77900000000000003</v>
      </c>
      <c r="K27" s="29">
        <f t="shared" si="0"/>
        <v>0.76300000000000001</v>
      </c>
      <c r="L27" s="29">
        <f t="shared" si="0"/>
        <v>0.75700000000000001</v>
      </c>
      <c r="M27" s="29">
        <f t="shared" si="0"/>
        <v>0.75700000000000001</v>
      </c>
      <c r="N27" s="29">
        <f t="shared" si="0"/>
        <v>0.77800000000000002</v>
      </c>
      <c r="O27" s="29">
        <f t="shared" si="0"/>
        <v>0.78900000000000003</v>
      </c>
      <c r="P27" s="29">
        <f t="shared" si="0"/>
        <v>0.77900000000000003</v>
      </c>
      <c r="Q27" s="29">
        <f t="shared" si="0"/>
        <v>0.79200000000000004</v>
      </c>
      <c r="R27" s="29">
        <f t="shared" si="0"/>
        <v>0.78900000000000003</v>
      </c>
      <c r="S27" s="29">
        <f t="shared" si="0"/>
        <v>0.77700000000000002</v>
      </c>
      <c r="T27" s="29">
        <f t="shared" si="0"/>
        <v>0.77200000000000002</v>
      </c>
      <c r="U27" s="29">
        <f t="shared" si="0"/>
        <v>0.73</v>
      </c>
      <c r="V27" s="29">
        <f t="shared" ref="V27" si="1">V20</f>
        <v>0.746</v>
      </c>
      <c r="W27" s="117" t="s">
        <v>344</v>
      </c>
      <c r="X27" s="117" t="s">
        <v>344</v>
      </c>
    </row>
    <row r="28" spans="1:24" ht="15.75" customHeight="1" x14ac:dyDescent="0.2">
      <c r="A28" s="30" t="s">
        <v>206</v>
      </c>
      <c r="B28" s="17" t="s">
        <v>181</v>
      </c>
      <c r="C28" s="17" t="s">
        <v>120</v>
      </c>
      <c r="D28" s="29">
        <f>D22</f>
        <v>0.76400000000000001</v>
      </c>
      <c r="E28" s="29">
        <f t="shared" ref="E28:U28" si="2">E22</f>
        <v>0.7609999999999999</v>
      </c>
      <c r="F28" s="29">
        <f t="shared" si="2"/>
        <v>0.77099999999999991</v>
      </c>
      <c r="G28" s="29">
        <f t="shared" si="2"/>
        <v>0.76200000000000001</v>
      </c>
      <c r="H28" s="29">
        <f t="shared" si="2"/>
        <v>0.755</v>
      </c>
      <c r="I28" s="29">
        <f t="shared" si="2"/>
        <v>0.746</v>
      </c>
      <c r="J28" s="29">
        <f t="shared" si="2"/>
        <v>0.71799999999999997</v>
      </c>
      <c r="K28" s="29">
        <f t="shared" si="2"/>
        <v>0.70799999999999996</v>
      </c>
      <c r="L28" s="29">
        <f t="shared" si="2"/>
        <v>0.69499999999999995</v>
      </c>
      <c r="M28" s="29">
        <f t="shared" si="2"/>
        <v>0.72199999999999998</v>
      </c>
      <c r="N28" s="29">
        <f t="shared" si="2"/>
        <v>0.746</v>
      </c>
      <c r="O28" s="29">
        <f t="shared" si="2"/>
        <v>0.75700000000000001</v>
      </c>
      <c r="P28" s="29">
        <f t="shared" si="2"/>
        <v>0.74400000000000011</v>
      </c>
      <c r="Q28" s="29">
        <f t="shared" si="2"/>
        <v>0.75800000000000001</v>
      </c>
      <c r="R28" s="29">
        <f t="shared" si="2"/>
        <v>0.73</v>
      </c>
      <c r="S28" s="29">
        <f t="shared" si="2"/>
        <v>0.75599999999999989</v>
      </c>
      <c r="T28" s="29">
        <f t="shared" si="2"/>
        <v>0.73</v>
      </c>
      <c r="U28" s="29">
        <f t="shared" si="2"/>
        <v>0.69799999999999995</v>
      </c>
      <c r="V28" s="29">
        <f t="shared" ref="V28" si="3">V22</f>
        <v>0.72599999999999998</v>
      </c>
      <c r="W28" s="117" t="s">
        <v>344</v>
      </c>
      <c r="X28" s="117" t="s">
        <v>344</v>
      </c>
    </row>
    <row r="29" spans="1:24" ht="15.75" customHeight="1" x14ac:dyDescent="0.2">
      <c r="A29" s="30" t="s">
        <v>206</v>
      </c>
      <c r="B29" s="17" t="s">
        <v>181</v>
      </c>
      <c r="C29" s="17" t="s">
        <v>46</v>
      </c>
      <c r="D29" s="29">
        <v>0.71799999999999997</v>
      </c>
      <c r="E29" s="29">
        <v>0.72299999999999998</v>
      </c>
      <c r="F29" s="29">
        <v>0.73099999999999998</v>
      </c>
      <c r="G29" s="29">
        <v>0.73199999999999998</v>
      </c>
      <c r="H29" s="29">
        <v>0.72900000000000009</v>
      </c>
      <c r="I29" s="29">
        <v>0.71099999999999997</v>
      </c>
      <c r="J29" s="29">
        <v>0.70299999999999996</v>
      </c>
      <c r="K29" s="29">
        <v>0.69900000000000007</v>
      </c>
      <c r="L29" s="29">
        <v>0.70099999999999996</v>
      </c>
      <c r="M29" s="29">
        <v>0.70200000000000007</v>
      </c>
      <c r="N29" s="29">
        <v>0.71900000000000008</v>
      </c>
      <c r="O29" s="29">
        <v>0.72400000000000009</v>
      </c>
      <c r="P29" s="29">
        <v>0.72400000000000009</v>
      </c>
      <c r="Q29" s="29">
        <v>0.73699999999999999</v>
      </c>
      <c r="R29" s="29">
        <v>0.73599999999999999</v>
      </c>
      <c r="S29" s="29">
        <v>0.745</v>
      </c>
      <c r="T29" s="29">
        <v>0.73099999999999998</v>
      </c>
      <c r="U29" s="29">
        <v>0.7340000000000001</v>
      </c>
      <c r="V29" s="29">
        <v>0.745</v>
      </c>
      <c r="W29" s="117" t="s">
        <v>344</v>
      </c>
      <c r="X29" s="117" t="s">
        <v>344</v>
      </c>
    </row>
    <row r="30" spans="1:24" ht="31.5" customHeight="1" x14ac:dyDescent="0.2">
      <c r="A30" s="30" t="s">
        <v>206</v>
      </c>
      <c r="B30" s="17" t="s">
        <v>47</v>
      </c>
      <c r="C30" s="17" t="s">
        <v>22</v>
      </c>
      <c r="D30" s="29">
        <v>0.74299999999999999</v>
      </c>
      <c r="E30" s="29">
        <v>0.77300000000000002</v>
      </c>
      <c r="F30" s="29">
        <v>0.79799999999999993</v>
      </c>
      <c r="G30" s="29">
        <v>0.77700000000000002</v>
      </c>
      <c r="H30" s="29">
        <v>0.77900000000000003</v>
      </c>
      <c r="I30" s="29">
        <v>0.78299999999999992</v>
      </c>
      <c r="J30" s="29">
        <v>0.78400000000000003</v>
      </c>
      <c r="K30" s="29">
        <v>0.75</v>
      </c>
      <c r="L30" s="29">
        <v>0.77</v>
      </c>
      <c r="M30" s="29">
        <v>0.76400000000000001</v>
      </c>
      <c r="N30" s="29">
        <v>0.75099999999999989</v>
      </c>
      <c r="O30" s="29">
        <v>0.76700000000000002</v>
      </c>
      <c r="P30" s="29">
        <v>0.70400000000000007</v>
      </c>
      <c r="Q30" s="29">
        <v>0.76300000000000001</v>
      </c>
      <c r="R30" s="29">
        <v>0.74</v>
      </c>
      <c r="S30" s="29">
        <v>0.79099999999999993</v>
      </c>
      <c r="T30" s="29">
        <v>0.71599999999999997</v>
      </c>
      <c r="U30" s="29">
        <v>0.76900000000000002</v>
      </c>
      <c r="V30" s="29">
        <v>0.71200000000000008</v>
      </c>
      <c r="W30" s="117" t="s">
        <v>344</v>
      </c>
      <c r="X30" s="117" t="s">
        <v>344</v>
      </c>
    </row>
    <row r="31" spans="1:24" ht="15.75" customHeight="1" x14ac:dyDescent="0.2">
      <c r="A31" s="30" t="s">
        <v>206</v>
      </c>
      <c r="B31" s="17" t="s">
        <v>47</v>
      </c>
      <c r="C31" s="17" t="s">
        <v>23</v>
      </c>
      <c r="D31" s="29">
        <v>0.77700000000000002</v>
      </c>
      <c r="E31" s="29">
        <v>0.78299999999999992</v>
      </c>
      <c r="F31" s="29">
        <v>0.79400000000000004</v>
      </c>
      <c r="G31" s="29">
        <v>0.80500000000000005</v>
      </c>
      <c r="H31" s="29">
        <v>0.80200000000000005</v>
      </c>
      <c r="I31" s="29">
        <v>0.80400000000000005</v>
      </c>
      <c r="J31" s="29">
        <v>0.81099999999999994</v>
      </c>
      <c r="K31" s="29">
        <v>0.79500000000000004</v>
      </c>
      <c r="L31" s="29">
        <v>0.8</v>
      </c>
      <c r="M31" s="29">
        <v>0.78700000000000003</v>
      </c>
      <c r="N31" s="29">
        <v>0.80900000000000005</v>
      </c>
      <c r="O31" s="29">
        <v>0.80599999999999994</v>
      </c>
      <c r="P31" s="29">
        <v>0.78</v>
      </c>
      <c r="Q31" s="29">
        <v>0.82200000000000006</v>
      </c>
      <c r="R31" s="29">
        <v>0.80400000000000005</v>
      </c>
      <c r="S31" s="29">
        <v>0.80799999999999994</v>
      </c>
      <c r="T31" s="29">
        <v>0.79599999999999993</v>
      </c>
      <c r="U31" s="29">
        <v>0.74099999999999999</v>
      </c>
      <c r="V31" s="29">
        <v>0.78099999999999992</v>
      </c>
      <c r="W31" s="117" t="s">
        <v>344</v>
      </c>
      <c r="X31" s="117" t="s">
        <v>344</v>
      </c>
    </row>
    <row r="32" spans="1:24" ht="15.75" customHeight="1" x14ac:dyDescent="0.2">
      <c r="A32" s="30" t="s">
        <v>206</v>
      </c>
      <c r="B32" s="17" t="s">
        <v>47</v>
      </c>
      <c r="C32" s="17" t="s">
        <v>29</v>
      </c>
      <c r="D32" s="29">
        <v>0.74</v>
      </c>
      <c r="E32" s="29">
        <v>0.752</v>
      </c>
      <c r="F32" s="29">
        <v>0.77900000000000003</v>
      </c>
      <c r="G32" s="29">
        <v>0.76700000000000002</v>
      </c>
      <c r="H32" s="29">
        <v>0.77099999999999991</v>
      </c>
      <c r="I32" s="29">
        <v>0.74299999999999999</v>
      </c>
      <c r="J32" s="29">
        <v>0.73</v>
      </c>
      <c r="K32" s="29">
        <v>0.71599999999999997</v>
      </c>
      <c r="L32" s="29">
        <v>0.74299999999999999</v>
      </c>
      <c r="M32" s="29">
        <v>0.7390000000000001</v>
      </c>
      <c r="N32" s="29">
        <v>0.71599999999999997</v>
      </c>
      <c r="O32" s="29">
        <v>0.73699999999999999</v>
      </c>
      <c r="P32" s="29">
        <v>0.78200000000000003</v>
      </c>
      <c r="Q32" s="29">
        <v>0.745</v>
      </c>
      <c r="R32" s="29">
        <v>0.76</v>
      </c>
      <c r="S32" s="29">
        <v>0.75700000000000001</v>
      </c>
      <c r="T32" s="29">
        <v>0.72299999999999998</v>
      </c>
      <c r="U32" s="29">
        <v>0.74299999999999999</v>
      </c>
      <c r="V32" s="29">
        <v>0.746</v>
      </c>
      <c r="W32" s="117" t="s">
        <v>344</v>
      </c>
      <c r="X32" s="117" t="s">
        <v>344</v>
      </c>
    </row>
    <row r="33" spans="1:24" ht="15.75" customHeight="1" x14ac:dyDescent="0.2">
      <c r="A33" s="30" t="s">
        <v>206</v>
      </c>
      <c r="B33" s="17" t="s">
        <v>47</v>
      </c>
      <c r="C33" s="17" t="s">
        <v>24</v>
      </c>
      <c r="D33" s="29">
        <v>0.753</v>
      </c>
      <c r="E33" s="29">
        <v>0.755</v>
      </c>
      <c r="F33" s="29">
        <v>0.78900000000000003</v>
      </c>
      <c r="G33" s="29">
        <v>0.77200000000000002</v>
      </c>
      <c r="H33" s="29">
        <v>0.75599999999999989</v>
      </c>
      <c r="I33" s="29">
        <v>0.73299999999999998</v>
      </c>
      <c r="J33" s="29">
        <v>0.72400000000000009</v>
      </c>
      <c r="K33" s="29">
        <v>0.70599999999999996</v>
      </c>
      <c r="L33" s="29">
        <v>0.70099999999999996</v>
      </c>
      <c r="M33" s="29">
        <v>0.748</v>
      </c>
      <c r="N33" s="29">
        <v>0.76800000000000002</v>
      </c>
      <c r="O33" s="29">
        <v>0.754</v>
      </c>
      <c r="P33" s="29">
        <v>0.78299999999999992</v>
      </c>
      <c r="Q33" s="29">
        <v>0.75599999999999989</v>
      </c>
      <c r="R33" s="29">
        <v>0.76500000000000001</v>
      </c>
      <c r="S33" s="29">
        <v>0.746</v>
      </c>
      <c r="T33" s="29">
        <v>0.75599999999999989</v>
      </c>
      <c r="U33" s="29">
        <v>0.745</v>
      </c>
      <c r="V33" s="29">
        <v>0.747</v>
      </c>
      <c r="W33" s="117" t="s">
        <v>344</v>
      </c>
      <c r="X33" s="117" t="s">
        <v>344</v>
      </c>
    </row>
    <row r="34" spans="1:24" ht="15.75" customHeight="1" x14ac:dyDescent="0.2">
      <c r="A34" s="30" t="s">
        <v>206</v>
      </c>
      <c r="B34" s="17" t="s">
        <v>47</v>
      </c>
      <c r="C34" s="17" t="s">
        <v>25</v>
      </c>
      <c r="D34" s="29">
        <v>0.74099999999999999</v>
      </c>
      <c r="E34" s="29">
        <v>0.75</v>
      </c>
      <c r="F34" s="29">
        <v>0.74900000000000011</v>
      </c>
      <c r="G34" s="29">
        <v>0.752</v>
      </c>
      <c r="H34" s="29">
        <v>0.745</v>
      </c>
      <c r="I34" s="29">
        <v>0.72099999999999997</v>
      </c>
      <c r="J34" s="29">
        <v>0.69799999999999995</v>
      </c>
      <c r="K34" s="29">
        <v>0.71</v>
      </c>
      <c r="L34" s="29">
        <v>0.72199999999999998</v>
      </c>
      <c r="M34" s="29">
        <v>0.71</v>
      </c>
      <c r="N34" s="29">
        <v>0.7390000000000001</v>
      </c>
      <c r="O34" s="29">
        <v>0.72699999999999998</v>
      </c>
      <c r="P34" s="29">
        <v>0.71700000000000008</v>
      </c>
      <c r="Q34" s="29">
        <v>0.75599999999999989</v>
      </c>
      <c r="R34" s="29">
        <v>0.77</v>
      </c>
      <c r="S34" s="29">
        <v>0.75099999999999989</v>
      </c>
      <c r="T34" s="29">
        <v>0.74099999999999999</v>
      </c>
      <c r="U34" s="29">
        <v>0.78500000000000003</v>
      </c>
      <c r="V34" s="29">
        <v>0.79200000000000004</v>
      </c>
      <c r="W34" s="117" t="s">
        <v>344</v>
      </c>
      <c r="X34" s="117" t="s">
        <v>344</v>
      </c>
    </row>
    <row r="35" spans="1:24" ht="15.75" customHeight="1" x14ac:dyDescent="0.2">
      <c r="A35" s="30" t="s">
        <v>206</v>
      </c>
      <c r="B35" s="17" t="s">
        <v>47</v>
      </c>
      <c r="C35" s="17" t="s">
        <v>2</v>
      </c>
      <c r="D35" s="29">
        <v>0.69700000000000006</v>
      </c>
      <c r="E35" s="29">
        <v>0.70499999999999996</v>
      </c>
      <c r="F35" s="29">
        <v>0.70299999999999996</v>
      </c>
      <c r="G35" s="29">
        <v>0.67299999999999993</v>
      </c>
      <c r="H35" s="29">
        <v>0.69799999999999995</v>
      </c>
      <c r="I35" s="29">
        <v>0.69700000000000006</v>
      </c>
      <c r="J35" s="29">
        <v>0.7609999999999999</v>
      </c>
      <c r="K35" s="29">
        <v>0.65900000000000003</v>
      </c>
      <c r="L35" s="29">
        <v>0.65700000000000003</v>
      </c>
      <c r="M35" s="29">
        <v>0.66200000000000003</v>
      </c>
      <c r="N35" s="29">
        <v>0.66500000000000004</v>
      </c>
      <c r="O35" s="29">
        <v>0.72</v>
      </c>
      <c r="P35" s="29">
        <v>0.68099999999999994</v>
      </c>
      <c r="Q35" s="29">
        <v>0.72599999999999998</v>
      </c>
      <c r="R35" s="29">
        <v>0.746</v>
      </c>
      <c r="S35" s="29">
        <v>0.74400000000000011</v>
      </c>
      <c r="T35" s="29">
        <v>0.72799999999999998</v>
      </c>
      <c r="U35" s="29">
        <v>0.72199999999999998</v>
      </c>
      <c r="V35" s="29">
        <v>0.67200000000000004</v>
      </c>
      <c r="W35" s="117" t="s">
        <v>344</v>
      </c>
      <c r="X35" s="117" t="s">
        <v>344</v>
      </c>
    </row>
    <row r="36" spans="1:24" ht="15.75" customHeight="1" x14ac:dyDescent="0.2">
      <c r="A36" s="30" t="s">
        <v>206</v>
      </c>
      <c r="B36" s="17" t="s">
        <v>47</v>
      </c>
      <c r="C36" s="17" t="s">
        <v>3</v>
      </c>
      <c r="D36" s="29">
        <v>0.75599999999999989</v>
      </c>
      <c r="E36" s="29">
        <v>0.76</v>
      </c>
      <c r="F36" s="29">
        <v>0.76900000000000002</v>
      </c>
      <c r="G36" s="29">
        <v>0.74299999999999999</v>
      </c>
      <c r="H36" s="29">
        <v>0.73699999999999999</v>
      </c>
      <c r="I36" s="29">
        <v>0.745</v>
      </c>
      <c r="J36" s="29">
        <v>0.72599999999999998</v>
      </c>
      <c r="K36" s="29">
        <v>0.69099999999999995</v>
      </c>
      <c r="L36" s="29">
        <v>0.67200000000000004</v>
      </c>
      <c r="M36" s="29">
        <v>0.70200000000000007</v>
      </c>
      <c r="N36" s="29">
        <v>0.71900000000000008</v>
      </c>
      <c r="O36" s="29">
        <v>0.754</v>
      </c>
      <c r="P36" s="29">
        <v>0.748</v>
      </c>
      <c r="Q36" s="29">
        <v>0.76900000000000002</v>
      </c>
      <c r="R36" s="29">
        <v>0.72</v>
      </c>
      <c r="S36" s="29">
        <v>0.75099999999999989</v>
      </c>
      <c r="T36" s="29">
        <v>0.68099999999999994</v>
      </c>
      <c r="U36" s="29">
        <v>0.70900000000000007</v>
      </c>
      <c r="V36" s="29">
        <v>0.67299999999999993</v>
      </c>
      <c r="W36" s="117" t="s">
        <v>344</v>
      </c>
      <c r="X36" s="117" t="s">
        <v>344</v>
      </c>
    </row>
    <row r="37" spans="1:24" ht="15.75" customHeight="1" x14ac:dyDescent="0.2">
      <c r="A37" s="30" t="s">
        <v>206</v>
      </c>
      <c r="B37" s="17" t="s">
        <v>47</v>
      </c>
      <c r="C37" s="17" t="s">
        <v>30</v>
      </c>
      <c r="D37" s="29">
        <v>0.66</v>
      </c>
      <c r="E37" s="29">
        <v>0.69599999999999995</v>
      </c>
      <c r="F37" s="29">
        <v>0.69900000000000007</v>
      </c>
      <c r="G37" s="29">
        <v>0.69799999999999995</v>
      </c>
      <c r="H37" s="29">
        <v>0.69299999999999995</v>
      </c>
      <c r="I37" s="29">
        <v>0.68200000000000005</v>
      </c>
      <c r="J37" s="29">
        <v>0.69400000000000006</v>
      </c>
      <c r="K37" s="29">
        <v>0.66299999999999992</v>
      </c>
      <c r="L37" s="29">
        <v>0.64800000000000002</v>
      </c>
      <c r="M37" s="29">
        <v>0.61099999999999999</v>
      </c>
      <c r="N37" s="29">
        <v>0.62</v>
      </c>
      <c r="O37" s="29">
        <v>0.63700000000000001</v>
      </c>
      <c r="P37" s="29">
        <v>0.66500000000000004</v>
      </c>
      <c r="Q37" s="29">
        <v>0.65500000000000003</v>
      </c>
      <c r="R37" s="29">
        <v>0.67</v>
      </c>
      <c r="S37" s="29">
        <v>0.68599999999999994</v>
      </c>
      <c r="T37" s="29">
        <v>0.71799999999999997</v>
      </c>
      <c r="U37" s="29">
        <v>0.71</v>
      </c>
      <c r="V37" s="29">
        <v>0.68799999999999994</v>
      </c>
      <c r="W37" s="117" t="s">
        <v>344</v>
      </c>
      <c r="X37" s="117" t="s">
        <v>344</v>
      </c>
    </row>
    <row r="38" spans="1:24" ht="15.75" customHeight="1" x14ac:dyDescent="0.2">
      <c r="A38" s="30" t="s">
        <v>206</v>
      </c>
      <c r="B38" s="17" t="s">
        <v>47</v>
      </c>
      <c r="C38" s="17" t="s">
        <v>4</v>
      </c>
      <c r="D38" s="29">
        <v>0.68799999999999994</v>
      </c>
      <c r="E38" s="29">
        <v>0.67799999999999994</v>
      </c>
      <c r="F38" s="29">
        <v>0.70499999999999996</v>
      </c>
      <c r="G38" s="29">
        <v>0.70400000000000007</v>
      </c>
      <c r="H38" s="29">
        <v>0.71900000000000008</v>
      </c>
      <c r="I38" s="29">
        <v>0.67299999999999993</v>
      </c>
      <c r="J38" s="29">
        <v>0.70299999999999996</v>
      </c>
      <c r="K38" s="29">
        <v>0.66799999999999993</v>
      </c>
      <c r="L38" s="29">
        <v>0.67200000000000004</v>
      </c>
      <c r="M38" s="29">
        <v>0.68299999999999994</v>
      </c>
      <c r="N38" s="29">
        <v>0.69200000000000006</v>
      </c>
      <c r="O38" s="29">
        <v>0.69599999999999995</v>
      </c>
      <c r="P38" s="29">
        <v>0.66299999999999992</v>
      </c>
      <c r="Q38" s="29">
        <v>0.71099999999999997</v>
      </c>
      <c r="R38" s="29">
        <v>0.68799999999999994</v>
      </c>
      <c r="S38" s="29">
        <v>0.74299999999999999</v>
      </c>
      <c r="T38" s="29">
        <v>0.73099999999999998</v>
      </c>
      <c r="U38" s="29">
        <v>0.753</v>
      </c>
      <c r="V38" s="29">
        <v>0.71299999999999997</v>
      </c>
      <c r="W38" s="117" t="s">
        <v>344</v>
      </c>
      <c r="X38" s="117" t="s">
        <v>344</v>
      </c>
    </row>
    <row r="39" spans="1:24" ht="15.75" customHeight="1" x14ac:dyDescent="0.2">
      <c r="A39" s="30" t="s">
        <v>206</v>
      </c>
      <c r="B39" s="17" t="s">
        <v>47</v>
      </c>
      <c r="C39" s="17" t="s">
        <v>32</v>
      </c>
      <c r="D39" s="29">
        <v>0.78400000000000003</v>
      </c>
      <c r="E39" s="29">
        <v>0.77900000000000003</v>
      </c>
      <c r="F39" s="29">
        <v>0.78700000000000003</v>
      </c>
      <c r="G39" s="29">
        <v>0.7659999999999999</v>
      </c>
      <c r="H39" s="29">
        <v>0.752</v>
      </c>
      <c r="I39" s="29">
        <v>0.747</v>
      </c>
      <c r="J39" s="29">
        <v>0.74</v>
      </c>
      <c r="K39" s="29">
        <v>0.73499999999999999</v>
      </c>
      <c r="L39" s="29">
        <v>0.73</v>
      </c>
      <c r="M39" s="29">
        <v>0.76800000000000002</v>
      </c>
      <c r="N39" s="29">
        <v>0.72699999999999998</v>
      </c>
      <c r="O39" s="29">
        <v>0.748</v>
      </c>
      <c r="P39" s="29">
        <v>0.75700000000000001</v>
      </c>
      <c r="Q39" s="29">
        <v>0.748</v>
      </c>
      <c r="R39" s="29">
        <v>0.77700000000000002</v>
      </c>
      <c r="S39" s="29">
        <v>0.77500000000000002</v>
      </c>
      <c r="T39" s="29">
        <v>0.75900000000000001</v>
      </c>
      <c r="U39" s="29">
        <v>0.72400000000000009</v>
      </c>
      <c r="V39" s="29">
        <v>0.76300000000000001</v>
      </c>
      <c r="W39" s="117" t="s">
        <v>344</v>
      </c>
      <c r="X39" s="117" t="s">
        <v>344</v>
      </c>
    </row>
    <row r="40" spans="1:24" ht="15.75" customHeight="1" x14ac:dyDescent="0.2">
      <c r="A40" s="30" t="s">
        <v>206</v>
      </c>
      <c r="B40" s="17" t="s">
        <v>47</v>
      </c>
      <c r="C40" s="17" t="s">
        <v>5</v>
      </c>
      <c r="D40" s="29">
        <v>0.74</v>
      </c>
      <c r="E40" s="29">
        <v>0.76700000000000002</v>
      </c>
      <c r="F40" s="29">
        <v>0.77300000000000002</v>
      </c>
      <c r="G40" s="29">
        <v>0.76700000000000002</v>
      </c>
      <c r="H40" s="29">
        <v>0.754</v>
      </c>
      <c r="I40" s="29">
        <v>0.75</v>
      </c>
      <c r="J40" s="29">
        <v>0.71299999999999997</v>
      </c>
      <c r="K40" s="29">
        <v>0.72499999999999998</v>
      </c>
      <c r="L40" s="29">
        <v>0.748</v>
      </c>
      <c r="M40" s="29">
        <v>0.76200000000000001</v>
      </c>
      <c r="N40" s="29">
        <v>0.7390000000000001</v>
      </c>
      <c r="O40" s="29">
        <v>0.752</v>
      </c>
      <c r="P40" s="29">
        <v>0.72799999999999998</v>
      </c>
      <c r="Q40" s="29">
        <v>0.77200000000000002</v>
      </c>
      <c r="R40" s="29">
        <v>0.80799999999999994</v>
      </c>
      <c r="S40" s="29">
        <v>0.78900000000000003</v>
      </c>
      <c r="T40" s="29">
        <v>0.753</v>
      </c>
      <c r="U40" s="29">
        <v>0.79500000000000004</v>
      </c>
      <c r="V40" s="29">
        <v>0.76200000000000001</v>
      </c>
      <c r="W40" s="117" t="s">
        <v>344</v>
      </c>
      <c r="X40" s="117" t="s">
        <v>344</v>
      </c>
    </row>
    <row r="41" spans="1:24" ht="15.75" customHeight="1" x14ac:dyDescent="0.2">
      <c r="A41" s="30" t="s">
        <v>206</v>
      </c>
      <c r="B41" s="17" t="s">
        <v>47</v>
      </c>
      <c r="C41" s="17" t="s">
        <v>6</v>
      </c>
      <c r="D41" s="29">
        <v>0.77300000000000002</v>
      </c>
      <c r="E41" s="29">
        <v>0.77</v>
      </c>
      <c r="F41" s="29">
        <v>0.76400000000000001</v>
      </c>
      <c r="G41" s="29">
        <v>0.752</v>
      </c>
      <c r="H41" s="29">
        <v>0.75</v>
      </c>
      <c r="I41" s="29">
        <v>0.72799999999999998</v>
      </c>
      <c r="J41" s="29">
        <v>0.71799999999999997</v>
      </c>
      <c r="K41" s="29">
        <v>0.73099999999999998</v>
      </c>
      <c r="L41" s="29">
        <v>0.72499999999999998</v>
      </c>
      <c r="M41" s="29">
        <v>0.74099999999999999</v>
      </c>
      <c r="N41" s="29">
        <v>0.745</v>
      </c>
      <c r="O41" s="29">
        <v>0.74299999999999999</v>
      </c>
      <c r="P41" s="29">
        <v>0.77300000000000002</v>
      </c>
      <c r="Q41" s="29">
        <v>0.754</v>
      </c>
      <c r="R41" s="29">
        <v>0.73599999999999999</v>
      </c>
      <c r="S41" s="29">
        <v>0.7340000000000001</v>
      </c>
      <c r="T41" s="29">
        <v>0.73599999999999999</v>
      </c>
      <c r="U41" s="29">
        <v>0.69799999999999995</v>
      </c>
      <c r="V41" s="29">
        <v>0.76900000000000002</v>
      </c>
      <c r="W41" s="117" t="s">
        <v>344</v>
      </c>
      <c r="X41" s="117" t="s">
        <v>344</v>
      </c>
    </row>
    <row r="42" spans="1:24" ht="15.75" customHeight="1" x14ac:dyDescent="0.2">
      <c r="A42" s="30" t="s">
        <v>206</v>
      </c>
      <c r="B42" s="17" t="s">
        <v>47</v>
      </c>
      <c r="C42" s="17" t="s">
        <v>8</v>
      </c>
      <c r="D42" s="29">
        <v>0.74400000000000011</v>
      </c>
      <c r="E42" s="29">
        <v>0.73799999999999999</v>
      </c>
      <c r="F42" s="29">
        <v>0.75700000000000001</v>
      </c>
      <c r="G42" s="29">
        <v>0.75800000000000001</v>
      </c>
      <c r="H42" s="29">
        <v>0.76700000000000002</v>
      </c>
      <c r="I42" s="29">
        <v>0.72799999999999998</v>
      </c>
      <c r="J42" s="29">
        <v>0.71900000000000008</v>
      </c>
      <c r="K42" s="29">
        <v>0.72099999999999997</v>
      </c>
      <c r="L42" s="29">
        <v>0.73099999999999998</v>
      </c>
      <c r="M42" s="29">
        <v>0.73599999999999999</v>
      </c>
      <c r="N42" s="29">
        <v>0.72900000000000009</v>
      </c>
      <c r="O42" s="29">
        <v>0.74299999999999999</v>
      </c>
      <c r="P42" s="29">
        <v>0.76500000000000001</v>
      </c>
      <c r="Q42" s="29">
        <v>0.754</v>
      </c>
      <c r="R42" s="29">
        <v>0.75800000000000001</v>
      </c>
      <c r="S42" s="29">
        <v>0.74099999999999999</v>
      </c>
      <c r="T42" s="29">
        <v>0.75099999999999989</v>
      </c>
      <c r="U42" s="29">
        <v>0.76700000000000002</v>
      </c>
      <c r="V42" s="29">
        <v>0.76</v>
      </c>
      <c r="W42" s="117" t="s">
        <v>344</v>
      </c>
      <c r="X42" s="117" t="s">
        <v>344</v>
      </c>
    </row>
    <row r="43" spans="1:24" ht="15.75" customHeight="1" x14ac:dyDescent="0.2">
      <c r="A43" s="30" t="s">
        <v>206</v>
      </c>
      <c r="B43" s="17" t="s">
        <v>47</v>
      </c>
      <c r="C43" s="17" t="s">
        <v>9</v>
      </c>
      <c r="D43" s="29">
        <v>0.75099999999999989</v>
      </c>
      <c r="E43" s="29">
        <v>0.74099999999999999</v>
      </c>
      <c r="F43" s="29">
        <v>0.73499999999999999</v>
      </c>
      <c r="G43" s="29">
        <v>0.73599999999999999</v>
      </c>
      <c r="H43" s="29">
        <v>0.74099999999999999</v>
      </c>
      <c r="I43" s="29">
        <v>0.71200000000000008</v>
      </c>
      <c r="J43" s="29">
        <v>0.71499999999999997</v>
      </c>
      <c r="K43" s="29">
        <v>0.70700000000000007</v>
      </c>
      <c r="L43" s="29">
        <v>0.69799999999999995</v>
      </c>
      <c r="M43" s="29">
        <v>0.69499999999999995</v>
      </c>
      <c r="N43" s="29">
        <v>0.74</v>
      </c>
      <c r="O43" s="29">
        <v>0.73199999999999998</v>
      </c>
      <c r="P43" s="29">
        <v>0.72299999999999998</v>
      </c>
      <c r="Q43" s="29">
        <v>0.748</v>
      </c>
      <c r="R43" s="29">
        <v>0.752</v>
      </c>
      <c r="S43" s="29">
        <v>0.73699999999999999</v>
      </c>
      <c r="T43" s="29">
        <v>0.70499999999999996</v>
      </c>
      <c r="U43" s="29">
        <v>0.68400000000000005</v>
      </c>
      <c r="V43" s="29">
        <v>0.747</v>
      </c>
      <c r="W43" s="117" t="s">
        <v>344</v>
      </c>
      <c r="X43" s="117" t="s">
        <v>344</v>
      </c>
    </row>
    <row r="44" spans="1:24" ht="15.75" customHeight="1" x14ac:dyDescent="0.2">
      <c r="A44" s="30" t="s">
        <v>206</v>
      </c>
      <c r="B44" s="17" t="s">
        <v>47</v>
      </c>
      <c r="C44" s="17" t="s">
        <v>33</v>
      </c>
      <c r="D44" s="29">
        <v>0.627</v>
      </c>
      <c r="E44" s="29">
        <v>0.6409999999999999</v>
      </c>
      <c r="F44" s="29">
        <v>0.627</v>
      </c>
      <c r="G44" s="29">
        <v>0.64599999999999991</v>
      </c>
      <c r="H44" s="29">
        <v>0.64800000000000002</v>
      </c>
      <c r="I44" s="29">
        <v>0.61799999999999999</v>
      </c>
      <c r="J44" s="29">
        <v>0.61399999999999999</v>
      </c>
      <c r="K44" s="29">
        <v>0.63</v>
      </c>
      <c r="L44" s="29">
        <v>0.58599999999999997</v>
      </c>
      <c r="M44" s="29">
        <v>0.625</v>
      </c>
      <c r="N44" s="29">
        <v>0.64200000000000002</v>
      </c>
      <c r="O44" s="29">
        <v>0.66799999999999993</v>
      </c>
      <c r="P44" s="29">
        <v>0.67500000000000004</v>
      </c>
      <c r="Q44" s="29">
        <v>0.65900000000000003</v>
      </c>
      <c r="R44" s="29">
        <v>0.64300000000000002</v>
      </c>
      <c r="S44" s="29">
        <v>0.67299999999999993</v>
      </c>
      <c r="T44" s="29">
        <v>0.69799999999999995</v>
      </c>
      <c r="U44" s="29">
        <v>0.69700000000000006</v>
      </c>
      <c r="V44" s="29">
        <v>0.72099999999999997</v>
      </c>
      <c r="W44" s="117" t="s">
        <v>344</v>
      </c>
      <c r="X44" s="117" t="s">
        <v>344</v>
      </c>
    </row>
    <row r="45" spans="1:24" ht="15.75" customHeight="1" x14ac:dyDescent="0.2">
      <c r="A45" s="30" t="s">
        <v>206</v>
      </c>
      <c r="B45" s="17" t="s">
        <v>47</v>
      </c>
      <c r="C45" s="17" t="s">
        <v>10</v>
      </c>
      <c r="D45" s="29">
        <v>0.81</v>
      </c>
      <c r="E45" s="29">
        <v>0.79299999999999993</v>
      </c>
      <c r="F45" s="29">
        <v>0.78200000000000003</v>
      </c>
      <c r="G45" s="29">
        <v>0.79500000000000004</v>
      </c>
      <c r="H45" s="29">
        <v>0.79200000000000004</v>
      </c>
      <c r="I45" s="29">
        <v>0.81799999999999995</v>
      </c>
      <c r="J45" s="29">
        <v>0.79200000000000004</v>
      </c>
      <c r="K45" s="29">
        <v>0.78299999999999992</v>
      </c>
      <c r="L45" s="29">
        <v>0.7659999999999999</v>
      </c>
      <c r="M45" s="29">
        <v>0.7390000000000001</v>
      </c>
      <c r="N45" s="29">
        <v>0.77099999999999991</v>
      </c>
      <c r="O45" s="29">
        <v>0.81</v>
      </c>
      <c r="P45" s="29">
        <v>0.77099999999999991</v>
      </c>
      <c r="Q45" s="29">
        <v>0.81</v>
      </c>
      <c r="R45" s="29">
        <v>0.81200000000000006</v>
      </c>
      <c r="S45" s="29">
        <v>0.78700000000000003</v>
      </c>
      <c r="T45" s="29">
        <v>0.77800000000000002</v>
      </c>
      <c r="U45" s="29">
        <v>0.71700000000000008</v>
      </c>
      <c r="V45" s="29">
        <v>0.71499999999999997</v>
      </c>
      <c r="W45" s="117" t="s">
        <v>344</v>
      </c>
      <c r="X45" s="117" t="s">
        <v>344</v>
      </c>
    </row>
    <row r="46" spans="1:24" ht="15.75" customHeight="1" x14ac:dyDescent="0.2">
      <c r="A46" s="30" t="s">
        <v>206</v>
      </c>
      <c r="B46" s="17" t="s">
        <v>47</v>
      </c>
      <c r="C46" s="17" t="s">
        <v>11</v>
      </c>
      <c r="D46" s="29">
        <v>0.67</v>
      </c>
      <c r="E46" s="29">
        <v>0.68599999999999994</v>
      </c>
      <c r="F46" s="29">
        <v>0.70400000000000007</v>
      </c>
      <c r="G46" s="29">
        <v>0.67</v>
      </c>
      <c r="H46" s="29">
        <v>0.70499999999999996</v>
      </c>
      <c r="I46" s="29">
        <v>0.66799999999999993</v>
      </c>
      <c r="J46" s="29">
        <v>0.70599999999999996</v>
      </c>
      <c r="K46" s="29">
        <v>0.67400000000000004</v>
      </c>
      <c r="L46" s="29">
        <v>0.65300000000000002</v>
      </c>
      <c r="M46" s="29">
        <v>0.69299999999999995</v>
      </c>
      <c r="N46" s="29">
        <v>0.69400000000000006</v>
      </c>
      <c r="O46" s="29">
        <v>0.67500000000000004</v>
      </c>
      <c r="P46" s="29">
        <v>0.70200000000000007</v>
      </c>
      <c r="Q46" s="29">
        <v>0.72699999999999998</v>
      </c>
      <c r="R46" s="29">
        <v>0.73799999999999999</v>
      </c>
      <c r="S46" s="29">
        <v>0.68299999999999994</v>
      </c>
      <c r="T46" s="29">
        <v>0.68200000000000005</v>
      </c>
      <c r="U46" s="29">
        <v>0.75099999999999989</v>
      </c>
      <c r="V46" s="29">
        <v>0.76300000000000001</v>
      </c>
      <c r="W46" s="117" t="s">
        <v>344</v>
      </c>
      <c r="X46" s="117" t="s">
        <v>344</v>
      </c>
    </row>
    <row r="47" spans="1:24" ht="15.75" customHeight="1" x14ac:dyDescent="0.2">
      <c r="A47" s="30" t="s">
        <v>206</v>
      </c>
      <c r="B47" s="17" t="s">
        <v>47</v>
      </c>
      <c r="C47" s="17" t="s">
        <v>12</v>
      </c>
      <c r="D47" s="29">
        <v>0.78</v>
      </c>
      <c r="E47" s="29">
        <v>0.77400000000000002</v>
      </c>
      <c r="F47" s="29">
        <v>0.78900000000000003</v>
      </c>
      <c r="G47" s="29">
        <v>0.78700000000000003</v>
      </c>
      <c r="H47" s="29">
        <v>0.77900000000000003</v>
      </c>
      <c r="I47" s="29">
        <v>0.755</v>
      </c>
      <c r="J47" s="29">
        <v>0.73</v>
      </c>
      <c r="K47" s="29">
        <v>0.745</v>
      </c>
      <c r="L47" s="29">
        <v>0.754</v>
      </c>
      <c r="M47" s="29">
        <v>0.72400000000000009</v>
      </c>
      <c r="N47" s="29">
        <v>0.752</v>
      </c>
      <c r="O47" s="29">
        <v>0.75099999999999989</v>
      </c>
      <c r="P47" s="29">
        <v>0.76400000000000001</v>
      </c>
      <c r="Q47" s="29">
        <v>0.79500000000000004</v>
      </c>
      <c r="R47" s="29">
        <v>0.79299999999999993</v>
      </c>
      <c r="S47" s="29">
        <v>0.80400000000000005</v>
      </c>
      <c r="T47" s="29">
        <v>0.77099999999999991</v>
      </c>
      <c r="U47" s="29">
        <v>0.80900000000000005</v>
      </c>
      <c r="V47" s="29">
        <v>0.79400000000000004</v>
      </c>
      <c r="W47" s="117" t="s">
        <v>344</v>
      </c>
      <c r="X47" s="117" t="s">
        <v>344</v>
      </c>
    </row>
    <row r="48" spans="1:24" ht="15.75" customHeight="1" x14ac:dyDescent="0.2">
      <c r="A48" s="30" t="s">
        <v>206</v>
      </c>
      <c r="B48" s="17" t="s">
        <v>47</v>
      </c>
      <c r="C48" s="17" t="s">
        <v>13</v>
      </c>
      <c r="D48" s="29">
        <v>0.75700000000000001</v>
      </c>
      <c r="E48" s="29">
        <v>0.75</v>
      </c>
      <c r="F48" s="29">
        <v>0.76700000000000002</v>
      </c>
      <c r="G48" s="29">
        <v>0.78</v>
      </c>
      <c r="H48" s="29">
        <v>0.79599999999999993</v>
      </c>
      <c r="I48" s="29">
        <v>0.77800000000000002</v>
      </c>
      <c r="J48" s="29">
        <v>0.79900000000000004</v>
      </c>
      <c r="K48" s="29">
        <v>0.78500000000000003</v>
      </c>
      <c r="L48" s="29">
        <v>0.77599999999999991</v>
      </c>
      <c r="M48" s="29">
        <v>0.78799999999999992</v>
      </c>
      <c r="N48" s="29">
        <v>0.77099999999999991</v>
      </c>
      <c r="O48" s="29">
        <v>0.7340000000000001</v>
      </c>
      <c r="P48" s="29">
        <v>0.755</v>
      </c>
      <c r="Q48" s="29">
        <v>0.745</v>
      </c>
      <c r="R48" s="29">
        <v>0.72799999999999998</v>
      </c>
      <c r="S48" s="29">
        <v>0.75</v>
      </c>
      <c r="T48" s="29">
        <v>0.75099999999999989</v>
      </c>
      <c r="U48" s="29">
        <v>0.72799999999999998</v>
      </c>
      <c r="V48" s="29">
        <v>0.7659999999999999</v>
      </c>
      <c r="W48" s="117" t="s">
        <v>344</v>
      </c>
      <c r="X48" s="117" t="s">
        <v>344</v>
      </c>
    </row>
    <row r="49" spans="1:24" ht="15.75" customHeight="1" x14ac:dyDescent="0.2">
      <c r="A49" s="30" t="s">
        <v>206</v>
      </c>
      <c r="B49" s="17" t="s">
        <v>47</v>
      </c>
      <c r="C49" s="17" t="s">
        <v>7</v>
      </c>
      <c r="D49" s="29">
        <v>0.77800000000000002</v>
      </c>
      <c r="E49" s="29">
        <v>0.79</v>
      </c>
      <c r="F49" s="29">
        <v>0.77800000000000002</v>
      </c>
      <c r="G49" s="29">
        <v>0.77900000000000003</v>
      </c>
      <c r="H49" s="29">
        <v>0.77400000000000002</v>
      </c>
      <c r="I49" s="29">
        <v>0.71200000000000008</v>
      </c>
      <c r="J49" s="29">
        <v>0.68700000000000006</v>
      </c>
      <c r="K49" s="29">
        <v>0.63500000000000001</v>
      </c>
      <c r="L49" s="29">
        <v>0.71400000000000008</v>
      </c>
      <c r="M49" s="29">
        <v>0.72199999999999998</v>
      </c>
      <c r="N49" s="29">
        <v>0.77400000000000002</v>
      </c>
      <c r="O49" s="29">
        <v>0.77900000000000003</v>
      </c>
      <c r="P49" s="29">
        <v>0.78</v>
      </c>
      <c r="Q49" s="29">
        <v>0.81099999999999994</v>
      </c>
      <c r="R49" s="29">
        <v>0.79</v>
      </c>
      <c r="S49" s="29">
        <v>0.82299999999999995</v>
      </c>
      <c r="T49" s="29">
        <v>0.81</v>
      </c>
      <c r="U49" s="29">
        <v>0.80500000000000005</v>
      </c>
      <c r="V49" s="29">
        <v>0.84099999999999997</v>
      </c>
      <c r="W49" s="117" t="s">
        <v>344</v>
      </c>
      <c r="X49" s="117" t="s">
        <v>344</v>
      </c>
    </row>
    <row r="50" spans="1:24" ht="15.75" customHeight="1" x14ac:dyDescent="0.2">
      <c r="A50" s="30" t="s">
        <v>206</v>
      </c>
      <c r="B50" s="17" t="s">
        <v>47</v>
      </c>
      <c r="C50" s="17" t="s">
        <v>14</v>
      </c>
      <c r="D50" s="29">
        <v>0.65200000000000002</v>
      </c>
      <c r="E50" s="29">
        <v>0.69599999999999995</v>
      </c>
      <c r="F50" s="29">
        <v>0.68599999999999994</v>
      </c>
      <c r="G50" s="29">
        <v>0.69299999999999995</v>
      </c>
      <c r="H50" s="29">
        <v>0.69099999999999995</v>
      </c>
      <c r="I50" s="29">
        <v>0.65</v>
      </c>
      <c r="J50" s="29">
        <v>0.63400000000000001</v>
      </c>
      <c r="K50" s="29">
        <v>0.61</v>
      </c>
      <c r="L50" s="29">
        <v>0.61799999999999999</v>
      </c>
      <c r="M50" s="29">
        <v>0.6</v>
      </c>
      <c r="N50" s="29">
        <v>0.70299999999999996</v>
      </c>
      <c r="O50" s="29">
        <v>0.63800000000000001</v>
      </c>
      <c r="P50" s="29">
        <v>0.64200000000000002</v>
      </c>
      <c r="Q50" s="29">
        <v>0.68099999999999994</v>
      </c>
      <c r="R50" s="29">
        <v>0.70299999999999996</v>
      </c>
      <c r="S50" s="29">
        <v>0.70499999999999996</v>
      </c>
      <c r="T50" s="29">
        <v>0.67700000000000005</v>
      </c>
      <c r="U50" s="29">
        <v>0.64700000000000002</v>
      </c>
      <c r="V50" s="29">
        <v>0.73599999999999999</v>
      </c>
      <c r="W50" s="117" t="s">
        <v>344</v>
      </c>
      <c r="X50" s="117" t="s">
        <v>344</v>
      </c>
    </row>
    <row r="51" spans="1:24" ht="15.75" customHeight="1" x14ac:dyDescent="0.2">
      <c r="A51" s="30" t="s">
        <v>206</v>
      </c>
      <c r="B51" s="17" t="s">
        <v>47</v>
      </c>
      <c r="C51" s="17" t="s">
        <v>31</v>
      </c>
      <c r="D51" s="29">
        <v>0.69099999999999995</v>
      </c>
      <c r="E51" s="29">
        <v>0.69200000000000006</v>
      </c>
      <c r="F51" s="29">
        <v>0.71700000000000008</v>
      </c>
      <c r="G51" s="29">
        <v>0.71700000000000008</v>
      </c>
      <c r="H51" s="29">
        <v>0.69200000000000006</v>
      </c>
      <c r="I51" s="29">
        <v>0.72299999999999998</v>
      </c>
      <c r="J51" s="29">
        <v>0.68900000000000006</v>
      </c>
      <c r="K51" s="29">
        <v>0.68400000000000005</v>
      </c>
      <c r="L51" s="29">
        <v>0.69599999999999995</v>
      </c>
      <c r="M51" s="29">
        <v>0.70099999999999996</v>
      </c>
      <c r="N51" s="29">
        <v>0.71</v>
      </c>
      <c r="O51" s="29">
        <v>0.71299999999999997</v>
      </c>
      <c r="P51" s="29">
        <v>0.752</v>
      </c>
      <c r="Q51" s="29">
        <v>0.7390000000000001</v>
      </c>
      <c r="R51" s="29">
        <v>0.747</v>
      </c>
      <c r="S51" s="29">
        <v>0.74299999999999999</v>
      </c>
      <c r="T51" s="29">
        <v>0.69700000000000006</v>
      </c>
      <c r="U51" s="29">
        <v>0.68500000000000005</v>
      </c>
      <c r="V51" s="29">
        <v>0.68</v>
      </c>
      <c r="W51" s="117" t="s">
        <v>344</v>
      </c>
      <c r="X51" s="117" t="s">
        <v>344</v>
      </c>
    </row>
    <row r="52" spans="1:24" ht="15.75" customHeight="1" x14ac:dyDescent="0.2">
      <c r="A52" s="30" t="s">
        <v>206</v>
      </c>
      <c r="B52" s="17" t="s">
        <v>47</v>
      </c>
      <c r="C52" s="17" t="s">
        <v>15</v>
      </c>
      <c r="D52" s="29">
        <v>0.83400000000000007</v>
      </c>
      <c r="E52" s="29">
        <v>0.82799999999999996</v>
      </c>
      <c r="F52" s="29">
        <v>0.81200000000000006</v>
      </c>
      <c r="G52" s="29">
        <v>0.83700000000000008</v>
      </c>
      <c r="H52" s="29">
        <v>0.81900000000000006</v>
      </c>
      <c r="I52" s="29">
        <v>0.85099999999999998</v>
      </c>
      <c r="J52" s="29">
        <v>0.79599999999999993</v>
      </c>
      <c r="K52" s="29">
        <v>0.79299999999999993</v>
      </c>
      <c r="L52" s="29">
        <v>0.81299999999999994</v>
      </c>
      <c r="M52" s="29">
        <v>0.81299999999999994</v>
      </c>
      <c r="N52" s="29">
        <v>0.89200000000000002</v>
      </c>
      <c r="O52" s="29">
        <v>0.86799999999999999</v>
      </c>
      <c r="P52" s="29">
        <v>0.86099999999999999</v>
      </c>
      <c r="Q52" s="29">
        <v>0.88300000000000001</v>
      </c>
      <c r="R52" s="29">
        <v>0.875</v>
      </c>
      <c r="S52" s="29">
        <v>0.871</v>
      </c>
      <c r="T52" s="29">
        <v>0.83299999999999996</v>
      </c>
      <c r="U52" s="29">
        <v>0.72900000000000009</v>
      </c>
      <c r="V52" s="29">
        <v>0.875</v>
      </c>
      <c r="W52" s="117" t="s">
        <v>344</v>
      </c>
      <c r="X52" s="117" t="s">
        <v>344</v>
      </c>
    </row>
    <row r="53" spans="1:24" ht="15.75" customHeight="1" x14ac:dyDescent="0.2">
      <c r="A53" s="30" t="s">
        <v>206</v>
      </c>
      <c r="B53" s="17" t="s">
        <v>47</v>
      </c>
      <c r="C53" s="17" t="s">
        <v>16</v>
      </c>
      <c r="D53" s="29">
        <v>0.75700000000000001</v>
      </c>
      <c r="E53" s="29">
        <v>0.754</v>
      </c>
      <c r="F53" s="29">
        <v>0.77300000000000002</v>
      </c>
      <c r="G53" s="29">
        <v>0.75599999999999989</v>
      </c>
      <c r="H53" s="29">
        <v>0.76300000000000001</v>
      </c>
      <c r="I53" s="29">
        <v>0.753</v>
      </c>
      <c r="J53" s="29">
        <v>0.73799999999999999</v>
      </c>
      <c r="K53" s="29">
        <v>0.747</v>
      </c>
      <c r="L53" s="29">
        <v>0.747</v>
      </c>
      <c r="M53" s="29">
        <v>0.755</v>
      </c>
      <c r="N53" s="29">
        <v>0.76300000000000001</v>
      </c>
      <c r="O53" s="29">
        <v>0.78799999999999992</v>
      </c>
      <c r="P53" s="29">
        <v>0.77</v>
      </c>
      <c r="Q53" s="29">
        <v>0.76800000000000002</v>
      </c>
      <c r="R53" s="29">
        <v>0.77900000000000003</v>
      </c>
      <c r="S53" s="29">
        <v>0.83400000000000007</v>
      </c>
      <c r="T53" s="29">
        <v>0.755</v>
      </c>
      <c r="U53" s="29">
        <v>0.78</v>
      </c>
      <c r="V53" s="29">
        <v>0.76</v>
      </c>
      <c r="W53" s="117" t="s">
        <v>344</v>
      </c>
      <c r="X53" s="117" t="s">
        <v>344</v>
      </c>
    </row>
    <row r="54" spans="1:24" ht="15.75" customHeight="1" x14ac:dyDescent="0.2">
      <c r="A54" s="30" t="s">
        <v>206</v>
      </c>
      <c r="B54" s="17" t="s">
        <v>47</v>
      </c>
      <c r="C54" s="17" t="s">
        <v>26</v>
      </c>
      <c r="D54" s="29">
        <v>0.72599999999999998</v>
      </c>
      <c r="E54" s="29">
        <v>0.72599999999999998</v>
      </c>
      <c r="F54" s="29">
        <v>0.747</v>
      </c>
      <c r="G54" s="29">
        <v>0.72699999999999998</v>
      </c>
      <c r="H54" s="29">
        <v>0.73199999999999998</v>
      </c>
      <c r="I54" s="29">
        <v>0.71799999999999997</v>
      </c>
      <c r="J54" s="29">
        <v>0.68700000000000006</v>
      </c>
      <c r="K54" s="29">
        <v>0.66900000000000004</v>
      </c>
      <c r="L54" s="29">
        <v>0.71599999999999997</v>
      </c>
      <c r="M54" s="29">
        <v>0.71599999999999997</v>
      </c>
      <c r="N54" s="29">
        <v>0.72199999999999998</v>
      </c>
      <c r="O54" s="29">
        <v>0.73799999999999999</v>
      </c>
      <c r="P54" s="29">
        <v>0.753</v>
      </c>
      <c r="Q54" s="29">
        <v>0.7609999999999999</v>
      </c>
      <c r="R54" s="29">
        <v>0.752</v>
      </c>
      <c r="S54" s="29">
        <v>0.76900000000000002</v>
      </c>
      <c r="T54" s="29">
        <v>0.77099999999999991</v>
      </c>
      <c r="U54" s="29">
        <v>0.75099999999999989</v>
      </c>
      <c r="V54" s="29">
        <v>0.71299999999999997</v>
      </c>
      <c r="W54" s="117" t="s">
        <v>344</v>
      </c>
      <c r="X54" s="117" t="s">
        <v>344</v>
      </c>
    </row>
    <row r="55" spans="1:24" ht="15.75" customHeight="1" x14ac:dyDescent="0.2">
      <c r="A55" s="30" t="s">
        <v>206</v>
      </c>
      <c r="B55" s="17" t="s">
        <v>47</v>
      </c>
      <c r="C55" s="17" t="s">
        <v>17</v>
      </c>
      <c r="D55" s="29">
        <v>0.77500000000000002</v>
      </c>
      <c r="E55" s="29">
        <v>0.76200000000000001</v>
      </c>
      <c r="F55" s="29">
        <v>0.77200000000000002</v>
      </c>
      <c r="G55" s="29">
        <v>0.78799999999999992</v>
      </c>
      <c r="H55" s="29">
        <v>0.78</v>
      </c>
      <c r="I55" s="29">
        <v>0.74900000000000011</v>
      </c>
      <c r="J55" s="29">
        <v>0.70799999999999996</v>
      </c>
      <c r="K55" s="29">
        <v>0.73099999999999998</v>
      </c>
      <c r="L55" s="29">
        <v>0.72499999999999998</v>
      </c>
      <c r="M55" s="29">
        <v>0.74900000000000011</v>
      </c>
      <c r="N55" s="29">
        <v>0.78099999999999992</v>
      </c>
      <c r="O55" s="29">
        <v>0.7609999999999999</v>
      </c>
      <c r="P55" s="29">
        <v>0.7390000000000001</v>
      </c>
      <c r="Q55" s="29">
        <v>0.74400000000000011</v>
      </c>
      <c r="R55" s="29">
        <v>0.74299999999999999</v>
      </c>
      <c r="S55" s="29">
        <v>0.76200000000000001</v>
      </c>
      <c r="T55" s="29">
        <v>0.79299999999999993</v>
      </c>
      <c r="U55" s="29">
        <v>0.68299999999999994</v>
      </c>
      <c r="V55" s="29">
        <v>0.79400000000000004</v>
      </c>
      <c r="W55" s="117" t="s">
        <v>344</v>
      </c>
      <c r="X55" s="117" t="s">
        <v>344</v>
      </c>
    </row>
    <row r="56" spans="1:24" ht="15.75" customHeight="1" x14ac:dyDescent="0.2">
      <c r="A56" s="30" t="s">
        <v>206</v>
      </c>
      <c r="B56" s="17" t="s">
        <v>47</v>
      </c>
      <c r="C56" s="17" t="s">
        <v>18</v>
      </c>
      <c r="D56" s="29">
        <v>0.85099999999999998</v>
      </c>
      <c r="E56" s="29">
        <v>0.83599999999999997</v>
      </c>
      <c r="F56" s="29">
        <v>0.82700000000000007</v>
      </c>
      <c r="G56" s="29">
        <v>0.8640000000000001</v>
      </c>
      <c r="H56" s="29">
        <v>0.86099999999999999</v>
      </c>
      <c r="I56" s="29">
        <v>0.84799999999999998</v>
      </c>
      <c r="J56" s="29">
        <v>0.85499999999999998</v>
      </c>
      <c r="K56" s="29">
        <v>0.81099999999999994</v>
      </c>
      <c r="L56" s="29">
        <v>0.79700000000000004</v>
      </c>
      <c r="M56" s="29">
        <v>0.83099999999999996</v>
      </c>
      <c r="N56" s="29">
        <v>0.80799999999999994</v>
      </c>
      <c r="O56" s="29">
        <v>0.87400000000000011</v>
      </c>
      <c r="P56" s="29">
        <v>0.86499999999999999</v>
      </c>
      <c r="Q56" s="29">
        <v>0.82700000000000007</v>
      </c>
      <c r="R56" s="29">
        <v>0.81700000000000006</v>
      </c>
      <c r="S56" s="29">
        <v>0.77599999999999991</v>
      </c>
      <c r="T56" s="29">
        <v>0.746</v>
      </c>
      <c r="U56" s="29">
        <v>0.73699999999999999</v>
      </c>
      <c r="V56" s="29">
        <v>0.7609999999999999</v>
      </c>
      <c r="W56" s="117" t="s">
        <v>344</v>
      </c>
      <c r="X56" s="117" t="s">
        <v>344</v>
      </c>
    </row>
    <row r="57" spans="1:24" ht="15.75" customHeight="1" x14ac:dyDescent="0.2">
      <c r="A57" s="30" t="s">
        <v>206</v>
      </c>
      <c r="B57" s="17" t="s">
        <v>47</v>
      </c>
      <c r="C57" s="17" t="s">
        <v>19</v>
      </c>
      <c r="D57" s="29">
        <v>0.71799999999999997</v>
      </c>
      <c r="E57" s="29">
        <v>0.71400000000000008</v>
      </c>
      <c r="F57" s="29">
        <v>0.71799999999999997</v>
      </c>
      <c r="G57" s="29">
        <v>0.74299999999999999</v>
      </c>
      <c r="H57" s="29">
        <v>0.72499999999999998</v>
      </c>
      <c r="I57" s="29">
        <v>0.70599999999999996</v>
      </c>
      <c r="J57" s="29">
        <v>0.67299999999999993</v>
      </c>
      <c r="K57" s="29">
        <v>0.66</v>
      </c>
      <c r="L57" s="29">
        <v>0.69900000000000007</v>
      </c>
      <c r="M57" s="29">
        <v>0.71799999999999997</v>
      </c>
      <c r="N57" s="29">
        <v>0.71599999999999997</v>
      </c>
      <c r="O57" s="29">
        <v>0.7340000000000001</v>
      </c>
      <c r="P57" s="29">
        <v>0.71599999999999997</v>
      </c>
      <c r="Q57" s="29">
        <v>0.73599999999999999</v>
      </c>
      <c r="R57" s="29">
        <v>0.69900000000000007</v>
      </c>
      <c r="S57" s="29">
        <v>0.7390000000000001</v>
      </c>
      <c r="T57" s="29">
        <v>0.71700000000000008</v>
      </c>
      <c r="U57" s="29">
        <v>0.68299999999999994</v>
      </c>
      <c r="V57" s="29">
        <v>0.67400000000000004</v>
      </c>
      <c r="W57" s="117" t="s">
        <v>344</v>
      </c>
      <c r="X57" s="117" t="s">
        <v>344</v>
      </c>
    </row>
    <row r="58" spans="1:24" ht="15.75" customHeight="1" x14ac:dyDescent="0.2">
      <c r="A58" s="30" t="s">
        <v>206</v>
      </c>
      <c r="B58" s="17" t="s">
        <v>47</v>
      </c>
      <c r="C58" s="17" t="s">
        <v>20</v>
      </c>
      <c r="D58" s="29">
        <v>0.73099999999999998</v>
      </c>
      <c r="E58" s="29">
        <v>0.72299999999999998</v>
      </c>
      <c r="F58" s="29">
        <v>0.745</v>
      </c>
      <c r="G58" s="29">
        <v>0.76700000000000002</v>
      </c>
      <c r="H58" s="29">
        <v>0.7390000000000001</v>
      </c>
      <c r="I58" s="29">
        <v>0.71799999999999997</v>
      </c>
      <c r="J58" s="29">
        <v>0.71400000000000008</v>
      </c>
      <c r="K58" s="29">
        <v>0.72099999999999997</v>
      </c>
      <c r="L58" s="29">
        <v>0.75099999999999989</v>
      </c>
      <c r="M58" s="29">
        <v>0.71499999999999997</v>
      </c>
      <c r="N58" s="29">
        <v>0.73799999999999999</v>
      </c>
      <c r="O58" s="29">
        <v>0.7609999999999999</v>
      </c>
      <c r="P58" s="29">
        <v>0.75099999999999989</v>
      </c>
      <c r="Q58" s="29">
        <v>0.747</v>
      </c>
      <c r="R58" s="29">
        <v>0.76400000000000001</v>
      </c>
      <c r="S58" s="29">
        <v>0.7659999999999999</v>
      </c>
      <c r="T58" s="29">
        <v>0.76900000000000002</v>
      </c>
      <c r="U58" s="29">
        <v>0.77700000000000002</v>
      </c>
      <c r="V58" s="29">
        <v>0.79799999999999993</v>
      </c>
      <c r="W58" s="117" t="s">
        <v>344</v>
      </c>
      <c r="X58" s="117" t="s">
        <v>344</v>
      </c>
    </row>
    <row r="59" spans="1:24" ht="15.75" customHeight="1" x14ac:dyDescent="0.2">
      <c r="A59" s="30" t="s">
        <v>206</v>
      </c>
      <c r="B59" s="17" t="s">
        <v>47</v>
      </c>
      <c r="C59" s="17" t="s">
        <v>21</v>
      </c>
      <c r="D59" s="29">
        <v>0.745</v>
      </c>
      <c r="E59" s="29">
        <v>0.73599999999999999</v>
      </c>
      <c r="F59" s="29">
        <v>0.73499999999999999</v>
      </c>
      <c r="G59" s="29">
        <v>0.74900000000000011</v>
      </c>
      <c r="H59" s="29">
        <v>0.74099999999999999</v>
      </c>
      <c r="I59" s="29">
        <v>0.73199999999999998</v>
      </c>
      <c r="J59" s="29">
        <v>0.70099999999999996</v>
      </c>
      <c r="K59" s="29">
        <v>0.71</v>
      </c>
      <c r="L59" s="29">
        <v>0.67400000000000004</v>
      </c>
      <c r="M59" s="29">
        <v>0.71599999999999997</v>
      </c>
      <c r="N59" s="29">
        <v>0.754</v>
      </c>
      <c r="O59" s="29">
        <v>0.70299999999999996</v>
      </c>
      <c r="P59" s="29">
        <v>0.73099999999999998</v>
      </c>
      <c r="Q59" s="29">
        <v>0.73</v>
      </c>
      <c r="R59" s="29">
        <v>0.71900000000000008</v>
      </c>
      <c r="S59" s="29">
        <v>0.73</v>
      </c>
      <c r="T59" s="29">
        <v>0.746</v>
      </c>
      <c r="U59" s="29">
        <v>0.7340000000000001</v>
      </c>
      <c r="V59" s="29">
        <v>0.76400000000000001</v>
      </c>
      <c r="W59" s="117" t="s">
        <v>344</v>
      </c>
      <c r="X59" s="117" t="s">
        <v>344</v>
      </c>
    </row>
    <row r="60" spans="1:24" ht="15.75" customHeight="1" x14ac:dyDescent="0.2">
      <c r="A60" s="30" t="s">
        <v>206</v>
      </c>
      <c r="B60" s="17" t="s">
        <v>47</v>
      </c>
      <c r="C60" s="17" t="s">
        <v>27</v>
      </c>
      <c r="D60" s="29">
        <v>0.69299999999999995</v>
      </c>
      <c r="E60" s="29">
        <v>0.69</v>
      </c>
      <c r="F60" s="29">
        <v>0.71299999999999997</v>
      </c>
      <c r="G60" s="29">
        <v>0.71700000000000008</v>
      </c>
      <c r="H60" s="29">
        <v>0.69799999999999995</v>
      </c>
      <c r="I60" s="29">
        <v>0.67799999999999994</v>
      </c>
      <c r="J60" s="29">
        <v>0.67</v>
      </c>
      <c r="K60" s="29">
        <v>0.68400000000000005</v>
      </c>
      <c r="L60" s="29">
        <v>0.67</v>
      </c>
      <c r="M60" s="29">
        <v>0.65300000000000002</v>
      </c>
      <c r="N60" s="29">
        <v>0.67099999999999993</v>
      </c>
      <c r="O60" s="29">
        <v>0.68799999999999994</v>
      </c>
      <c r="P60" s="29">
        <v>0.71099999999999997</v>
      </c>
      <c r="Q60" s="29">
        <v>0.72</v>
      </c>
      <c r="R60" s="29">
        <v>0.72199999999999998</v>
      </c>
      <c r="S60" s="29">
        <v>0.7390000000000001</v>
      </c>
      <c r="T60" s="29">
        <v>0.72799999999999998</v>
      </c>
      <c r="U60" s="29">
        <v>0.70400000000000007</v>
      </c>
      <c r="V60" s="29">
        <v>0.75800000000000001</v>
      </c>
      <c r="W60" s="117" t="s">
        <v>344</v>
      </c>
      <c r="X60" s="117" t="s">
        <v>344</v>
      </c>
    </row>
    <row r="61" spans="1:24" ht="15.75" customHeight="1" x14ac:dyDescent="0.2">
      <c r="A61" s="30" t="s">
        <v>206</v>
      </c>
      <c r="B61" s="17" t="s">
        <v>47</v>
      </c>
      <c r="C61" s="17" t="s">
        <v>28</v>
      </c>
      <c r="D61" s="29">
        <v>0.77</v>
      </c>
      <c r="E61" s="29">
        <v>0.74900000000000011</v>
      </c>
      <c r="F61" s="29">
        <v>0.76900000000000002</v>
      </c>
      <c r="G61" s="29">
        <v>0.752</v>
      </c>
      <c r="H61" s="29">
        <v>0.76700000000000002</v>
      </c>
      <c r="I61" s="29">
        <v>0.72699999999999998</v>
      </c>
      <c r="J61" s="29">
        <v>0.7340000000000001</v>
      </c>
      <c r="K61" s="29">
        <v>0.72400000000000009</v>
      </c>
      <c r="L61" s="29">
        <v>0.74199999999999999</v>
      </c>
      <c r="M61" s="29">
        <v>0.73199999999999998</v>
      </c>
      <c r="N61" s="29">
        <v>0.77300000000000002</v>
      </c>
      <c r="O61" s="29">
        <v>0.73199999999999998</v>
      </c>
      <c r="P61" s="29">
        <v>0.755</v>
      </c>
      <c r="Q61" s="29">
        <v>0.78</v>
      </c>
      <c r="R61" s="29">
        <v>0.7609999999999999</v>
      </c>
      <c r="S61" s="29">
        <v>0.77800000000000002</v>
      </c>
      <c r="T61" s="29">
        <v>0.745</v>
      </c>
      <c r="U61" s="29">
        <v>0.73799999999999999</v>
      </c>
      <c r="V61" s="29">
        <v>0.76900000000000002</v>
      </c>
      <c r="W61" s="117" t="s">
        <v>344</v>
      </c>
      <c r="X61" s="117" t="s">
        <v>344</v>
      </c>
    </row>
    <row r="62" spans="1:24" ht="31.5" customHeight="1" x14ac:dyDescent="0.2">
      <c r="A62" s="30" t="s">
        <v>206</v>
      </c>
      <c r="B62" s="17" t="s">
        <v>182</v>
      </c>
      <c r="C62" s="17" t="s">
        <v>54</v>
      </c>
      <c r="D62" s="29" t="s">
        <v>190</v>
      </c>
      <c r="E62" s="29" t="s">
        <v>190</v>
      </c>
      <c r="F62" s="29" t="s">
        <v>190</v>
      </c>
      <c r="G62" s="29" t="s">
        <v>190</v>
      </c>
      <c r="H62" s="29" t="s">
        <v>190</v>
      </c>
      <c r="I62" s="29" t="s">
        <v>190</v>
      </c>
      <c r="J62" s="29" t="s">
        <v>190</v>
      </c>
      <c r="K62" s="29" t="s">
        <v>190</v>
      </c>
      <c r="L62" s="29">
        <v>0.79200000000000004</v>
      </c>
      <c r="M62" s="29">
        <v>0.77700000000000002</v>
      </c>
      <c r="N62" s="29">
        <v>0.77800000000000002</v>
      </c>
      <c r="O62" s="29">
        <v>0.78599999999999992</v>
      </c>
      <c r="P62" s="29">
        <v>0.74199999999999999</v>
      </c>
      <c r="Q62" s="29">
        <v>0.79500000000000004</v>
      </c>
      <c r="R62" s="29">
        <v>0.76800000000000002</v>
      </c>
      <c r="S62" s="29">
        <v>0.80099999999999993</v>
      </c>
      <c r="T62" s="29">
        <v>0.74400000000000011</v>
      </c>
      <c r="U62" s="29">
        <v>0.76200000000000001</v>
      </c>
      <c r="V62" s="65">
        <v>0.74199999999999999</v>
      </c>
      <c r="W62" s="117" t="s">
        <v>344</v>
      </c>
      <c r="X62" s="117" t="s">
        <v>344</v>
      </c>
    </row>
    <row r="63" spans="1:24" ht="15.75" customHeight="1" x14ac:dyDescent="0.2">
      <c r="A63" s="30" t="s">
        <v>206</v>
      </c>
      <c r="B63" s="17" t="s">
        <v>182</v>
      </c>
      <c r="C63" s="17" t="s">
        <v>55</v>
      </c>
      <c r="D63" s="29" t="s">
        <v>190</v>
      </c>
      <c r="E63" s="29" t="s">
        <v>190</v>
      </c>
      <c r="F63" s="29" t="s">
        <v>190</v>
      </c>
      <c r="G63" s="29" t="s">
        <v>190</v>
      </c>
      <c r="H63" s="29" t="s">
        <v>190</v>
      </c>
      <c r="I63" s="29" t="s">
        <v>190</v>
      </c>
      <c r="J63" s="29" t="s">
        <v>190</v>
      </c>
      <c r="K63" s="29" t="s">
        <v>190</v>
      </c>
      <c r="L63" s="29">
        <v>0.77200000000000002</v>
      </c>
      <c r="M63" s="29">
        <v>0.64800000000000002</v>
      </c>
      <c r="N63" s="29">
        <v>0.74900000000000011</v>
      </c>
      <c r="O63" s="29">
        <v>0.70900000000000007</v>
      </c>
      <c r="P63" s="29">
        <v>0.624</v>
      </c>
      <c r="Q63" s="29">
        <v>0.747</v>
      </c>
      <c r="R63" s="29">
        <v>0.80799999999999994</v>
      </c>
      <c r="S63" s="29">
        <v>0.75099999999999989</v>
      </c>
      <c r="T63" s="29">
        <v>0.69099999999999995</v>
      </c>
      <c r="U63" s="29">
        <v>0.8859999999999999</v>
      </c>
      <c r="V63" s="65">
        <v>0.60299999999999998</v>
      </c>
      <c r="W63" s="117" t="s">
        <v>344</v>
      </c>
      <c r="X63" s="117" t="s">
        <v>344</v>
      </c>
    </row>
    <row r="64" spans="1:24" ht="15.75" customHeight="1" x14ac:dyDescent="0.2">
      <c r="A64" s="30" t="s">
        <v>206</v>
      </c>
      <c r="B64" s="17" t="s">
        <v>182</v>
      </c>
      <c r="C64" s="17" t="s">
        <v>56</v>
      </c>
      <c r="D64" s="29" t="s">
        <v>190</v>
      </c>
      <c r="E64" s="29" t="s">
        <v>190</v>
      </c>
      <c r="F64" s="29" t="s">
        <v>190</v>
      </c>
      <c r="G64" s="29" t="s">
        <v>190</v>
      </c>
      <c r="H64" s="29" t="s">
        <v>190</v>
      </c>
      <c r="I64" s="29" t="s">
        <v>190</v>
      </c>
      <c r="J64" s="29" t="s">
        <v>190</v>
      </c>
      <c r="K64" s="29" t="s">
        <v>190</v>
      </c>
      <c r="L64" s="29">
        <v>0.71900000000000008</v>
      </c>
      <c r="M64" s="29">
        <v>0.65500000000000003</v>
      </c>
      <c r="N64" s="29">
        <v>0.63600000000000001</v>
      </c>
      <c r="O64" s="29">
        <v>0.7390000000000001</v>
      </c>
      <c r="P64" s="29">
        <v>0.78400000000000003</v>
      </c>
      <c r="Q64" s="29">
        <v>0.72400000000000009</v>
      </c>
      <c r="R64" s="29">
        <v>0.71400000000000008</v>
      </c>
      <c r="S64" s="29">
        <v>0.70299999999999996</v>
      </c>
      <c r="T64" s="29">
        <v>0.67700000000000005</v>
      </c>
      <c r="U64" s="29">
        <v>0.72499999999999998</v>
      </c>
      <c r="V64" s="65">
        <v>0.71099999999999997</v>
      </c>
      <c r="W64" s="117" t="s">
        <v>344</v>
      </c>
      <c r="X64" s="117" t="s">
        <v>344</v>
      </c>
    </row>
    <row r="65" spans="1:24" ht="15.75" customHeight="1" x14ac:dyDescent="0.2">
      <c r="A65" s="30" t="s">
        <v>206</v>
      </c>
      <c r="B65" s="17" t="s">
        <v>182</v>
      </c>
      <c r="C65" s="17" t="s">
        <v>57</v>
      </c>
      <c r="D65" s="29" t="s">
        <v>190</v>
      </c>
      <c r="E65" s="29" t="s">
        <v>190</v>
      </c>
      <c r="F65" s="29" t="s">
        <v>190</v>
      </c>
      <c r="G65" s="29" t="s">
        <v>190</v>
      </c>
      <c r="H65" s="29" t="s">
        <v>190</v>
      </c>
      <c r="I65" s="29" t="s">
        <v>190</v>
      </c>
      <c r="J65" s="29" t="s">
        <v>190</v>
      </c>
      <c r="K65" s="29" t="s">
        <v>190</v>
      </c>
      <c r="L65" s="29">
        <v>0.75900000000000001</v>
      </c>
      <c r="M65" s="29">
        <v>0.68</v>
      </c>
      <c r="N65" s="29">
        <v>0.78400000000000003</v>
      </c>
      <c r="O65" s="29">
        <v>0.83900000000000008</v>
      </c>
      <c r="P65" s="29">
        <v>0.93</v>
      </c>
      <c r="Q65" s="29">
        <v>0.80799999999999994</v>
      </c>
      <c r="R65" s="29">
        <v>0.745</v>
      </c>
      <c r="S65" s="29">
        <v>0.90900000000000003</v>
      </c>
      <c r="T65" s="29">
        <v>0.83</v>
      </c>
      <c r="U65" s="29">
        <v>0.67900000000000005</v>
      </c>
      <c r="V65" s="65">
        <v>0.65</v>
      </c>
      <c r="W65" s="117" t="s">
        <v>344</v>
      </c>
      <c r="X65" s="117" t="s">
        <v>344</v>
      </c>
    </row>
    <row r="66" spans="1:24" ht="15.75" customHeight="1" x14ac:dyDescent="0.2">
      <c r="A66" s="30" t="s">
        <v>206</v>
      </c>
      <c r="B66" s="17" t="s">
        <v>182</v>
      </c>
      <c r="C66" s="17" t="s">
        <v>58</v>
      </c>
      <c r="D66" s="29" t="s">
        <v>190</v>
      </c>
      <c r="E66" s="29" t="s">
        <v>190</v>
      </c>
      <c r="F66" s="29" t="s">
        <v>190</v>
      </c>
      <c r="G66" s="29" t="s">
        <v>190</v>
      </c>
      <c r="H66" s="29" t="s">
        <v>190</v>
      </c>
      <c r="I66" s="29" t="s">
        <v>190</v>
      </c>
      <c r="J66" s="29" t="s">
        <v>190</v>
      </c>
      <c r="K66" s="29" t="s">
        <v>190</v>
      </c>
      <c r="L66" s="29">
        <v>0.69</v>
      </c>
      <c r="M66" s="29">
        <v>0.70700000000000007</v>
      </c>
      <c r="N66" s="29">
        <v>0.71299999999999997</v>
      </c>
      <c r="O66" s="29">
        <v>0.72099999999999997</v>
      </c>
      <c r="P66" s="29">
        <v>0.70400000000000007</v>
      </c>
      <c r="Q66" s="29">
        <v>0.72799999999999998</v>
      </c>
      <c r="R66" s="29">
        <v>0.67799999999999994</v>
      </c>
      <c r="S66" s="29">
        <v>0.73099999999999998</v>
      </c>
      <c r="T66" s="29">
        <v>0.71299999999999997</v>
      </c>
      <c r="U66" s="29">
        <v>0.69499999999999995</v>
      </c>
      <c r="V66" s="65">
        <v>0.69799999999999995</v>
      </c>
      <c r="W66" s="117" t="s">
        <v>344</v>
      </c>
      <c r="X66" s="117" t="s">
        <v>344</v>
      </c>
    </row>
    <row r="67" spans="1:24" ht="15.75" customHeight="1" x14ac:dyDescent="0.2">
      <c r="A67" s="30" t="s">
        <v>206</v>
      </c>
      <c r="B67" s="17" t="s">
        <v>182</v>
      </c>
      <c r="C67" s="17" t="s">
        <v>96</v>
      </c>
      <c r="D67" s="29" t="s">
        <v>190</v>
      </c>
      <c r="E67" s="29" t="s">
        <v>190</v>
      </c>
      <c r="F67" s="29" t="s">
        <v>190</v>
      </c>
      <c r="G67" s="29" t="s">
        <v>190</v>
      </c>
      <c r="H67" s="29" t="s">
        <v>190</v>
      </c>
      <c r="I67" s="29" t="s">
        <v>190</v>
      </c>
      <c r="J67" s="29" t="s">
        <v>190</v>
      </c>
      <c r="K67" s="29" t="s">
        <v>190</v>
      </c>
      <c r="L67" s="29">
        <v>0.69200000000000006</v>
      </c>
      <c r="M67" s="29">
        <v>0.79200000000000004</v>
      </c>
      <c r="N67" s="29">
        <v>0.81</v>
      </c>
      <c r="O67" s="29">
        <v>0.74199999999999999</v>
      </c>
      <c r="P67" s="29">
        <v>0.73099999999999998</v>
      </c>
      <c r="Q67" s="29">
        <v>0.75900000000000001</v>
      </c>
      <c r="R67" s="29">
        <v>0.70799999999999996</v>
      </c>
      <c r="S67" s="29">
        <v>0.69700000000000006</v>
      </c>
      <c r="T67" s="29">
        <v>0.66500000000000004</v>
      </c>
      <c r="U67" s="29">
        <v>0.64500000000000002</v>
      </c>
      <c r="V67" s="65">
        <v>0.78100000000000003</v>
      </c>
      <c r="W67" s="117" t="s">
        <v>344</v>
      </c>
      <c r="X67" s="117" t="s">
        <v>344</v>
      </c>
    </row>
    <row r="68" spans="1:24" ht="15.75" customHeight="1" x14ac:dyDescent="0.2">
      <c r="A68" s="30" t="s">
        <v>206</v>
      </c>
      <c r="B68" s="17" t="s">
        <v>182</v>
      </c>
      <c r="C68" s="17" t="s">
        <v>59</v>
      </c>
      <c r="D68" s="29" t="s">
        <v>190</v>
      </c>
      <c r="E68" s="29" t="s">
        <v>190</v>
      </c>
      <c r="F68" s="29" t="s">
        <v>190</v>
      </c>
      <c r="G68" s="29" t="s">
        <v>190</v>
      </c>
      <c r="H68" s="29" t="s">
        <v>190</v>
      </c>
      <c r="I68" s="29" t="s">
        <v>190</v>
      </c>
      <c r="J68" s="29" t="s">
        <v>190</v>
      </c>
      <c r="K68" s="29" t="s">
        <v>190</v>
      </c>
      <c r="L68" s="29">
        <v>0.66400000000000003</v>
      </c>
      <c r="M68" s="29">
        <v>0.73699999999999999</v>
      </c>
      <c r="N68" s="29">
        <v>0.56700000000000006</v>
      </c>
      <c r="O68" s="29">
        <v>0.66900000000000004</v>
      </c>
      <c r="P68" s="29">
        <v>0.86199999999999999</v>
      </c>
      <c r="Q68" s="29">
        <v>0.83200000000000007</v>
      </c>
      <c r="R68" s="29">
        <v>0.78</v>
      </c>
      <c r="S68" s="29">
        <v>0.54600000000000004</v>
      </c>
      <c r="T68" s="29">
        <v>0.84200000000000008</v>
      </c>
      <c r="U68" s="29">
        <v>0.625</v>
      </c>
      <c r="V68" s="65">
        <v>0.52700000000000002</v>
      </c>
      <c r="W68" s="117" t="s">
        <v>344</v>
      </c>
      <c r="X68" s="117" t="s">
        <v>344</v>
      </c>
    </row>
    <row r="69" spans="1:24" ht="15.75" customHeight="1" x14ac:dyDescent="0.2">
      <c r="A69" s="30" t="s">
        <v>206</v>
      </c>
      <c r="B69" s="17" t="s">
        <v>182</v>
      </c>
      <c r="C69" s="17" t="s">
        <v>60</v>
      </c>
      <c r="D69" s="29" t="s">
        <v>190</v>
      </c>
      <c r="E69" s="29" t="s">
        <v>190</v>
      </c>
      <c r="F69" s="29" t="s">
        <v>190</v>
      </c>
      <c r="G69" s="29" t="s">
        <v>190</v>
      </c>
      <c r="H69" s="29" t="s">
        <v>190</v>
      </c>
      <c r="I69" s="29" t="s">
        <v>190</v>
      </c>
      <c r="J69" s="29" t="s">
        <v>190</v>
      </c>
      <c r="K69" s="29" t="s">
        <v>190</v>
      </c>
      <c r="L69" s="29">
        <v>0.77200000000000002</v>
      </c>
      <c r="M69" s="29">
        <v>0.69900000000000007</v>
      </c>
      <c r="N69" s="29">
        <v>0.83099999999999996</v>
      </c>
      <c r="O69" s="29">
        <v>0.76400000000000001</v>
      </c>
      <c r="P69" s="29">
        <v>0.72799999999999998</v>
      </c>
      <c r="Q69" s="29">
        <v>0.84499999999999997</v>
      </c>
      <c r="R69" s="29">
        <v>0.80500000000000005</v>
      </c>
      <c r="S69" s="29">
        <v>0.79599999999999993</v>
      </c>
      <c r="T69" s="29">
        <v>0.752</v>
      </c>
      <c r="U69" s="29">
        <v>0.85299999999999998</v>
      </c>
      <c r="V69" s="65">
        <v>0.74299999999999999</v>
      </c>
      <c r="W69" s="117" t="s">
        <v>344</v>
      </c>
      <c r="X69" s="117" t="s">
        <v>344</v>
      </c>
    </row>
    <row r="70" spans="1:24" ht="15.75" customHeight="1" x14ac:dyDescent="0.2">
      <c r="A70" s="30" t="s">
        <v>206</v>
      </c>
      <c r="B70" s="17" t="s">
        <v>182</v>
      </c>
      <c r="C70" s="17" t="s">
        <v>97</v>
      </c>
      <c r="D70" s="29" t="s">
        <v>190</v>
      </c>
      <c r="E70" s="29" t="s">
        <v>190</v>
      </c>
      <c r="F70" s="29" t="s">
        <v>190</v>
      </c>
      <c r="G70" s="29" t="s">
        <v>190</v>
      </c>
      <c r="H70" s="29" t="s">
        <v>190</v>
      </c>
      <c r="I70" s="29" t="s">
        <v>190</v>
      </c>
      <c r="J70" s="29" t="s">
        <v>190</v>
      </c>
      <c r="K70" s="29" t="s">
        <v>190</v>
      </c>
      <c r="L70" s="29">
        <v>0.70400000000000007</v>
      </c>
      <c r="M70" s="29">
        <v>0.67900000000000005</v>
      </c>
      <c r="N70" s="29">
        <v>0.74199999999999999</v>
      </c>
      <c r="O70" s="29">
        <v>0.78799999999999992</v>
      </c>
      <c r="P70" s="29">
        <v>0.81799999999999995</v>
      </c>
      <c r="Q70" s="29">
        <v>0.85099999999999998</v>
      </c>
      <c r="R70" s="29">
        <v>0.72799999999999998</v>
      </c>
      <c r="S70" s="29">
        <v>0.745</v>
      </c>
      <c r="T70" s="29">
        <v>0.69299999999999995</v>
      </c>
      <c r="U70" s="29">
        <v>0.59099999999999997</v>
      </c>
      <c r="V70" s="65">
        <v>0.67500000000000004</v>
      </c>
      <c r="W70" s="117" t="s">
        <v>344</v>
      </c>
      <c r="X70" s="117" t="s">
        <v>344</v>
      </c>
    </row>
    <row r="71" spans="1:24" ht="15.75" customHeight="1" x14ac:dyDescent="0.2">
      <c r="A71" s="30" t="s">
        <v>206</v>
      </c>
      <c r="B71" s="17" t="s">
        <v>182</v>
      </c>
      <c r="C71" s="17" t="s">
        <v>61</v>
      </c>
      <c r="D71" s="29" t="s">
        <v>190</v>
      </c>
      <c r="E71" s="29" t="s">
        <v>190</v>
      </c>
      <c r="F71" s="29" t="s">
        <v>190</v>
      </c>
      <c r="G71" s="29" t="s">
        <v>190</v>
      </c>
      <c r="H71" s="29" t="s">
        <v>190</v>
      </c>
      <c r="I71" s="29" t="s">
        <v>190</v>
      </c>
      <c r="J71" s="29" t="s">
        <v>190</v>
      </c>
      <c r="K71" s="29" t="s">
        <v>190</v>
      </c>
      <c r="L71" s="29">
        <v>0.70700000000000007</v>
      </c>
      <c r="M71" s="29">
        <v>0.72</v>
      </c>
      <c r="N71" s="29">
        <v>0.68500000000000005</v>
      </c>
      <c r="O71" s="29">
        <v>0.7390000000000001</v>
      </c>
      <c r="P71" s="29">
        <v>0.80299999999999994</v>
      </c>
      <c r="Q71" s="29">
        <v>0.82499999999999996</v>
      </c>
      <c r="R71" s="29">
        <v>0.85099999999999998</v>
      </c>
      <c r="S71" s="29">
        <v>0.873</v>
      </c>
      <c r="T71" s="29">
        <v>0.70700000000000007</v>
      </c>
      <c r="U71" s="29">
        <v>0.76200000000000001</v>
      </c>
      <c r="V71" s="65">
        <v>0.78900000000000003</v>
      </c>
      <c r="W71" s="117" t="s">
        <v>344</v>
      </c>
      <c r="X71" s="117" t="s">
        <v>344</v>
      </c>
    </row>
    <row r="72" spans="1:24" ht="15.75" customHeight="1" x14ac:dyDescent="0.2">
      <c r="A72" s="30" t="s">
        <v>206</v>
      </c>
      <c r="B72" s="17" t="s">
        <v>182</v>
      </c>
      <c r="C72" s="17" t="s">
        <v>62</v>
      </c>
      <c r="D72" s="29" t="s">
        <v>190</v>
      </c>
      <c r="E72" s="29" t="s">
        <v>190</v>
      </c>
      <c r="F72" s="29" t="s">
        <v>190</v>
      </c>
      <c r="G72" s="29" t="s">
        <v>190</v>
      </c>
      <c r="H72" s="29" t="s">
        <v>190</v>
      </c>
      <c r="I72" s="29" t="s">
        <v>190</v>
      </c>
      <c r="J72" s="29" t="s">
        <v>190</v>
      </c>
      <c r="K72" s="29" t="s">
        <v>190</v>
      </c>
      <c r="L72" s="29">
        <v>0.68599999999999994</v>
      </c>
      <c r="M72" s="29">
        <v>0.69700000000000006</v>
      </c>
      <c r="N72" s="29">
        <v>0.70799999999999996</v>
      </c>
      <c r="O72" s="29">
        <v>0.73099999999999998</v>
      </c>
      <c r="P72" s="29">
        <v>0.75099999999999989</v>
      </c>
      <c r="Q72" s="29">
        <v>0.74099999999999999</v>
      </c>
      <c r="R72" s="29">
        <v>0.7609999999999999</v>
      </c>
      <c r="S72" s="29">
        <v>0.73799999999999999</v>
      </c>
      <c r="T72" s="29">
        <v>0.754</v>
      </c>
      <c r="U72" s="29">
        <v>0.76200000000000001</v>
      </c>
      <c r="V72" s="65">
        <v>0.77800000000000002</v>
      </c>
      <c r="W72" s="117" t="s">
        <v>344</v>
      </c>
      <c r="X72" s="117" t="s">
        <v>344</v>
      </c>
    </row>
    <row r="73" spans="1:24" ht="15.75" customHeight="1" x14ac:dyDescent="0.2">
      <c r="A73" s="30" t="s">
        <v>206</v>
      </c>
      <c r="B73" s="17" t="s">
        <v>182</v>
      </c>
      <c r="C73" s="17" t="s">
        <v>63</v>
      </c>
      <c r="D73" s="29" t="s">
        <v>190</v>
      </c>
      <c r="E73" s="29" t="s">
        <v>190</v>
      </c>
      <c r="F73" s="29" t="s">
        <v>190</v>
      </c>
      <c r="G73" s="29" t="s">
        <v>190</v>
      </c>
      <c r="H73" s="29" t="s">
        <v>190</v>
      </c>
      <c r="I73" s="29" t="s">
        <v>190</v>
      </c>
      <c r="J73" s="29" t="s">
        <v>190</v>
      </c>
      <c r="K73" s="29" t="s">
        <v>190</v>
      </c>
      <c r="L73" s="29">
        <v>0.66599999999999993</v>
      </c>
      <c r="M73" s="29">
        <v>0.71</v>
      </c>
      <c r="N73" s="29">
        <v>0.71900000000000008</v>
      </c>
      <c r="O73" s="29">
        <v>0.76400000000000001</v>
      </c>
      <c r="P73" s="29">
        <v>0.753</v>
      </c>
      <c r="Q73" s="29">
        <v>0.755</v>
      </c>
      <c r="R73" s="29">
        <v>0.72</v>
      </c>
      <c r="S73" s="29">
        <v>0.747</v>
      </c>
      <c r="T73" s="29">
        <v>0.67</v>
      </c>
      <c r="U73" s="29">
        <v>0.754</v>
      </c>
      <c r="V73" s="65">
        <v>0.65799999999999992</v>
      </c>
      <c r="W73" s="117" t="s">
        <v>344</v>
      </c>
      <c r="X73" s="117" t="s">
        <v>344</v>
      </c>
    </row>
    <row r="74" spans="1:24" ht="15.75" customHeight="1" x14ac:dyDescent="0.2">
      <c r="A74" s="30" t="s">
        <v>206</v>
      </c>
      <c r="B74" s="17" t="s">
        <v>182</v>
      </c>
      <c r="C74" s="17" t="s">
        <v>64</v>
      </c>
      <c r="D74" s="29" t="s">
        <v>190</v>
      </c>
      <c r="E74" s="29" t="s">
        <v>190</v>
      </c>
      <c r="F74" s="29" t="s">
        <v>190</v>
      </c>
      <c r="G74" s="29" t="s">
        <v>190</v>
      </c>
      <c r="H74" s="29" t="s">
        <v>190</v>
      </c>
      <c r="I74" s="29" t="s">
        <v>190</v>
      </c>
      <c r="J74" s="29" t="s">
        <v>190</v>
      </c>
      <c r="K74" s="29" t="s">
        <v>190</v>
      </c>
      <c r="L74" s="29">
        <v>0.68799999999999994</v>
      </c>
      <c r="M74" s="29">
        <v>0.67799999999999994</v>
      </c>
      <c r="N74" s="29">
        <v>0.67599999999999993</v>
      </c>
      <c r="O74" s="29">
        <v>0.68299999999999994</v>
      </c>
      <c r="P74" s="29">
        <v>0.71099999999999997</v>
      </c>
      <c r="Q74" s="29">
        <v>0.7</v>
      </c>
      <c r="R74" s="29">
        <v>0.71</v>
      </c>
      <c r="S74" s="29">
        <v>0.72900000000000009</v>
      </c>
      <c r="T74" s="29">
        <v>0.7340000000000001</v>
      </c>
      <c r="U74" s="29">
        <v>0.72699999999999998</v>
      </c>
      <c r="V74" s="65">
        <v>0.71799999999999997</v>
      </c>
      <c r="W74" s="117" t="s">
        <v>344</v>
      </c>
      <c r="X74" s="117" t="s">
        <v>344</v>
      </c>
    </row>
    <row r="75" spans="1:24" ht="15.75" customHeight="1" x14ac:dyDescent="0.2">
      <c r="A75" s="30" t="s">
        <v>206</v>
      </c>
      <c r="B75" s="17" t="s">
        <v>182</v>
      </c>
      <c r="C75" s="17" t="s">
        <v>65</v>
      </c>
      <c r="D75" s="29" t="s">
        <v>190</v>
      </c>
      <c r="E75" s="29" t="s">
        <v>190</v>
      </c>
      <c r="F75" s="29" t="s">
        <v>190</v>
      </c>
      <c r="G75" s="29" t="s">
        <v>190</v>
      </c>
      <c r="H75" s="29" t="s">
        <v>190</v>
      </c>
      <c r="I75" s="29" t="s">
        <v>190</v>
      </c>
      <c r="J75" s="29" t="s">
        <v>190</v>
      </c>
      <c r="K75" s="29" t="s">
        <v>190</v>
      </c>
      <c r="L75" s="29">
        <v>0.69</v>
      </c>
      <c r="M75" s="29">
        <v>0.69200000000000006</v>
      </c>
      <c r="N75" s="29">
        <v>0.73299999999999998</v>
      </c>
      <c r="O75" s="29">
        <v>0.73</v>
      </c>
      <c r="P75" s="29">
        <v>0.74</v>
      </c>
      <c r="Q75" s="29">
        <v>0.75099999999999989</v>
      </c>
      <c r="R75" s="29">
        <v>0.7609999999999999</v>
      </c>
      <c r="S75" s="29">
        <v>0.74400000000000011</v>
      </c>
      <c r="T75" s="29">
        <v>0.70200000000000007</v>
      </c>
      <c r="U75" s="29">
        <v>0.68799999999999994</v>
      </c>
      <c r="V75" s="65">
        <v>0.73299999999999998</v>
      </c>
      <c r="W75" s="117" t="s">
        <v>344</v>
      </c>
      <c r="X75" s="117" t="s">
        <v>344</v>
      </c>
    </row>
    <row r="76" spans="1:24" ht="15.75" customHeight="1" x14ac:dyDescent="0.2">
      <c r="A76" s="30" t="s">
        <v>206</v>
      </c>
      <c r="B76" s="17" t="s">
        <v>182</v>
      </c>
      <c r="C76" s="17" t="s">
        <v>66</v>
      </c>
      <c r="D76" s="29" t="s">
        <v>190</v>
      </c>
      <c r="E76" s="29" t="s">
        <v>190</v>
      </c>
      <c r="F76" s="29" t="s">
        <v>190</v>
      </c>
      <c r="G76" s="29" t="s">
        <v>190</v>
      </c>
      <c r="H76" s="29" t="s">
        <v>190</v>
      </c>
      <c r="I76" s="29" t="s">
        <v>190</v>
      </c>
      <c r="J76" s="29" t="s">
        <v>190</v>
      </c>
      <c r="K76" s="29" t="s">
        <v>190</v>
      </c>
      <c r="L76" s="29">
        <v>0.61</v>
      </c>
      <c r="M76" s="29">
        <v>0.66099999999999992</v>
      </c>
      <c r="N76" s="29">
        <v>0.70200000000000007</v>
      </c>
      <c r="O76" s="29">
        <v>0.70200000000000007</v>
      </c>
      <c r="P76" s="29">
        <v>0.752</v>
      </c>
      <c r="Q76" s="29">
        <v>0.75700000000000001</v>
      </c>
      <c r="R76" s="29">
        <v>0.74099999999999999</v>
      </c>
      <c r="S76" s="29">
        <v>0.72499999999999998</v>
      </c>
      <c r="T76" s="29">
        <v>0.69599999999999995</v>
      </c>
      <c r="U76" s="29">
        <v>0.67900000000000005</v>
      </c>
      <c r="V76" s="65">
        <v>0.6409999999999999</v>
      </c>
      <c r="W76" s="117" t="s">
        <v>344</v>
      </c>
      <c r="X76" s="117" t="s">
        <v>344</v>
      </c>
    </row>
    <row r="77" spans="1:24" ht="15.75" customHeight="1" x14ac:dyDescent="0.2">
      <c r="A77" s="30" t="s">
        <v>206</v>
      </c>
      <c r="B77" s="17" t="s">
        <v>182</v>
      </c>
      <c r="C77" s="17" t="s">
        <v>67</v>
      </c>
      <c r="D77" s="29" t="s">
        <v>190</v>
      </c>
      <c r="E77" s="29" t="s">
        <v>190</v>
      </c>
      <c r="F77" s="29" t="s">
        <v>190</v>
      </c>
      <c r="G77" s="29" t="s">
        <v>190</v>
      </c>
      <c r="H77" s="29" t="s">
        <v>190</v>
      </c>
      <c r="I77" s="29" t="s">
        <v>190</v>
      </c>
      <c r="J77" s="29" t="s">
        <v>190</v>
      </c>
      <c r="K77" s="29" t="s">
        <v>190</v>
      </c>
      <c r="L77" s="29">
        <v>0.72900000000000009</v>
      </c>
      <c r="M77" s="29">
        <v>0.71900000000000008</v>
      </c>
      <c r="N77" s="29">
        <v>0.74</v>
      </c>
      <c r="O77" s="29">
        <v>0.7340000000000001</v>
      </c>
      <c r="P77" s="29">
        <v>0.72499999999999998</v>
      </c>
      <c r="Q77" s="29">
        <v>0.76400000000000001</v>
      </c>
      <c r="R77" s="29">
        <v>0.77800000000000002</v>
      </c>
      <c r="S77" s="29">
        <v>0.76300000000000001</v>
      </c>
      <c r="T77" s="29">
        <v>0.746</v>
      </c>
      <c r="U77" s="29">
        <v>0.78799999999999992</v>
      </c>
      <c r="V77" s="65">
        <v>0.78900000000000003</v>
      </c>
      <c r="W77" s="117" t="s">
        <v>344</v>
      </c>
      <c r="X77" s="117" t="s">
        <v>344</v>
      </c>
    </row>
    <row r="78" spans="1:24" ht="15.75" customHeight="1" x14ac:dyDescent="0.2">
      <c r="A78" s="30" t="s">
        <v>206</v>
      </c>
      <c r="B78" s="17" t="s">
        <v>182</v>
      </c>
      <c r="C78" s="17" t="s">
        <v>68</v>
      </c>
      <c r="D78" s="29" t="s">
        <v>190</v>
      </c>
      <c r="E78" s="29" t="s">
        <v>190</v>
      </c>
      <c r="F78" s="29" t="s">
        <v>190</v>
      </c>
      <c r="G78" s="29" t="s">
        <v>190</v>
      </c>
      <c r="H78" s="29" t="s">
        <v>190</v>
      </c>
      <c r="I78" s="29" t="s">
        <v>190</v>
      </c>
      <c r="J78" s="29" t="s">
        <v>190</v>
      </c>
      <c r="K78" s="29" t="s">
        <v>190</v>
      </c>
      <c r="L78" s="29">
        <v>0.78500000000000003</v>
      </c>
      <c r="M78" s="29">
        <v>0.78700000000000003</v>
      </c>
      <c r="N78" s="29">
        <v>0.77</v>
      </c>
      <c r="O78" s="29">
        <v>0.745</v>
      </c>
      <c r="P78" s="29">
        <v>0.77099999999999991</v>
      </c>
      <c r="Q78" s="29">
        <v>0.76300000000000001</v>
      </c>
      <c r="R78" s="29">
        <v>0.72699999999999998</v>
      </c>
      <c r="S78" s="29">
        <v>0.752</v>
      </c>
      <c r="T78" s="29">
        <v>0.76400000000000001</v>
      </c>
      <c r="U78" s="29">
        <v>0.70700000000000007</v>
      </c>
      <c r="V78" s="65">
        <v>0.755</v>
      </c>
      <c r="W78" s="117" t="s">
        <v>344</v>
      </c>
      <c r="X78" s="117" t="s">
        <v>344</v>
      </c>
    </row>
    <row r="79" spans="1:24" ht="15.75" customHeight="1" x14ac:dyDescent="0.2">
      <c r="A79" s="30" t="s">
        <v>206</v>
      </c>
      <c r="B79" s="17" t="s">
        <v>182</v>
      </c>
      <c r="C79" s="17" t="s">
        <v>69</v>
      </c>
      <c r="D79" s="29" t="s">
        <v>190</v>
      </c>
      <c r="E79" s="29" t="s">
        <v>190</v>
      </c>
      <c r="F79" s="29" t="s">
        <v>190</v>
      </c>
      <c r="G79" s="29" t="s">
        <v>190</v>
      </c>
      <c r="H79" s="29" t="s">
        <v>190</v>
      </c>
      <c r="I79" s="29" t="s">
        <v>190</v>
      </c>
      <c r="J79" s="29" t="s">
        <v>190</v>
      </c>
      <c r="K79" s="29" t="s">
        <v>190</v>
      </c>
      <c r="L79" s="29">
        <v>0.70499999999999996</v>
      </c>
      <c r="M79" s="29">
        <v>0.72</v>
      </c>
      <c r="N79" s="29">
        <v>0.72</v>
      </c>
      <c r="O79" s="29">
        <v>0.72900000000000009</v>
      </c>
      <c r="P79" s="29">
        <v>0.73799999999999999</v>
      </c>
      <c r="Q79" s="29">
        <v>0.74099999999999999</v>
      </c>
      <c r="R79" s="29">
        <v>0.74</v>
      </c>
      <c r="S79" s="29">
        <v>0.73499999999999999</v>
      </c>
      <c r="T79" s="29">
        <v>0.74400000000000011</v>
      </c>
      <c r="U79" s="29">
        <v>0.73599999999999999</v>
      </c>
      <c r="V79" s="65">
        <v>0.74199999999999999</v>
      </c>
      <c r="W79" s="117" t="s">
        <v>344</v>
      </c>
      <c r="X79" s="117" t="s">
        <v>344</v>
      </c>
    </row>
    <row r="80" spans="1:24" ht="15.75" customHeight="1" x14ac:dyDescent="0.2">
      <c r="A80" s="30" t="s">
        <v>206</v>
      </c>
      <c r="B80" s="17" t="s">
        <v>182</v>
      </c>
      <c r="C80" s="17" t="s">
        <v>70</v>
      </c>
      <c r="D80" s="29" t="s">
        <v>190</v>
      </c>
      <c r="E80" s="29" t="s">
        <v>190</v>
      </c>
      <c r="F80" s="29" t="s">
        <v>190</v>
      </c>
      <c r="G80" s="29" t="s">
        <v>190</v>
      </c>
      <c r="H80" s="29" t="s">
        <v>190</v>
      </c>
      <c r="I80" s="29" t="s">
        <v>190</v>
      </c>
      <c r="J80" s="29" t="s">
        <v>190</v>
      </c>
      <c r="K80" s="29" t="s">
        <v>190</v>
      </c>
      <c r="L80" s="29">
        <v>0.81099999999999994</v>
      </c>
      <c r="M80" s="29">
        <v>0.78500000000000003</v>
      </c>
      <c r="N80" s="29">
        <v>0.84299999999999997</v>
      </c>
      <c r="O80" s="29">
        <v>0.89200000000000002</v>
      </c>
      <c r="P80" s="29">
        <v>0.88900000000000001</v>
      </c>
      <c r="Q80" s="29">
        <v>0.85799999999999998</v>
      </c>
      <c r="R80" s="29">
        <v>0.82299999999999995</v>
      </c>
      <c r="S80" s="29">
        <v>0.84</v>
      </c>
      <c r="T80" s="29">
        <v>0.76800000000000002</v>
      </c>
      <c r="U80" s="29">
        <v>0.58399999999999996</v>
      </c>
      <c r="V80" s="65">
        <v>0.73499999999999999</v>
      </c>
      <c r="W80" s="117" t="s">
        <v>344</v>
      </c>
      <c r="X80" s="117" t="s">
        <v>344</v>
      </c>
    </row>
    <row r="81" spans="1:24" ht="15.75" customHeight="1" x14ac:dyDescent="0.2">
      <c r="A81" s="30" t="s">
        <v>206</v>
      </c>
      <c r="B81" s="17" t="s">
        <v>182</v>
      </c>
      <c r="C81" s="17" t="s">
        <v>71</v>
      </c>
      <c r="D81" s="29" t="s">
        <v>190</v>
      </c>
      <c r="E81" s="29" t="s">
        <v>190</v>
      </c>
      <c r="F81" s="29" t="s">
        <v>190</v>
      </c>
      <c r="G81" s="29" t="s">
        <v>190</v>
      </c>
      <c r="H81" s="29" t="s">
        <v>190</v>
      </c>
      <c r="I81" s="29" t="s">
        <v>190</v>
      </c>
      <c r="J81" s="29" t="s">
        <v>190</v>
      </c>
      <c r="K81" s="29" t="s">
        <v>190</v>
      </c>
      <c r="L81" s="29">
        <v>0.73199999999999998</v>
      </c>
      <c r="M81" s="29">
        <v>0.73299999999999998</v>
      </c>
      <c r="N81" s="29">
        <v>0.78</v>
      </c>
      <c r="O81" s="29">
        <v>0.65900000000000003</v>
      </c>
      <c r="P81" s="29">
        <v>0.61399999999999999</v>
      </c>
      <c r="Q81" s="29">
        <v>0.623</v>
      </c>
      <c r="R81" s="29">
        <v>0.73699999999999999</v>
      </c>
      <c r="S81" s="29">
        <v>0.70799999999999996</v>
      </c>
      <c r="T81" s="29">
        <v>0.76</v>
      </c>
      <c r="U81" s="29">
        <v>0.65599999999999992</v>
      </c>
      <c r="V81" s="65">
        <v>0.87400000000000011</v>
      </c>
      <c r="W81" s="117" t="s">
        <v>344</v>
      </c>
      <c r="X81" s="117" t="s">
        <v>344</v>
      </c>
    </row>
    <row r="82" spans="1:24" ht="15.75" customHeight="1" x14ac:dyDescent="0.2">
      <c r="A82" s="30" t="s">
        <v>206</v>
      </c>
      <c r="B82" s="17" t="s">
        <v>182</v>
      </c>
      <c r="C82" s="17" t="s">
        <v>72</v>
      </c>
      <c r="D82" s="29" t="s">
        <v>190</v>
      </c>
      <c r="E82" s="29" t="s">
        <v>190</v>
      </c>
      <c r="F82" s="29" t="s">
        <v>190</v>
      </c>
      <c r="G82" s="29" t="s">
        <v>190</v>
      </c>
      <c r="H82" s="29" t="s">
        <v>190</v>
      </c>
      <c r="I82" s="29" t="s">
        <v>190</v>
      </c>
      <c r="J82" s="29" t="s">
        <v>190</v>
      </c>
      <c r="K82" s="29" t="s">
        <v>190</v>
      </c>
      <c r="L82" s="29">
        <v>0.71900000000000008</v>
      </c>
      <c r="M82" s="29">
        <v>0.72599999999999998</v>
      </c>
      <c r="N82" s="29">
        <v>0.77900000000000003</v>
      </c>
      <c r="O82" s="29">
        <v>0.78299999999999992</v>
      </c>
      <c r="P82" s="29">
        <v>0.74099999999999999</v>
      </c>
      <c r="Q82" s="29">
        <v>0.754</v>
      </c>
      <c r="R82" s="29">
        <v>0.77700000000000002</v>
      </c>
      <c r="S82" s="29">
        <v>0.77599999999999991</v>
      </c>
      <c r="T82" s="29">
        <v>0.82400000000000007</v>
      </c>
      <c r="U82" s="29">
        <v>0.72199999999999998</v>
      </c>
      <c r="V82" s="65">
        <v>0.85599999999999998</v>
      </c>
      <c r="W82" s="117" t="s">
        <v>344</v>
      </c>
      <c r="X82" s="117" t="s">
        <v>344</v>
      </c>
    </row>
    <row r="83" spans="1:24" ht="15.75" customHeight="1" x14ac:dyDescent="0.2">
      <c r="A83" s="30" t="s">
        <v>206</v>
      </c>
      <c r="B83" s="17" t="s">
        <v>182</v>
      </c>
      <c r="C83" s="17" t="s">
        <v>73</v>
      </c>
      <c r="D83" s="29" t="s">
        <v>190</v>
      </c>
      <c r="E83" s="29" t="s">
        <v>190</v>
      </c>
      <c r="F83" s="29" t="s">
        <v>190</v>
      </c>
      <c r="G83" s="29" t="s">
        <v>190</v>
      </c>
      <c r="H83" s="29" t="s">
        <v>190</v>
      </c>
      <c r="I83" s="29" t="s">
        <v>190</v>
      </c>
      <c r="J83" s="29" t="s">
        <v>190</v>
      </c>
      <c r="K83" s="29" t="s">
        <v>190</v>
      </c>
      <c r="L83" s="29">
        <v>0.68099999999999994</v>
      </c>
      <c r="M83" s="29">
        <v>0.63400000000000001</v>
      </c>
      <c r="N83" s="29">
        <v>0.68400000000000005</v>
      </c>
      <c r="O83" s="29">
        <v>0.71900000000000008</v>
      </c>
      <c r="P83" s="29">
        <v>0.58399999999999996</v>
      </c>
      <c r="Q83" s="29">
        <v>0.67799999999999994</v>
      </c>
      <c r="R83" s="29">
        <v>0.67799999999999994</v>
      </c>
      <c r="S83" s="29">
        <v>0.74400000000000011</v>
      </c>
      <c r="T83" s="29">
        <v>0.77599999999999991</v>
      </c>
      <c r="U83" s="29">
        <v>0.68900000000000006</v>
      </c>
      <c r="V83" s="65">
        <v>0.54299999999999993</v>
      </c>
      <c r="W83" s="117" t="s">
        <v>344</v>
      </c>
      <c r="X83" s="117" t="s">
        <v>344</v>
      </c>
    </row>
    <row r="84" spans="1:24" ht="15.75" customHeight="1" x14ac:dyDescent="0.2">
      <c r="A84" s="30" t="s">
        <v>206</v>
      </c>
      <c r="B84" s="17" t="s">
        <v>182</v>
      </c>
      <c r="C84" s="17" t="s">
        <v>53</v>
      </c>
      <c r="D84" s="29" t="s">
        <v>190</v>
      </c>
      <c r="E84" s="29" t="s">
        <v>190</v>
      </c>
      <c r="F84" s="29" t="s">
        <v>190</v>
      </c>
      <c r="G84" s="29" t="s">
        <v>190</v>
      </c>
      <c r="H84" s="29" t="s">
        <v>190</v>
      </c>
      <c r="I84" s="29" t="s">
        <v>190</v>
      </c>
      <c r="J84" s="29" t="s">
        <v>190</v>
      </c>
      <c r="K84" s="29" t="s">
        <v>190</v>
      </c>
      <c r="L84" s="29">
        <v>0.65799999999999992</v>
      </c>
      <c r="M84" s="29">
        <v>0.68</v>
      </c>
      <c r="N84" s="29">
        <v>0.68599999999999994</v>
      </c>
      <c r="O84" s="29">
        <v>0.70200000000000007</v>
      </c>
      <c r="P84" s="29">
        <v>0.71400000000000008</v>
      </c>
      <c r="Q84" s="29">
        <v>0.70499999999999996</v>
      </c>
      <c r="R84" s="29">
        <v>0.69599999999999995</v>
      </c>
      <c r="S84" s="29">
        <v>0.71299999999999997</v>
      </c>
      <c r="T84" s="29">
        <v>0.71099999999999997</v>
      </c>
      <c r="U84" s="29">
        <v>0.71200000000000008</v>
      </c>
      <c r="V84" s="65">
        <v>0.74099999999999999</v>
      </c>
      <c r="W84" s="117" t="s">
        <v>344</v>
      </c>
      <c r="X84" s="117" t="s">
        <v>344</v>
      </c>
    </row>
    <row r="85" spans="1:24" ht="15.75" customHeight="1" x14ac:dyDescent="0.2">
      <c r="A85" s="30" t="s">
        <v>206</v>
      </c>
      <c r="B85" s="17" t="s">
        <v>182</v>
      </c>
      <c r="C85" s="17" t="s">
        <v>74</v>
      </c>
      <c r="D85" s="29" t="s">
        <v>190</v>
      </c>
      <c r="E85" s="29" t="s">
        <v>190</v>
      </c>
      <c r="F85" s="29" t="s">
        <v>190</v>
      </c>
      <c r="G85" s="29" t="s">
        <v>190</v>
      </c>
      <c r="H85" s="29" t="s">
        <v>190</v>
      </c>
      <c r="I85" s="29" t="s">
        <v>190</v>
      </c>
      <c r="J85" s="29" t="s">
        <v>190</v>
      </c>
      <c r="K85" s="29" t="s">
        <v>190</v>
      </c>
      <c r="L85" s="29">
        <v>0.82099999999999995</v>
      </c>
      <c r="M85" s="29">
        <v>0.82200000000000006</v>
      </c>
      <c r="N85" s="29">
        <v>0.75800000000000001</v>
      </c>
      <c r="O85" s="29">
        <v>0.86</v>
      </c>
      <c r="P85" s="29">
        <v>0.754</v>
      </c>
      <c r="Q85" s="29">
        <v>0.89500000000000002</v>
      </c>
      <c r="R85" s="29">
        <v>0.89700000000000002</v>
      </c>
      <c r="S85" s="29">
        <v>0.71900000000000008</v>
      </c>
      <c r="T85" s="29">
        <v>0.89</v>
      </c>
      <c r="U85" s="29">
        <v>0.91200000000000003</v>
      </c>
      <c r="V85" s="65">
        <v>0.89300000000000002</v>
      </c>
      <c r="W85" s="117" t="s">
        <v>344</v>
      </c>
      <c r="X85" s="117" t="s">
        <v>344</v>
      </c>
    </row>
    <row r="86" spans="1:24" ht="15.75" customHeight="1" x14ac:dyDescent="0.2">
      <c r="A86" s="30" t="s">
        <v>206</v>
      </c>
      <c r="B86" s="17" t="s">
        <v>182</v>
      </c>
      <c r="C86" s="17" t="s">
        <v>75</v>
      </c>
      <c r="D86" s="29" t="s">
        <v>190</v>
      </c>
      <c r="E86" s="29" t="s">
        <v>190</v>
      </c>
      <c r="F86" s="29" t="s">
        <v>190</v>
      </c>
      <c r="G86" s="29" t="s">
        <v>190</v>
      </c>
      <c r="H86" s="29" t="s">
        <v>190</v>
      </c>
      <c r="I86" s="29" t="s">
        <v>190</v>
      </c>
      <c r="J86" s="29" t="s">
        <v>190</v>
      </c>
      <c r="K86" s="29" t="s">
        <v>190</v>
      </c>
      <c r="L86" s="29">
        <v>0.65900000000000003</v>
      </c>
      <c r="M86" s="29">
        <v>0.69700000000000006</v>
      </c>
      <c r="N86" s="29">
        <v>0.69200000000000006</v>
      </c>
      <c r="O86" s="29">
        <v>0.67200000000000004</v>
      </c>
      <c r="P86" s="29">
        <v>0.69900000000000007</v>
      </c>
      <c r="Q86" s="29">
        <v>0.72799999999999998</v>
      </c>
      <c r="R86" s="29">
        <v>0.73599999999999999</v>
      </c>
      <c r="S86" s="29">
        <v>0.67700000000000005</v>
      </c>
      <c r="T86" s="29">
        <v>0.69400000000000006</v>
      </c>
      <c r="U86" s="29">
        <v>0.74900000000000011</v>
      </c>
      <c r="V86" s="65">
        <v>0.76200000000000001</v>
      </c>
      <c r="W86" s="117" t="s">
        <v>344</v>
      </c>
      <c r="X86" s="117" t="s">
        <v>344</v>
      </c>
    </row>
    <row r="87" spans="1:24" ht="15.75" customHeight="1" x14ac:dyDescent="0.2">
      <c r="A87" s="30" t="s">
        <v>206</v>
      </c>
      <c r="B87" s="17" t="s">
        <v>182</v>
      </c>
      <c r="C87" s="17" t="s">
        <v>76</v>
      </c>
      <c r="D87" s="29" t="s">
        <v>190</v>
      </c>
      <c r="E87" s="29" t="s">
        <v>190</v>
      </c>
      <c r="F87" s="29" t="s">
        <v>190</v>
      </c>
      <c r="G87" s="29" t="s">
        <v>190</v>
      </c>
      <c r="H87" s="29" t="s">
        <v>190</v>
      </c>
      <c r="I87" s="29" t="s">
        <v>190</v>
      </c>
      <c r="J87" s="29" t="s">
        <v>190</v>
      </c>
      <c r="K87" s="29" t="s">
        <v>190</v>
      </c>
      <c r="L87" s="29">
        <v>0.74199999999999999</v>
      </c>
      <c r="M87" s="29">
        <v>0.74900000000000011</v>
      </c>
      <c r="N87" s="29">
        <v>0.77700000000000002</v>
      </c>
      <c r="O87" s="29">
        <v>0.73299999999999998</v>
      </c>
      <c r="P87" s="29">
        <v>0.71200000000000008</v>
      </c>
      <c r="Q87" s="29">
        <v>0.70400000000000007</v>
      </c>
      <c r="R87" s="29">
        <v>0.69700000000000006</v>
      </c>
      <c r="S87" s="29">
        <v>0.74299999999999999</v>
      </c>
      <c r="T87" s="29">
        <v>0.80799999999999994</v>
      </c>
      <c r="U87" s="29">
        <v>0.628</v>
      </c>
      <c r="V87" s="65">
        <v>0.68599999999999994</v>
      </c>
      <c r="W87" s="117" t="s">
        <v>344</v>
      </c>
      <c r="X87" s="117" t="s">
        <v>344</v>
      </c>
    </row>
    <row r="88" spans="1:24" ht="15.75" customHeight="1" x14ac:dyDescent="0.2">
      <c r="A88" s="30" t="s">
        <v>206</v>
      </c>
      <c r="B88" s="17" t="s">
        <v>182</v>
      </c>
      <c r="C88" s="17" t="s">
        <v>77</v>
      </c>
      <c r="D88" s="29" t="s">
        <v>190</v>
      </c>
      <c r="E88" s="29" t="s">
        <v>190</v>
      </c>
      <c r="F88" s="29" t="s">
        <v>190</v>
      </c>
      <c r="G88" s="29" t="s">
        <v>190</v>
      </c>
      <c r="H88" s="29" t="s">
        <v>190</v>
      </c>
      <c r="I88" s="29" t="s">
        <v>190</v>
      </c>
      <c r="J88" s="29" t="s">
        <v>190</v>
      </c>
      <c r="K88" s="29" t="s">
        <v>190</v>
      </c>
      <c r="L88" s="29">
        <v>0.753</v>
      </c>
      <c r="M88" s="29">
        <v>0.74900000000000011</v>
      </c>
      <c r="N88" s="29">
        <v>0.76700000000000002</v>
      </c>
      <c r="O88" s="29">
        <v>0.81700000000000006</v>
      </c>
      <c r="P88" s="29">
        <v>0.77800000000000002</v>
      </c>
      <c r="Q88" s="29">
        <v>0.81799999999999995</v>
      </c>
      <c r="R88" s="29">
        <v>0.82599999999999996</v>
      </c>
      <c r="S88" s="29">
        <v>0.79400000000000004</v>
      </c>
      <c r="T88" s="29">
        <v>0.79400000000000004</v>
      </c>
      <c r="U88" s="29">
        <v>0.7390000000000001</v>
      </c>
      <c r="V88" s="65">
        <v>0.73</v>
      </c>
      <c r="W88" s="117" t="s">
        <v>344</v>
      </c>
      <c r="X88" s="117" t="s">
        <v>344</v>
      </c>
    </row>
    <row r="89" spans="1:24" ht="15.75" customHeight="1" x14ac:dyDescent="0.2">
      <c r="A89" s="30" t="s">
        <v>206</v>
      </c>
      <c r="B89" s="17" t="s">
        <v>182</v>
      </c>
      <c r="C89" s="17" t="s">
        <v>78</v>
      </c>
      <c r="D89" s="29" t="s">
        <v>190</v>
      </c>
      <c r="E89" s="29" t="s">
        <v>190</v>
      </c>
      <c r="F89" s="29" t="s">
        <v>190</v>
      </c>
      <c r="G89" s="29" t="s">
        <v>190</v>
      </c>
      <c r="H89" s="29" t="s">
        <v>190</v>
      </c>
      <c r="I89" s="29" t="s">
        <v>190</v>
      </c>
      <c r="J89" s="29" t="s">
        <v>190</v>
      </c>
      <c r="K89" s="29" t="s">
        <v>190</v>
      </c>
      <c r="L89" s="29">
        <v>0.63100000000000001</v>
      </c>
      <c r="M89" s="29">
        <v>0.63100000000000001</v>
      </c>
      <c r="N89" s="29">
        <v>0.69700000000000006</v>
      </c>
      <c r="O89" s="29">
        <v>0.65400000000000003</v>
      </c>
      <c r="P89" s="29">
        <v>0.64800000000000002</v>
      </c>
      <c r="Q89" s="29">
        <v>0.69400000000000006</v>
      </c>
      <c r="R89" s="29">
        <v>0.70900000000000007</v>
      </c>
      <c r="S89" s="29">
        <v>0.72599999999999998</v>
      </c>
      <c r="T89" s="29">
        <v>0.69599999999999995</v>
      </c>
      <c r="U89" s="29">
        <v>0.68400000000000005</v>
      </c>
      <c r="V89" s="65">
        <v>0.71900000000000008</v>
      </c>
      <c r="W89" s="117" t="s">
        <v>344</v>
      </c>
      <c r="X89" s="117" t="s">
        <v>344</v>
      </c>
    </row>
    <row r="90" spans="1:24" ht="15.75" customHeight="1" x14ac:dyDescent="0.2">
      <c r="A90" s="30" t="s">
        <v>206</v>
      </c>
      <c r="B90" s="17" t="s">
        <v>182</v>
      </c>
      <c r="C90" s="17" t="s">
        <v>79</v>
      </c>
      <c r="D90" s="29" t="s">
        <v>190</v>
      </c>
      <c r="E90" s="29" t="s">
        <v>190</v>
      </c>
      <c r="F90" s="29" t="s">
        <v>190</v>
      </c>
      <c r="G90" s="29" t="s">
        <v>190</v>
      </c>
      <c r="H90" s="29" t="s">
        <v>190</v>
      </c>
      <c r="I90" s="29" t="s">
        <v>190</v>
      </c>
      <c r="J90" s="29" t="s">
        <v>190</v>
      </c>
      <c r="K90" s="29" t="s">
        <v>190</v>
      </c>
      <c r="L90" s="29">
        <v>0.73799999999999999</v>
      </c>
      <c r="M90" s="29">
        <v>0.73099999999999998</v>
      </c>
      <c r="N90" s="29">
        <v>0.77200000000000002</v>
      </c>
      <c r="O90" s="29">
        <v>0.73299999999999998</v>
      </c>
      <c r="P90" s="29">
        <v>0.753</v>
      </c>
      <c r="Q90" s="29">
        <v>0.76700000000000002</v>
      </c>
      <c r="R90" s="29">
        <v>0.76500000000000001</v>
      </c>
      <c r="S90" s="29">
        <v>0.78500000000000003</v>
      </c>
      <c r="T90" s="29">
        <v>0.755</v>
      </c>
      <c r="U90" s="29">
        <v>0.755</v>
      </c>
      <c r="V90" s="65">
        <v>0.77099999999999991</v>
      </c>
      <c r="W90" s="117" t="s">
        <v>344</v>
      </c>
      <c r="X90" s="117" t="s">
        <v>344</v>
      </c>
    </row>
    <row r="91" spans="1:24" ht="15.75" customHeight="1" x14ac:dyDescent="0.2">
      <c r="A91" s="30" t="s">
        <v>206</v>
      </c>
      <c r="B91" s="17" t="s">
        <v>182</v>
      </c>
      <c r="C91" s="17" t="s">
        <v>80</v>
      </c>
      <c r="D91" s="29" t="s">
        <v>190</v>
      </c>
      <c r="E91" s="29" t="s">
        <v>190</v>
      </c>
      <c r="F91" s="29" t="s">
        <v>190</v>
      </c>
      <c r="G91" s="29" t="s">
        <v>190</v>
      </c>
      <c r="H91" s="29" t="s">
        <v>190</v>
      </c>
      <c r="I91" s="29" t="s">
        <v>190</v>
      </c>
      <c r="J91" s="29" t="s">
        <v>190</v>
      </c>
      <c r="K91" s="29" t="s">
        <v>190</v>
      </c>
      <c r="L91" s="29">
        <v>0.746</v>
      </c>
      <c r="M91" s="29">
        <v>0.79599999999999993</v>
      </c>
      <c r="N91" s="29">
        <v>0.85299999999999998</v>
      </c>
      <c r="O91" s="29">
        <v>0.83400000000000007</v>
      </c>
      <c r="P91" s="29">
        <v>0.80900000000000005</v>
      </c>
      <c r="Q91" s="29">
        <v>0.77300000000000002</v>
      </c>
      <c r="R91" s="29">
        <v>0.74299999999999999</v>
      </c>
      <c r="S91" s="29">
        <v>0.71099999999999997</v>
      </c>
      <c r="T91" s="29">
        <v>0.92400000000000004</v>
      </c>
      <c r="U91" s="29">
        <v>0.81599999999999995</v>
      </c>
      <c r="V91" s="65">
        <v>0.872</v>
      </c>
      <c r="W91" s="117" t="s">
        <v>344</v>
      </c>
      <c r="X91" s="117" t="s">
        <v>344</v>
      </c>
    </row>
    <row r="92" spans="1:24" ht="15.75" customHeight="1" x14ac:dyDescent="0.2">
      <c r="A92" s="30" t="s">
        <v>206</v>
      </c>
      <c r="B92" s="17" t="s">
        <v>182</v>
      </c>
      <c r="C92" s="17" t="s">
        <v>81</v>
      </c>
      <c r="D92" s="29" t="s">
        <v>190</v>
      </c>
      <c r="E92" s="29" t="s">
        <v>190</v>
      </c>
      <c r="F92" s="29" t="s">
        <v>190</v>
      </c>
      <c r="G92" s="29" t="s">
        <v>190</v>
      </c>
      <c r="H92" s="29" t="s">
        <v>190</v>
      </c>
      <c r="I92" s="29" t="s">
        <v>190</v>
      </c>
      <c r="J92" s="29" t="s">
        <v>190</v>
      </c>
      <c r="K92" s="29" t="s">
        <v>190</v>
      </c>
      <c r="L92" s="29">
        <v>0.70599999999999996</v>
      </c>
      <c r="M92" s="29">
        <v>0.68700000000000006</v>
      </c>
      <c r="N92" s="29">
        <v>0.71400000000000008</v>
      </c>
      <c r="O92" s="29">
        <v>0.73499999999999999</v>
      </c>
      <c r="P92" s="29">
        <v>0.748</v>
      </c>
      <c r="Q92" s="29">
        <v>0.73299999999999998</v>
      </c>
      <c r="R92" s="29">
        <v>0.75</v>
      </c>
      <c r="S92" s="29">
        <v>0.75800000000000001</v>
      </c>
      <c r="T92" s="29">
        <v>0.75599999999999989</v>
      </c>
      <c r="U92" s="29">
        <v>0.72699999999999998</v>
      </c>
      <c r="V92" s="65">
        <v>0.70099999999999996</v>
      </c>
      <c r="W92" s="117" t="s">
        <v>344</v>
      </c>
      <c r="X92" s="117" t="s">
        <v>344</v>
      </c>
    </row>
    <row r="93" spans="1:24" ht="15.75" customHeight="1" x14ac:dyDescent="0.2">
      <c r="A93" s="30" t="s">
        <v>206</v>
      </c>
      <c r="B93" s="17" t="s">
        <v>182</v>
      </c>
      <c r="C93" s="17" t="s">
        <v>82</v>
      </c>
      <c r="D93" s="29" t="s">
        <v>190</v>
      </c>
      <c r="E93" s="29" t="s">
        <v>190</v>
      </c>
      <c r="F93" s="29" t="s">
        <v>190</v>
      </c>
      <c r="G93" s="29" t="s">
        <v>190</v>
      </c>
      <c r="H93" s="29" t="s">
        <v>190</v>
      </c>
      <c r="I93" s="29" t="s">
        <v>190</v>
      </c>
      <c r="J93" s="29" t="s">
        <v>190</v>
      </c>
      <c r="K93" s="29" t="s">
        <v>190</v>
      </c>
      <c r="L93" s="29">
        <v>0.71299999999999997</v>
      </c>
      <c r="M93" s="29">
        <v>0.80500000000000005</v>
      </c>
      <c r="N93" s="29">
        <v>0.85599999999999998</v>
      </c>
      <c r="O93" s="29">
        <v>0.67700000000000005</v>
      </c>
      <c r="P93" s="29">
        <v>0.76800000000000002</v>
      </c>
      <c r="Q93" s="29">
        <v>0.75700000000000001</v>
      </c>
      <c r="R93" s="29">
        <v>0.77200000000000002</v>
      </c>
      <c r="S93" s="29">
        <v>0.89400000000000002</v>
      </c>
      <c r="T93" s="29">
        <v>0.82200000000000006</v>
      </c>
      <c r="U93" s="29">
        <v>0.71700000000000008</v>
      </c>
      <c r="V93" s="65">
        <v>0.872</v>
      </c>
      <c r="W93" s="117" t="s">
        <v>344</v>
      </c>
      <c r="X93" s="117" t="s">
        <v>344</v>
      </c>
    </row>
    <row r="94" spans="1:24" ht="15.75" customHeight="1" x14ac:dyDescent="0.2">
      <c r="A94" s="30" t="s">
        <v>206</v>
      </c>
      <c r="B94" s="17" t="s">
        <v>182</v>
      </c>
      <c r="C94" s="17" t="s">
        <v>83</v>
      </c>
      <c r="D94" s="29" t="s">
        <v>190</v>
      </c>
      <c r="E94" s="29" t="s">
        <v>190</v>
      </c>
      <c r="F94" s="29" t="s">
        <v>190</v>
      </c>
      <c r="G94" s="29" t="s">
        <v>190</v>
      </c>
      <c r="H94" s="29" t="s">
        <v>190</v>
      </c>
      <c r="I94" s="29" t="s">
        <v>190</v>
      </c>
      <c r="J94" s="29" t="s">
        <v>190</v>
      </c>
      <c r="K94" s="29" t="s">
        <v>190</v>
      </c>
      <c r="L94" s="29">
        <v>0.65700000000000003</v>
      </c>
      <c r="M94" s="29">
        <v>0.68</v>
      </c>
      <c r="N94" s="29">
        <v>0.77500000000000002</v>
      </c>
      <c r="O94" s="29">
        <v>0.68700000000000006</v>
      </c>
      <c r="P94" s="29">
        <v>0.68400000000000005</v>
      </c>
      <c r="Q94" s="29">
        <v>0.70200000000000007</v>
      </c>
      <c r="R94" s="29">
        <v>0.58899999999999997</v>
      </c>
      <c r="S94" s="29">
        <v>0.64800000000000002</v>
      </c>
      <c r="T94" s="29">
        <v>0.59</v>
      </c>
      <c r="U94" s="29">
        <v>0.47</v>
      </c>
      <c r="V94" s="65">
        <v>0.65300000000000002</v>
      </c>
      <c r="W94" s="117" t="s">
        <v>344</v>
      </c>
      <c r="X94" s="117" t="s">
        <v>344</v>
      </c>
    </row>
    <row r="95" spans="1:24" ht="15.75" customHeight="1" x14ac:dyDescent="0.2">
      <c r="A95" s="30" t="s">
        <v>206</v>
      </c>
      <c r="B95" s="17" t="s">
        <v>182</v>
      </c>
      <c r="C95" s="17" t="s">
        <v>84</v>
      </c>
      <c r="D95" s="29" t="s">
        <v>190</v>
      </c>
      <c r="E95" s="29" t="s">
        <v>190</v>
      </c>
      <c r="F95" s="29" t="s">
        <v>190</v>
      </c>
      <c r="G95" s="29" t="s">
        <v>190</v>
      </c>
      <c r="H95" s="29" t="s">
        <v>190</v>
      </c>
      <c r="I95" s="29" t="s">
        <v>190</v>
      </c>
      <c r="J95" s="29" t="s">
        <v>190</v>
      </c>
      <c r="K95" s="29" t="s">
        <v>190</v>
      </c>
      <c r="L95" s="29">
        <v>0.85400000000000009</v>
      </c>
      <c r="M95" s="29">
        <v>0.82099999999999995</v>
      </c>
      <c r="N95" s="29">
        <v>0.82099999999999995</v>
      </c>
      <c r="O95" s="29">
        <v>0.74900000000000011</v>
      </c>
      <c r="P95" s="29">
        <v>0.81200000000000006</v>
      </c>
      <c r="Q95" s="29">
        <v>0.80599999999999994</v>
      </c>
      <c r="R95" s="29">
        <v>0.77500000000000002</v>
      </c>
      <c r="S95" s="29">
        <v>0.82599999999999996</v>
      </c>
      <c r="T95" s="29">
        <v>0.78400000000000003</v>
      </c>
      <c r="U95" s="29">
        <v>0.72299999999999998</v>
      </c>
      <c r="V95" s="65">
        <v>0.81299999999999994</v>
      </c>
      <c r="W95" s="117" t="s">
        <v>344</v>
      </c>
      <c r="X95" s="117" t="s">
        <v>344</v>
      </c>
    </row>
    <row r="96" spans="1:24" ht="15.75" customHeight="1" x14ac:dyDescent="0.2">
      <c r="A96" s="30" t="s">
        <v>206</v>
      </c>
      <c r="B96" s="17" t="s">
        <v>182</v>
      </c>
      <c r="C96" s="17" t="s">
        <v>15</v>
      </c>
      <c r="D96" s="29" t="s">
        <v>190</v>
      </c>
      <c r="E96" s="29" t="s">
        <v>190</v>
      </c>
      <c r="F96" s="29" t="s">
        <v>190</v>
      </c>
      <c r="G96" s="29" t="s">
        <v>190</v>
      </c>
      <c r="H96" s="29" t="s">
        <v>190</v>
      </c>
      <c r="I96" s="29" t="s">
        <v>190</v>
      </c>
      <c r="J96" s="29" t="s">
        <v>190</v>
      </c>
      <c r="K96" s="29" t="s">
        <v>190</v>
      </c>
      <c r="L96" s="29">
        <v>0.81299999999999994</v>
      </c>
      <c r="M96" s="29">
        <v>0.81299999999999994</v>
      </c>
      <c r="N96" s="29">
        <v>0.89200000000000002</v>
      </c>
      <c r="O96" s="29">
        <v>0.86799999999999999</v>
      </c>
      <c r="P96" s="29">
        <v>0.86099999999999999</v>
      </c>
      <c r="Q96" s="29">
        <v>0.88300000000000001</v>
      </c>
      <c r="R96" s="29">
        <v>0.875</v>
      </c>
      <c r="S96" s="29">
        <v>0.871</v>
      </c>
      <c r="T96" s="29">
        <v>0.83299999999999996</v>
      </c>
      <c r="U96" s="29">
        <v>0.72900000000000009</v>
      </c>
      <c r="V96" s="65">
        <v>0.875</v>
      </c>
      <c r="W96" s="117" t="s">
        <v>344</v>
      </c>
      <c r="X96" s="117" t="s">
        <v>344</v>
      </c>
    </row>
    <row r="97" spans="1:24" ht="15.75" customHeight="1" x14ac:dyDescent="0.2">
      <c r="A97" s="30" t="s">
        <v>206</v>
      </c>
      <c r="B97" s="17" t="s">
        <v>182</v>
      </c>
      <c r="C97" s="17" t="s">
        <v>85</v>
      </c>
      <c r="D97" s="29" t="s">
        <v>190</v>
      </c>
      <c r="E97" s="29" t="s">
        <v>190</v>
      </c>
      <c r="F97" s="29" t="s">
        <v>190</v>
      </c>
      <c r="G97" s="29" t="s">
        <v>190</v>
      </c>
      <c r="H97" s="29" t="s">
        <v>190</v>
      </c>
      <c r="I97" s="29" t="s">
        <v>190</v>
      </c>
      <c r="J97" s="29" t="s">
        <v>190</v>
      </c>
      <c r="K97" s="29" t="s">
        <v>190</v>
      </c>
      <c r="L97" s="29">
        <v>0.74400000000000011</v>
      </c>
      <c r="M97" s="29">
        <v>0.74</v>
      </c>
      <c r="N97" s="29">
        <v>0.7609999999999999</v>
      </c>
      <c r="O97" s="29">
        <v>0.77400000000000002</v>
      </c>
      <c r="P97" s="29">
        <v>0.76400000000000001</v>
      </c>
      <c r="Q97" s="29">
        <v>0.76800000000000002</v>
      </c>
      <c r="R97" s="29">
        <v>0.77099999999999991</v>
      </c>
      <c r="S97" s="29">
        <v>0.81599999999999995</v>
      </c>
      <c r="T97" s="29">
        <v>0.7390000000000001</v>
      </c>
      <c r="U97" s="29">
        <v>0.79700000000000004</v>
      </c>
      <c r="V97" s="65">
        <v>0.76500000000000001</v>
      </c>
      <c r="W97" s="117" t="s">
        <v>344</v>
      </c>
      <c r="X97" s="117" t="s">
        <v>344</v>
      </c>
    </row>
    <row r="98" spans="1:24" ht="15.75" customHeight="1" x14ac:dyDescent="0.2">
      <c r="A98" s="30" t="s">
        <v>206</v>
      </c>
      <c r="B98" s="17" t="s">
        <v>182</v>
      </c>
      <c r="C98" s="17" t="s">
        <v>86</v>
      </c>
      <c r="D98" s="29" t="s">
        <v>190</v>
      </c>
      <c r="E98" s="29" t="s">
        <v>190</v>
      </c>
      <c r="F98" s="29" t="s">
        <v>190</v>
      </c>
      <c r="G98" s="29" t="s">
        <v>190</v>
      </c>
      <c r="H98" s="29" t="s">
        <v>190</v>
      </c>
      <c r="I98" s="29" t="s">
        <v>190</v>
      </c>
      <c r="J98" s="29" t="s">
        <v>190</v>
      </c>
      <c r="K98" s="29" t="s">
        <v>190</v>
      </c>
      <c r="L98" s="29">
        <v>0.72400000000000009</v>
      </c>
      <c r="M98" s="29">
        <v>0.77300000000000002</v>
      </c>
      <c r="N98" s="29">
        <v>0.79700000000000004</v>
      </c>
      <c r="O98" s="29">
        <v>0.84200000000000008</v>
      </c>
      <c r="P98" s="29">
        <v>0.76200000000000001</v>
      </c>
      <c r="Q98" s="29">
        <v>0.81299999999999994</v>
      </c>
      <c r="R98" s="29">
        <v>0.82700000000000007</v>
      </c>
      <c r="S98" s="29">
        <v>0.80400000000000005</v>
      </c>
      <c r="T98" s="29">
        <v>0.84099999999999997</v>
      </c>
      <c r="U98" s="29">
        <v>0.78200000000000003</v>
      </c>
      <c r="V98" s="65">
        <v>0.77500000000000002</v>
      </c>
      <c r="W98" s="117" t="s">
        <v>344</v>
      </c>
      <c r="X98" s="117" t="s">
        <v>344</v>
      </c>
    </row>
    <row r="99" spans="1:24" ht="15.75" customHeight="1" x14ac:dyDescent="0.2">
      <c r="A99" s="30" t="s">
        <v>206</v>
      </c>
      <c r="B99" s="17" t="s">
        <v>182</v>
      </c>
      <c r="C99" s="17" t="s">
        <v>87</v>
      </c>
      <c r="D99" s="29" t="s">
        <v>190</v>
      </c>
      <c r="E99" s="29" t="s">
        <v>190</v>
      </c>
      <c r="F99" s="29" t="s">
        <v>190</v>
      </c>
      <c r="G99" s="29" t="s">
        <v>190</v>
      </c>
      <c r="H99" s="29" t="s">
        <v>190</v>
      </c>
      <c r="I99" s="29" t="s">
        <v>190</v>
      </c>
      <c r="J99" s="29" t="s">
        <v>190</v>
      </c>
      <c r="K99" s="29" t="s">
        <v>190</v>
      </c>
      <c r="L99" s="29">
        <v>0.78099999999999992</v>
      </c>
      <c r="M99" s="29">
        <v>0.83700000000000008</v>
      </c>
      <c r="N99" s="29">
        <v>0.83799999999999997</v>
      </c>
      <c r="O99" s="29">
        <v>0.85699999999999998</v>
      </c>
      <c r="P99" s="29">
        <v>0.80200000000000005</v>
      </c>
      <c r="Q99" s="29">
        <v>0.80400000000000005</v>
      </c>
      <c r="R99" s="29">
        <v>0.84099999999999997</v>
      </c>
      <c r="S99" s="29">
        <v>0.83599999999999997</v>
      </c>
      <c r="T99" s="29">
        <v>0.88900000000000001</v>
      </c>
      <c r="U99" s="29">
        <v>0.71</v>
      </c>
      <c r="V99" s="65">
        <v>0.77099999999999991</v>
      </c>
      <c r="W99" s="117" t="s">
        <v>344</v>
      </c>
      <c r="X99" s="117" t="s">
        <v>344</v>
      </c>
    </row>
    <row r="100" spans="1:24" ht="15.75" customHeight="1" x14ac:dyDescent="0.2">
      <c r="A100" s="30" t="s">
        <v>206</v>
      </c>
      <c r="B100" s="17" t="s">
        <v>182</v>
      </c>
      <c r="C100" s="17" t="s">
        <v>88</v>
      </c>
      <c r="D100" s="29" t="s">
        <v>190</v>
      </c>
      <c r="E100" s="29" t="s">
        <v>190</v>
      </c>
      <c r="F100" s="29" t="s">
        <v>190</v>
      </c>
      <c r="G100" s="29" t="s">
        <v>190</v>
      </c>
      <c r="H100" s="29" t="s">
        <v>190</v>
      </c>
      <c r="I100" s="29" t="s">
        <v>190</v>
      </c>
      <c r="J100" s="29" t="s">
        <v>190</v>
      </c>
      <c r="K100" s="29" t="s">
        <v>190</v>
      </c>
      <c r="L100" s="29">
        <v>0.77500000000000002</v>
      </c>
      <c r="M100" s="29">
        <v>0.78900000000000003</v>
      </c>
      <c r="N100" s="29">
        <v>0.76200000000000001</v>
      </c>
      <c r="O100" s="29">
        <v>0.79200000000000004</v>
      </c>
      <c r="P100" s="29">
        <v>0.64800000000000002</v>
      </c>
      <c r="Q100" s="29">
        <v>0.55399999999999994</v>
      </c>
      <c r="R100" s="29">
        <v>0.88</v>
      </c>
      <c r="S100" s="29">
        <v>0.67099999999999993</v>
      </c>
      <c r="T100" s="29">
        <v>0.72099999999999997</v>
      </c>
      <c r="U100" s="29" t="s">
        <v>208</v>
      </c>
      <c r="V100" s="29" t="s">
        <v>208</v>
      </c>
      <c r="W100" s="117" t="s">
        <v>344</v>
      </c>
      <c r="X100" s="117" t="s">
        <v>344</v>
      </c>
    </row>
    <row r="101" spans="1:24" ht="15.75" customHeight="1" x14ac:dyDescent="0.2">
      <c r="A101" s="30" t="s">
        <v>206</v>
      </c>
      <c r="B101" s="17" t="s">
        <v>182</v>
      </c>
      <c r="C101" s="17" t="s">
        <v>18</v>
      </c>
      <c r="D101" s="29" t="s">
        <v>190</v>
      </c>
      <c r="E101" s="29" t="s">
        <v>190</v>
      </c>
      <c r="F101" s="29" t="s">
        <v>190</v>
      </c>
      <c r="G101" s="29" t="s">
        <v>190</v>
      </c>
      <c r="H101" s="29" t="s">
        <v>190</v>
      </c>
      <c r="I101" s="29" t="s">
        <v>190</v>
      </c>
      <c r="J101" s="29" t="s">
        <v>190</v>
      </c>
      <c r="K101" s="29" t="s">
        <v>190</v>
      </c>
      <c r="L101" s="29">
        <v>0.79700000000000004</v>
      </c>
      <c r="M101" s="29">
        <v>0.83099999999999996</v>
      </c>
      <c r="N101" s="29">
        <v>0.80799999999999994</v>
      </c>
      <c r="O101" s="29">
        <v>0.87400000000000011</v>
      </c>
      <c r="P101" s="29">
        <v>0.86499999999999999</v>
      </c>
      <c r="Q101" s="29">
        <v>0.82700000000000007</v>
      </c>
      <c r="R101" s="29">
        <v>0.81700000000000006</v>
      </c>
      <c r="S101" s="29">
        <v>0.77599999999999991</v>
      </c>
      <c r="T101" s="29">
        <v>0.746</v>
      </c>
      <c r="U101" s="29">
        <v>0.73699999999999999</v>
      </c>
      <c r="V101" s="65">
        <v>0.7609999999999999</v>
      </c>
      <c r="W101" s="117" t="s">
        <v>344</v>
      </c>
      <c r="X101" s="117" t="s">
        <v>344</v>
      </c>
    </row>
    <row r="102" spans="1:24" ht="15.75" customHeight="1" x14ac:dyDescent="0.2">
      <c r="A102" s="30" t="s">
        <v>206</v>
      </c>
      <c r="B102" s="17" t="s">
        <v>182</v>
      </c>
      <c r="C102" s="17" t="s">
        <v>89</v>
      </c>
      <c r="D102" s="29" t="s">
        <v>190</v>
      </c>
      <c r="E102" s="29" t="s">
        <v>190</v>
      </c>
      <c r="F102" s="29" t="s">
        <v>190</v>
      </c>
      <c r="G102" s="29" t="s">
        <v>190</v>
      </c>
      <c r="H102" s="29" t="s">
        <v>190</v>
      </c>
      <c r="I102" s="29" t="s">
        <v>190</v>
      </c>
      <c r="J102" s="29" t="s">
        <v>190</v>
      </c>
      <c r="K102" s="29" t="s">
        <v>190</v>
      </c>
      <c r="L102" s="29">
        <v>0.72299999999999998</v>
      </c>
      <c r="M102" s="29">
        <v>0.68500000000000005</v>
      </c>
      <c r="N102" s="29">
        <v>0.77099999999999991</v>
      </c>
      <c r="O102" s="29">
        <v>0.71499999999999997</v>
      </c>
      <c r="P102" s="29">
        <v>0.61599999999999999</v>
      </c>
      <c r="Q102" s="29">
        <v>0.70099999999999996</v>
      </c>
      <c r="R102" s="29">
        <v>0.71900000000000008</v>
      </c>
      <c r="S102" s="29">
        <v>0.70499999999999996</v>
      </c>
      <c r="T102" s="29">
        <v>0.70200000000000007</v>
      </c>
      <c r="U102" s="29">
        <v>0.622</v>
      </c>
      <c r="V102" s="65">
        <v>0.83700000000000008</v>
      </c>
      <c r="W102" s="117" t="s">
        <v>344</v>
      </c>
      <c r="X102" s="117" t="s">
        <v>344</v>
      </c>
    </row>
    <row r="103" spans="1:24" ht="15.75" customHeight="1" x14ac:dyDescent="0.2">
      <c r="A103" s="30" t="s">
        <v>206</v>
      </c>
      <c r="B103" s="17" t="s">
        <v>182</v>
      </c>
      <c r="C103" s="17" t="s">
        <v>90</v>
      </c>
      <c r="D103" s="29" t="s">
        <v>190</v>
      </c>
      <c r="E103" s="29" t="s">
        <v>190</v>
      </c>
      <c r="F103" s="29" t="s">
        <v>190</v>
      </c>
      <c r="G103" s="29" t="s">
        <v>190</v>
      </c>
      <c r="H103" s="29" t="s">
        <v>190</v>
      </c>
      <c r="I103" s="29" t="s">
        <v>190</v>
      </c>
      <c r="J103" s="29" t="s">
        <v>190</v>
      </c>
      <c r="K103" s="29" t="s">
        <v>190</v>
      </c>
      <c r="L103" s="29">
        <v>0.66799999999999993</v>
      </c>
      <c r="M103" s="29">
        <v>0.67700000000000005</v>
      </c>
      <c r="N103" s="29">
        <v>0.71099999999999997</v>
      </c>
      <c r="O103" s="29">
        <v>0.75099999999999989</v>
      </c>
      <c r="P103" s="29">
        <v>0.69299999999999995</v>
      </c>
      <c r="Q103" s="29">
        <v>0.78700000000000003</v>
      </c>
      <c r="R103" s="29">
        <v>0.72099999999999997</v>
      </c>
      <c r="S103" s="29">
        <v>0.73299999999999998</v>
      </c>
      <c r="T103" s="29">
        <v>0.79099999999999993</v>
      </c>
      <c r="U103" s="29">
        <v>0.68700000000000006</v>
      </c>
      <c r="V103" s="65">
        <v>0.621</v>
      </c>
      <c r="W103" s="117" t="s">
        <v>344</v>
      </c>
      <c r="X103" s="117" t="s">
        <v>344</v>
      </c>
    </row>
    <row r="104" spans="1:24" ht="15.75" customHeight="1" x14ac:dyDescent="0.2">
      <c r="A104" s="30" t="s">
        <v>206</v>
      </c>
      <c r="B104" s="17" t="s">
        <v>182</v>
      </c>
      <c r="C104" s="17" t="s">
        <v>91</v>
      </c>
      <c r="D104" s="29" t="s">
        <v>190</v>
      </c>
      <c r="E104" s="29" t="s">
        <v>190</v>
      </c>
      <c r="F104" s="29" t="s">
        <v>190</v>
      </c>
      <c r="G104" s="29" t="s">
        <v>190</v>
      </c>
      <c r="H104" s="29" t="s">
        <v>190</v>
      </c>
      <c r="I104" s="29" t="s">
        <v>190</v>
      </c>
      <c r="J104" s="29" t="s">
        <v>190</v>
      </c>
      <c r="K104" s="29" t="s">
        <v>190</v>
      </c>
      <c r="L104" s="29">
        <v>0.77599999999999991</v>
      </c>
      <c r="M104" s="29">
        <v>0.67299999999999993</v>
      </c>
      <c r="N104" s="29">
        <v>0.79599999999999993</v>
      </c>
      <c r="O104" s="29">
        <v>0.78599999999999992</v>
      </c>
      <c r="P104" s="29">
        <v>0.77099999999999991</v>
      </c>
      <c r="Q104" s="29">
        <v>0.90200000000000002</v>
      </c>
      <c r="R104" s="29">
        <v>0.82200000000000006</v>
      </c>
      <c r="S104" s="29">
        <v>0.77</v>
      </c>
      <c r="T104" s="29">
        <v>0.71700000000000008</v>
      </c>
      <c r="U104" s="29">
        <v>0.6409999999999999</v>
      </c>
      <c r="V104" s="65">
        <v>0.72599999999999998</v>
      </c>
      <c r="W104" s="117" t="s">
        <v>344</v>
      </c>
      <c r="X104" s="117" t="s">
        <v>344</v>
      </c>
    </row>
    <row r="105" spans="1:24" ht="15.75" customHeight="1" x14ac:dyDescent="0.2">
      <c r="A105" s="30" t="s">
        <v>206</v>
      </c>
      <c r="B105" s="17" t="s">
        <v>182</v>
      </c>
      <c r="C105" s="17" t="s">
        <v>92</v>
      </c>
      <c r="D105" s="29" t="s">
        <v>190</v>
      </c>
      <c r="E105" s="29" t="s">
        <v>190</v>
      </c>
      <c r="F105" s="29" t="s">
        <v>190</v>
      </c>
      <c r="G105" s="29" t="s">
        <v>190</v>
      </c>
      <c r="H105" s="29" t="s">
        <v>190</v>
      </c>
      <c r="I105" s="29" t="s">
        <v>190</v>
      </c>
      <c r="J105" s="29" t="s">
        <v>190</v>
      </c>
      <c r="K105" s="29" t="s">
        <v>190</v>
      </c>
      <c r="L105" s="29">
        <v>0.78700000000000003</v>
      </c>
      <c r="M105" s="29">
        <v>0.79599999999999993</v>
      </c>
      <c r="N105" s="29">
        <v>0.79500000000000004</v>
      </c>
      <c r="O105" s="29">
        <v>0.78799999999999992</v>
      </c>
      <c r="P105" s="29">
        <v>0.74199999999999999</v>
      </c>
      <c r="Q105" s="29">
        <v>0.79799999999999993</v>
      </c>
      <c r="R105" s="29">
        <v>0.8</v>
      </c>
      <c r="S105" s="29">
        <v>0.82400000000000007</v>
      </c>
      <c r="T105" s="29">
        <v>0.80299999999999994</v>
      </c>
      <c r="U105" s="29">
        <v>0.74299999999999999</v>
      </c>
      <c r="V105" s="65">
        <v>0.76300000000000001</v>
      </c>
      <c r="W105" s="117" t="s">
        <v>344</v>
      </c>
      <c r="X105" s="117" t="s">
        <v>344</v>
      </c>
    </row>
    <row r="106" spans="1:24" ht="15.75" customHeight="1" x14ac:dyDescent="0.2">
      <c r="A106" s="30" t="s">
        <v>206</v>
      </c>
      <c r="B106" s="17" t="s">
        <v>182</v>
      </c>
      <c r="C106" s="17" t="s">
        <v>93</v>
      </c>
      <c r="D106" s="29" t="s">
        <v>190</v>
      </c>
      <c r="E106" s="29" t="s">
        <v>190</v>
      </c>
      <c r="F106" s="29" t="s">
        <v>190</v>
      </c>
      <c r="G106" s="29" t="s">
        <v>190</v>
      </c>
      <c r="H106" s="29" t="s">
        <v>190</v>
      </c>
      <c r="I106" s="29" t="s">
        <v>190</v>
      </c>
      <c r="J106" s="29" t="s">
        <v>190</v>
      </c>
      <c r="K106" s="29" t="s">
        <v>190</v>
      </c>
      <c r="L106" s="29">
        <v>0.83799999999999997</v>
      </c>
      <c r="M106" s="29">
        <v>0.70299999999999996</v>
      </c>
      <c r="N106" s="29">
        <v>0.94499999999999995</v>
      </c>
      <c r="O106" s="29">
        <v>0.745</v>
      </c>
      <c r="P106" s="29">
        <v>0.81099999999999994</v>
      </c>
      <c r="Q106" s="29">
        <v>0.746</v>
      </c>
      <c r="R106" s="29">
        <v>0.66</v>
      </c>
      <c r="S106" s="29">
        <v>0.93099999999999994</v>
      </c>
      <c r="T106" s="29">
        <v>0.79500000000000004</v>
      </c>
      <c r="U106" s="29">
        <v>0.82200000000000006</v>
      </c>
      <c r="V106" s="65">
        <v>0.82299999999999995</v>
      </c>
      <c r="W106" s="117" t="s">
        <v>344</v>
      </c>
      <c r="X106" s="117" t="s">
        <v>344</v>
      </c>
    </row>
    <row r="107" spans="1:24" ht="15.75" customHeight="1" x14ac:dyDescent="0.2">
      <c r="A107" s="30" t="s">
        <v>206</v>
      </c>
      <c r="B107" s="17" t="s">
        <v>182</v>
      </c>
      <c r="C107" s="17" t="s">
        <v>94</v>
      </c>
      <c r="D107" s="29" t="s">
        <v>190</v>
      </c>
      <c r="E107" s="29" t="s">
        <v>190</v>
      </c>
      <c r="F107" s="29" t="s">
        <v>190</v>
      </c>
      <c r="G107" s="29" t="s">
        <v>190</v>
      </c>
      <c r="H107" s="29" t="s">
        <v>190</v>
      </c>
      <c r="I107" s="29" t="s">
        <v>190</v>
      </c>
      <c r="J107" s="29" t="s">
        <v>190</v>
      </c>
      <c r="K107" s="29" t="s">
        <v>190</v>
      </c>
      <c r="L107" s="29">
        <v>0.71400000000000008</v>
      </c>
      <c r="M107" s="29">
        <v>0.72199999999999998</v>
      </c>
      <c r="N107" s="29">
        <v>0.77400000000000002</v>
      </c>
      <c r="O107" s="29">
        <v>0.77900000000000003</v>
      </c>
      <c r="P107" s="29">
        <v>0.78</v>
      </c>
      <c r="Q107" s="29">
        <v>0.81099999999999994</v>
      </c>
      <c r="R107" s="29">
        <v>0.79</v>
      </c>
      <c r="S107" s="29">
        <v>0.82299999999999995</v>
      </c>
      <c r="T107" s="29">
        <v>0.81</v>
      </c>
      <c r="U107" s="29">
        <v>0.80500000000000005</v>
      </c>
      <c r="V107" s="65">
        <v>0.84099999999999997</v>
      </c>
      <c r="W107" s="117" t="s">
        <v>344</v>
      </c>
      <c r="X107" s="117" t="s">
        <v>344</v>
      </c>
    </row>
    <row r="108" spans="1:24" ht="15.75" customHeight="1" x14ac:dyDescent="0.2">
      <c r="A108" s="30" t="s">
        <v>206</v>
      </c>
      <c r="B108" s="17" t="s">
        <v>182</v>
      </c>
      <c r="C108" s="17" t="s">
        <v>95</v>
      </c>
      <c r="D108" s="29" t="s">
        <v>190</v>
      </c>
      <c r="E108" s="29" t="s">
        <v>190</v>
      </c>
      <c r="F108" s="29" t="s">
        <v>190</v>
      </c>
      <c r="G108" s="29" t="s">
        <v>190</v>
      </c>
      <c r="H108" s="29" t="s">
        <v>190</v>
      </c>
      <c r="I108" s="29" t="s">
        <v>190</v>
      </c>
      <c r="J108" s="29" t="s">
        <v>190</v>
      </c>
      <c r="K108" s="29" t="s">
        <v>190</v>
      </c>
      <c r="L108" s="29">
        <v>0.79299999999999993</v>
      </c>
      <c r="M108" s="29">
        <v>0.78400000000000003</v>
      </c>
      <c r="N108" s="29">
        <v>0.74199999999999999</v>
      </c>
      <c r="O108" s="29">
        <v>0.86199999999999999</v>
      </c>
      <c r="P108" s="29">
        <v>0.68</v>
      </c>
      <c r="Q108" s="29">
        <v>0.68</v>
      </c>
      <c r="R108" s="29">
        <v>0.69799999999999995</v>
      </c>
      <c r="S108" s="29">
        <v>0.69900000000000007</v>
      </c>
      <c r="T108" s="29">
        <v>0.70299999999999996</v>
      </c>
      <c r="U108" s="29">
        <v>0.59399999999999997</v>
      </c>
      <c r="V108" s="65">
        <v>0.51900000000000002</v>
      </c>
      <c r="W108" s="117" t="s">
        <v>344</v>
      </c>
      <c r="X108" s="117" t="s">
        <v>344</v>
      </c>
    </row>
    <row r="109" spans="1:24" ht="30" customHeight="1" x14ac:dyDescent="0.2">
      <c r="A109" s="30" t="s">
        <v>206</v>
      </c>
      <c r="B109" s="17" t="s">
        <v>183</v>
      </c>
      <c r="C109" s="17" t="s">
        <v>112</v>
      </c>
      <c r="D109" s="33" t="s">
        <v>190</v>
      </c>
      <c r="E109" s="33" t="s">
        <v>190</v>
      </c>
      <c r="F109" s="33" t="s">
        <v>190</v>
      </c>
      <c r="G109" s="33" t="s">
        <v>190</v>
      </c>
      <c r="H109" s="33" t="s">
        <v>190</v>
      </c>
      <c r="I109" s="33" t="s">
        <v>190</v>
      </c>
      <c r="J109" s="29" t="s">
        <v>190</v>
      </c>
      <c r="K109" s="29" t="s">
        <v>190</v>
      </c>
      <c r="L109" s="29">
        <v>0.71700000000000008</v>
      </c>
      <c r="M109" s="29">
        <v>0.745</v>
      </c>
      <c r="N109" s="29">
        <v>0.79400000000000004</v>
      </c>
      <c r="O109" s="29">
        <v>0.7390000000000001</v>
      </c>
      <c r="P109" s="29">
        <v>0.78099999999999992</v>
      </c>
      <c r="Q109" s="29">
        <v>0.77700000000000002</v>
      </c>
      <c r="R109" s="29">
        <v>0.755</v>
      </c>
      <c r="S109" s="29">
        <v>0.76800000000000002</v>
      </c>
      <c r="T109" s="29">
        <v>0.78400000000000003</v>
      </c>
      <c r="U109" s="29">
        <v>0.73799999999999999</v>
      </c>
      <c r="V109" s="65">
        <v>0.74299999999999999</v>
      </c>
      <c r="W109" s="117" t="s">
        <v>344</v>
      </c>
      <c r="X109" s="117" t="s">
        <v>344</v>
      </c>
    </row>
    <row r="110" spans="1:24" x14ac:dyDescent="0.2">
      <c r="A110" s="30" t="s">
        <v>206</v>
      </c>
      <c r="B110" s="17" t="s">
        <v>183</v>
      </c>
      <c r="C110" s="9" t="s">
        <v>113</v>
      </c>
      <c r="D110" s="33" t="s">
        <v>190</v>
      </c>
      <c r="E110" s="33" t="s">
        <v>190</v>
      </c>
      <c r="F110" s="33" t="s">
        <v>190</v>
      </c>
      <c r="G110" s="33" t="s">
        <v>190</v>
      </c>
      <c r="H110" s="33" t="s">
        <v>190</v>
      </c>
      <c r="I110" s="33" t="s">
        <v>190</v>
      </c>
      <c r="J110" s="29" t="s">
        <v>190</v>
      </c>
      <c r="K110" s="29" t="s">
        <v>190</v>
      </c>
      <c r="L110" s="29">
        <v>0.80200000000000005</v>
      </c>
      <c r="M110" s="29">
        <v>0.74</v>
      </c>
      <c r="N110" s="29">
        <v>0.76900000000000002</v>
      </c>
      <c r="O110" s="29">
        <v>0.83599999999999997</v>
      </c>
      <c r="P110" s="29">
        <v>0.7390000000000001</v>
      </c>
      <c r="Q110" s="29">
        <v>0.85299999999999998</v>
      </c>
      <c r="R110" s="29">
        <v>0.80599999999999994</v>
      </c>
      <c r="S110" s="29">
        <v>0.73599999999999999</v>
      </c>
      <c r="T110" s="29">
        <v>0.78299999999999992</v>
      </c>
      <c r="U110" s="29">
        <v>0.66</v>
      </c>
      <c r="V110" s="65">
        <v>0.73499999999999999</v>
      </c>
      <c r="W110" s="117" t="s">
        <v>344</v>
      </c>
      <c r="X110" s="117" t="s">
        <v>344</v>
      </c>
    </row>
    <row r="111" spans="1:24" x14ac:dyDescent="0.2">
      <c r="A111" s="30" t="s">
        <v>206</v>
      </c>
      <c r="B111" s="17" t="s">
        <v>183</v>
      </c>
      <c r="C111" s="9" t="s">
        <v>114</v>
      </c>
      <c r="D111" s="33" t="s">
        <v>190</v>
      </c>
      <c r="E111" s="33" t="s">
        <v>190</v>
      </c>
      <c r="F111" s="33" t="s">
        <v>190</v>
      </c>
      <c r="G111" s="33" t="s">
        <v>190</v>
      </c>
      <c r="H111" s="33" t="s">
        <v>190</v>
      </c>
      <c r="I111" s="33" t="s">
        <v>190</v>
      </c>
      <c r="J111" s="29" t="s">
        <v>190</v>
      </c>
      <c r="K111" s="29" t="s">
        <v>190</v>
      </c>
      <c r="L111" s="29">
        <v>0.75599999999999989</v>
      </c>
      <c r="M111" s="29">
        <v>0.73299999999999998</v>
      </c>
      <c r="N111" s="29">
        <v>0.7659999999999999</v>
      </c>
      <c r="O111" s="29">
        <v>0.80099999999999993</v>
      </c>
      <c r="P111" s="29">
        <v>0.76800000000000002</v>
      </c>
      <c r="Q111" s="29">
        <v>0.80500000000000005</v>
      </c>
      <c r="R111" s="29">
        <v>0.81700000000000006</v>
      </c>
      <c r="S111" s="29">
        <v>0.79799999999999993</v>
      </c>
      <c r="T111" s="29">
        <v>0.78700000000000003</v>
      </c>
      <c r="U111" s="29">
        <v>0.747</v>
      </c>
      <c r="V111" s="65">
        <v>0.71200000000000008</v>
      </c>
      <c r="W111" s="117" t="s">
        <v>344</v>
      </c>
      <c r="X111" s="117" t="s">
        <v>344</v>
      </c>
    </row>
    <row r="112" spans="1:24" x14ac:dyDescent="0.2">
      <c r="A112" s="30" t="s">
        <v>206</v>
      </c>
      <c r="B112" s="17" t="s">
        <v>183</v>
      </c>
      <c r="C112" s="9" t="s">
        <v>115</v>
      </c>
      <c r="D112" s="33" t="s">
        <v>190</v>
      </c>
      <c r="E112" s="33" t="s">
        <v>190</v>
      </c>
      <c r="F112" s="33" t="s">
        <v>190</v>
      </c>
      <c r="G112" s="33" t="s">
        <v>190</v>
      </c>
      <c r="H112" s="33" t="s">
        <v>190</v>
      </c>
      <c r="I112" s="33" t="s">
        <v>190</v>
      </c>
      <c r="J112" s="29" t="s">
        <v>190</v>
      </c>
      <c r="K112" s="29" t="s">
        <v>190</v>
      </c>
      <c r="L112" s="29">
        <v>0.77</v>
      </c>
      <c r="M112" s="29">
        <v>0.76800000000000002</v>
      </c>
      <c r="N112" s="29">
        <v>0.81900000000000006</v>
      </c>
      <c r="O112" s="29">
        <v>0.83200000000000007</v>
      </c>
      <c r="P112" s="29">
        <v>0.82700000000000007</v>
      </c>
      <c r="Q112" s="29">
        <v>0.78400000000000003</v>
      </c>
      <c r="R112" s="29">
        <v>0.79099999999999993</v>
      </c>
      <c r="S112" s="29">
        <v>0.76300000000000001</v>
      </c>
      <c r="T112" s="29">
        <v>0.73099999999999998</v>
      </c>
      <c r="U112" s="29">
        <v>0.61</v>
      </c>
      <c r="V112" s="65">
        <v>0.70700000000000007</v>
      </c>
      <c r="W112" s="117" t="s">
        <v>344</v>
      </c>
      <c r="X112" s="117" t="s">
        <v>344</v>
      </c>
    </row>
    <row r="113" spans="1:24" x14ac:dyDescent="0.2">
      <c r="A113" s="30" t="s">
        <v>206</v>
      </c>
      <c r="B113" s="17" t="s">
        <v>183</v>
      </c>
      <c r="C113" s="9" t="s">
        <v>13</v>
      </c>
      <c r="D113" s="33" t="s">
        <v>190</v>
      </c>
      <c r="E113" s="33" t="s">
        <v>190</v>
      </c>
      <c r="F113" s="33" t="s">
        <v>190</v>
      </c>
      <c r="G113" s="33" t="s">
        <v>190</v>
      </c>
      <c r="H113" s="33" t="s">
        <v>190</v>
      </c>
      <c r="I113" s="33" t="s">
        <v>190</v>
      </c>
      <c r="J113" s="29" t="s">
        <v>190</v>
      </c>
      <c r="K113" s="29" t="s">
        <v>190</v>
      </c>
      <c r="L113" s="29">
        <v>0.77599999999999991</v>
      </c>
      <c r="M113" s="29">
        <v>0.78799999999999992</v>
      </c>
      <c r="N113" s="29">
        <v>0.77099999999999991</v>
      </c>
      <c r="O113" s="29">
        <v>0.7340000000000001</v>
      </c>
      <c r="P113" s="29">
        <v>0.755</v>
      </c>
      <c r="Q113" s="29">
        <v>0.745</v>
      </c>
      <c r="R113" s="29">
        <v>0.72799999999999998</v>
      </c>
      <c r="S113" s="29">
        <v>0.75</v>
      </c>
      <c r="T113" s="29">
        <v>0.75099999999999989</v>
      </c>
      <c r="U113" s="29">
        <v>0.72799999999999998</v>
      </c>
      <c r="V113" s="65">
        <v>0.7659999999999999</v>
      </c>
      <c r="W113" s="117" t="s">
        <v>344</v>
      </c>
      <c r="X113" s="117" t="s">
        <v>344</v>
      </c>
    </row>
    <row r="114" spans="1:24" x14ac:dyDescent="0.2">
      <c r="A114" s="30" t="s">
        <v>206</v>
      </c>
      <c r="B114" s="17" t="s">
        <v>183</v>
      </c>
      <c r="C114" s="9" t="s">
        <v>116</v>
      </c>
      <c r="D114" s="33" t="s">
        <v>190</v>
      </c>
      <c r="E114" s="33" t="s">
        <v>190</v>
      </c>
      <c r="F114" s="33" t="s">
        <v>190</v>
      </c>
      <c r="G114" s="33" t="s">
        <v>190</v>
      </c>
      <c r="H114" s="33" t="s">
        <v>190</v>
      </c>
      <c r="I114" s="33" t="s">
        <v>190</v>
      </c>
      <c r="J114" s="29" t="s">
        <v>190</v>
      </c>
      <c r="K114" s="29" t="s">
        <v>190</v>
      </c>
      <c r="L114" s="29">
        <v>0.81299999999999994</v>
      </c>
      <c r="M114" s="29">
        <v>0.81299999999999994</v>
      </c>
      <c r="N114" s="29">
        <v>0.89200000000000002</v>
      </c>
      <c r="O114" s="29">
        <v>0.86799999999999999</v>
      </c>
      <c r="P114" s="29">
        <v>0.86099999999999999</v>
      </c>
      <c r="Q114" s="29">
        <v>0.88300000000000001</v>
      </c>
      <c r="R114" s="29">
        <v>0.875</v>
      </c>
      <c r="S114" s="29">
        <v>0.871</v>
      </c>
      <c r="T114" s="29">
        <v>0.83299999999999996</v>
      </c>
      <c r="U114" s="29">
        <v>0.72900000000000009</v>
      </c>
      <c r="V114" s="65">
        <v>0.875</v>
      </c>
      <c r="W114" s="117" t="s">
        <v>344</v>
      </c>
      <c r="X114" s="117" t="s">
        <v>344</v>
      </c>
    </row>
    <row r="115" spans="1:24" x14ac:dyDescent="0.2">
      <c r="A115" s="30" t="s">
        <v>206</v>
      </c>
      <c r="B115" s="17" t="s">
        <v>183</v>
      </c>
      <c r="C115" s="9" t="s">
        <v>117</v>
      </c>
      <c r="D115" s="33" t="s">
        <v>190</v>
      </c>
      <c r="E115" s="33" t="s">
        <v>190</v>
      </c>
      <c r="F115" s="33" t="s">
        <v>190</v>
      </c>
      <c r="G115" s="33" t="s">
        <v>190</v>
      </c>
      <c r="H115" s="33" t="s">
        <v>190</v>
      </c>
      <c r="I115" s="33" t="s">
        <v>190</v>
      </c>
      <c r="J115" s="29" t="s">
        <v>190</v>
      </c>
      <c r="K115" s="29" t="s">
        <v>190</v>
      </c>
      <c r="L115" s="29">
        <v>0.71400000000000008</v>
      </c>
      <c r="M115" s="29">
        <v>0.72199999999999998</v>
      </c>
      <c r="N115" s="29">
        <v>0.77400000000000002</v>
      </c>
      <c r="O115" s="29">
        <v>0.77900000000000003</v>
      </c>
      <c r="P115" s="29">
        <v>0.78</v>
      </c>
      <c r="Q115" s="29">
        <v>0.81099999999999994</v>
      </c>
      <c r="R115" s="29">
        <v>0.79</v>
      </c>
      <c r="S115" s="29">
        <v>0.82299999999999995</v>
      </c>
      <c r="T115" s="29">
        <v>0.81</v>
      </c>
      <c r="U115" s="29">
        <v>0.80500000000000005</v>
      </c>
      <c r="V115" s="65">
        <v>0.84099999999999997</v>
      </c>
      <c r="W115" s="117" t="s">
        <v>344</v>
      </c>
      <c r="X115" s="117" t="s">
        <v>344</v>
      </c>
    </row>
    <row r="116" spans="1:24" x14ac:dyDescent="0.2">
      <c r="A116" s="30" t="s">
        <v>206</v>
      </c>
      <c r="B116" s="17" t="s">
        <v>183</v>
      </c>
      <c r="C116" s="9" t="s">
        <v>118</v>
      </c>
      <c r="D116" s="33" t="s">
        <v>190</v>
      </c>
      <c r="E116" s="33" t="s">
        <v>190</v>
      </c>
      <c r="F116" s="33" t="s">
        <v>190</v>
      </c>
      <c r="G116" s="33" t="s">
        <v>190</v>
      </c>
      <c r="H116" s="33" t="s">
        <v>190</v>
      </c>
      <c r="I116" s="33" t="s">
        <v>190</v>
      </c>
      <c r="J116" s="29" t="s">
        <v>190</v>
      </c>
      <c r="K116" s="29" t="s">
        <v>190</v>
      </c>
      <c r="L116" s="29">
        <v>0.79700000000000004</v>
      </c>
      <c r="M116" s="29">
        <v>0.83099999999999996</v>
      </c>
      <c r="N116" s="29">
        <v>0.80799999999999994</v>
      </c>
      <c r="O116" s="29">
        <v>0.87400000000000011</v>
      </c>
      <c r="P116" s="29">
        <v>0.86499999999999999</v>
      </c>
      <c r="Q116" s="29">
        <v>0.82700000000000007</v>
      </c>
      <c r="R116" s="29">
        <v>0.81700000000000006</v>
      </c>
      <c r="S116" s="29">
        <v>0.77599999999999991</v>
      </c>
      <c r="T116" s="29">
        <v>0.746</v>
      </c>
      <c r="U116" s="29">
        <v>0.73699999999999999</v>
      </c>
      <c r="V116" s="65">
        <v>0.7609999999999999</v>
      </c>
      <c r="W116" s="117" t="s">
        <v>344</v>
      </c>
      <c r="X116" s="117" t="s">
        <v>344</v>
      </c>
    </row>
    <row r="117" spans="1:24" x14ac:dyDescent="0.2">
      <c r="A117" s="30" t="s">
        <v>206</v>
      </c>
      <c r="B117" s="17" t="s">
        <v>183</v>
      </c>
      <c r="C117" s="9" t="s">
        <v>184</v>
      </c>
      <c r="D117" s="33" t="s">
        <v>190</v>
      </c>
      <c r="E117" s="33" t="s">
        <v>190</v>
      </c>
      <c r="F117" s="33" t="s">
        <v>190</v>
      </c>
      <c r="G117" s="33" t="s">
        <v>190</v>
      </c>
      <c r="H117" s="33" t="s">
        <v>190</v>
      </c>
      <c r="I117" s="33" t="s">
        <v>190</v>
      </c>
      <c r="J117" s="29" t="s">
        <v>190</v>
      </c>
      <c r="K117" s="29" t="s">
        <v>190</v>
      </c>
      <c r="L117" s="29">
        <v>0.76300000000000001</v>
      </c>
      <c r="M117" s="29">
        <v>0.75700000000000001</v>
      </c>
      <c r="N117" s="29">
        <v>0.78200000000000003</v>
      </c>
      <c r="O117" s="29">
        <v>0.79</v>
      </c>
      <c r="P117" s="29">
        <v>0.77800000000000002</v>
      </c>
      <c r="Q117" s="29">
        <v>0.79700000000000004</v>
      </c>
      <c r="R117" s="29">
        <v>0.78900000000000003</v>
      </c>
      <c r="S117" s="29">
        <v>0.78200000000000003</v>
      </c>
      <c r="T117" s="29">
        <v>0.77599999999999991</v>
      </c>
      <c r="U117" s="29">
        <v>0.72799999999999998</v>
      </c>
      <c r="V117" s="65">
        <v>0.746</v>
      </c>
      <c r="W117" s="117" t="s">
        <v>344</v>
      </c>
      <c r="X117" s="117" t="s">
        <v>344</v>
      </c>
    </row>
    <row r="118" spans="1:24" ht="30" customHeight="1" x14ac:dyDescent="0.2">
      <c r="A118" s="30" t="s">
        <v>206</v>
      </c>
      <c r="B118" s="17" t="s">
        <v>185</v>
      </c>
      <c r="C118" s="17" t="s">
        <v>111</v>
      </c>
      <c r="D118" s="33" t="s">
        <v>190</v>
      </c>
      <c r="E118" s="33" t="s">
        <v>190</v>
      </c>
      <c r="F118" s="33" t="s">
        <v>190</v>
      </c>
      <c r="G118" s="33" t="s">
        <v>190</v>
      </c>
      <c r="H118" s="33" t="s">
        <v>190</v>
      </c>
      <c r="I118" s="33" t="s">
        <v>190</v>
      </c>
      <c r="J118" s="29" t="s">
        <v>190</v>
      </c>
      <c r="K118" s="29" t="s">
        <v>190</v>
      </c>
      <c r="L118" s="29">
        <v>0.58299999999999996</v>
      </c>
      <c r="M118" s="29">
        <v>0.69900000000000007</v>
      </c>
      <c r="N118" s="29">
        <v>0.64900000000000002</v>
      </c>
      <c r="O118" s="29">
        <v>0.46100000000000002</v>
      </c>
      <c r="P118" s="29">
        <v>0.74400000000000011</v>
      </c>
      <c r="Q118" s="29">
        <v>0.60899999999999999</v>
      </c>
      <c r="R118" s="29">
        <v>0.67299999999999993</v>
      </c>
      <c r="S118" s="29">
        <v>0.68</v>
      </c>
      <c r="T118" s="29">
        <v>0.629</v>
      </c>
      <c r="U118" s="29">
        <v>0.61399999999999999</v>
      </c>
      <c r="V118" s="65">
        <v>0.76400000000000001</v>
      </c>
      <c r="W118" s="117" t="s">
        <v>344</v>
      </c>
      <c r="X118" s="117" t="s">
        <v>344</v>
      </c>
    </row>
    <row r="119" spans="1:24" x14ac:dyDescent="0.2">
      <c r="A119" s="30" t="s">
        <v>206</v>
      </c>
      <c r="B119" s="17" t="s">
        <v>185</v>
      </c>
      <c r="C119" s="9" t="s">
        <v>186</v>
      </c>
      <c r="D119" s="33" t="s">
        <v>190</v>
      </c>
      <c r="E119" s="33" t="s">
        <v>190</v>
      </c>
      <c r="F119" s="33" t="s">
        <v>190</v>
      </c>
      <c r="G119" s="33" t="s">
        <v>190</v>
      </c>
      <c r="H119" s="33" t="s">
        <v>190</v>
      </c>
      <c r="I119" s="33" t="s">
        <v>190</v>
      </c>
      <c r="J119" s="29" t="s">
        <v>190</v>
      </c>
      <c r="K119" s="29" t="s">
        <v>190</v>
      </c>
      <c r="L119" s="29">
        <v>0.66299999999999992</v>
      </c>
      <c r="M119" s="29">
        <v>0.70799999999999996</v>
      </c>
      <c r="N119" s="29">
        <v>0.69200000000000006</v>
      </c>
      <c r="O119" s="29">
        <v>0.73599999999999999</v>
      </c>
      <c r="P119" s="29">
        <v>0.7340000000000001</v>
      </c>
      <c r="Q119" s="29">
        <v>0.71900000000000008</v>
      </c>
      <c r="R119" s="29">
        <v>0.68500000000000005</v>
      </c>
      <c r="S119" s="29">
        <v>0.69099999999999995</v>
      </c>
      <c r="T119" s="29">
        <v>0.69700000000000006</v>
      </c>
      <c r="U119" s="29">
        <v>0.76300000000000001</v>
      </c>
      <c r="V119" s="65">
        <v>0.77300000000000002</v>
      </c>
      <c r="W119" s="117" t="s">
        <v>344</v>
      </c>
      <c r="X119" s="117" t="s">
        <v>344</v>
      </c>
    </row>
    <row r="120" spans="1:24" x14ac:dyDescent="0.2">
      <c r="A120" s="30" t="s">
        <v>206</v>
      </c>
      <c r="B120" s="17" t="s">
        <v>185</v>
      </c>
      <c r="C120" s="9" t="s">
        <v>151</v>
      </c>
      <c r="D120" s="29" t="s">
        <v>190</v>
      </c>
      <c r="E120" s="29" t="s">
        <v>190</v>
      </c>
      <c r="F120" s="29" t="s">
        <v>190</v>
      </c>
      <c r="G120" s="29" t="s">
        <v>190</v>
      </c>
      <c r="H120" s="29" t="s">
        <v>190</v>
      </c>
      <c r="I120" s="29" t="s">
        <v>190</v>
      </c>
      <c r="J120" s="29" t="s">
        <v>190</v>
      </c>
      <c r="K120" s="29" t="s">
        <v>190</v>
      </c>
      <c r="L120" s="29">
        <v>0.65200000000000002</v>
      </c>
      <c r="M120" s="29">
        <v>0.67700000000000005</v>
      </c>
      <c r="N120" s="29">
        <v>0.67400000000000004</v>
      </c>
      <c r="O120" s="29">
        <v>0.68900000000000006</v>
      </c>
      <c r="P120" s="29">
        <v>0.72</v>
      </c>
      <c r="Q120" s="29">
        <v>0.69900000000000007</v>
      </c>
      <c r="R120" s="29">
        <v>0.68599999999999994</v>
      </c>
      <c r="S120" s="29">
        <v>0.69200000000000006</v>
      </c>
      <c r="T120" s="29">
        <v>0.7340000000000001</v>
      </c>
      <c r="U120" s="29">
        <v>0.73799999999999999</v>
      </c>
      <c r="V120" s="65">
        <v>0.76800000000000002</v>
      </c>
      <c r="W120" s="117" t="s">
        <v>344</v>
      </c>
      <c r="X120" s="117" t="s">
        <v>344</v>
      </c>
    </row>
    <row r="121" spans="1:24" ht="34.5" customHeight="1" x14ac:dyDescent="0.2">
      <c r="A121" s="30" t="s">
        <v>206</v>
      </c>
      <c r="B121" s="91" t="s">
        <v>270</v>
      </c>
      <c r="C121" s="92" t="s">
        <v>271</v>
      </c>
      <c r="D121" s="18" t="s">
        <v>190</v>
      </c>
      <c r="E121" s="18" t="s">
        <v>190</v>
      </c>
      <c r="F121" s="18" t="s">
        <v>190</v>
      </c>
      <c r="G121" s="18" t="s">
        <v>190</v>
      </c>
      <c r="H121" s="18" t="s">
        <v>190</v>
      </c>
      <c r="I121" s="18" t="s">
        <v>190</v>
      </c>
      <c r="J121" s="18" t="s">
        <v>190</v>
      </c>
      <c r="K121" s="18" t="s">
        <v>190</v>
      </c>
      <c r="L121" s="29">
        <v>0.72499999999999998</v>
      </c>
      <c r="M121" s="29">
        <v>0.77900000000000003</v>
      </c>
      <c r="N121" s="29">
        <v>0.82499999999999996</v>
      </c>
      <c r="O121" s="29">
        <v>0.71900000000000008</v>
      </c>
      <c r="P121" s="29">
        <v>0.80099999999999993</v>
      </c>
      <c r="Q121" s="29">
        <v>0.76900000000000002</v>
      </c>
      <c r="R121" s="29">
        <v>0.79799999999999993</v>
      </c>
      <c r="S121" s="29">
        <v>0.89800000000000002</v>
      </c>
      <c r="T121" s="29">
        <v>0.82599999999999996</v>
      </c>
      <c r="U121" s="29">
        <v>0.69499999999999995</v>
      </c>
      <c r="V121" s="29">
        <v>0.88500000000000001</v>
      </c>
      <c r="W121" s="117" t="s">
        <v>344</v>
      </c>
      <c r="X121" s="117" t="s">
        <v>344</v>
      </c>
    </row>
    <row r="122" spans="1:24" x14ac:dyDescent="0.2">
      <c r="A122" s="30" t="s">
        <v>206</v>
      </c>
      <c r="B122" s="91" t="s">
        <v>270</v>
      </c>
      <c r="C122" s="92" t="s">
        <v>272</v>
      </c>
      <c r="D122" s="18" t="s">
        <v>190</v>
      </c>
      <c r="E122" s="18" t="s">
        <v>190</v>
      </c>
      <c r="F122" s="18" t="s">
        <v>190</v>
      </c>
      <c r="G122" s="18" t="s">
        <v>190</v>
      </c>
      <c r="H122" s="18" t="s">
        <v>190</v>
      </c>
      <c r="I122" s="18" t="s">
        <v>190</v>
      </c>
      <c r="J122" s="18" t="s">
        <v>190</v>
      </c>
      <c r="K122" s="18" t="s">
        <v>190</v>
      </c>
      <c r="L122" s="29">
        <v>0.62</v>
      </c>
      <c r="M122" s="29">
        <v>0.752</v>
      </c>
      <c r="N122" s="29">
        <v>0.76200000000000001</v>
      </c>
      <c r="O122" s="29">
        <v>0.68400000000000005</v>
      </c>
      <c r="P122" s="29">
        <v>0.86099999999999999</v>
      </c>
      <c r="Q122" s="29">
        <v>0.78700000000000003</v>
      </c>
      <c r="R122" s="29">
        <v>0.75099999999999989</v>
      </c>
      <c r="S122" s="29">
        <v>0.88</v>
      </c>
      <c r="T122" s="29">
        <v>0.84</v>
      </c>
      <c r="U122" s="29">
        <v>0.86299999999999999</v>
      </c>
      <c r="V122" s="29">
        <v>0.60399999999999998</v>
      </c>
      <c r="W122" s="117" t="s">
        <v>344</v>
      </c>
      <c r="X122" s="117" t="s">
        <v>344</v>
      </c>
    </row>
    <row r="123" spans="1:24" x14ac:dyDescent="0.2">
      <c r="A123" s="30" t="s">
        <v>206</v>
      </c>
      <c r="B123" s="91" t="s">
        <v>270</v>
      </c>
      <c r="C123" s="92" t="s">
        <v>273</v>
      </c>
      <c r="D123" s="18" t="s">
        <v>190</v>
      </c>
      <c r="E123" s="18" t="s">
        <v>190</v>
      </c>
      <c r="F123" s="18" t="s">
        <v>190</v>
      </c>
      <c r="G123" s="18" t="s">
        <v>190</v>
      </c>
      <c r="H123" s="18" t="s">
        <v>190</v>
      </c>
      <c r="I123" s="18" t="s">
        <v>190</v>
      </c>
      <c r="J123" s="18" t="s">
        <v>190</v>
      </c>
      <c r="K123" s="18" t="s">
        <v>190</v>
      </c>
      <c r="L123" s="29">
        <v>0.754</v>
      </c>
      <c r="M123" s="29">
        <v>0.81900000000000006</v>
      </c>
      <c r="N123" s="29">
        <v>0.754</v>
      </c>
      <c r="O123" s="29">
        <v>0.81</v>
      </c>
      <c r="P123" s="29">
        <v>0.70200000000000007</v>
      </c>
      <c r="Q123" s="29">
        <v>0.64</v>
      </c>
      <c r="R123" s="29">
        <v>0.875</v>
      </c>
      <c r="S123" s="29">
        <v>0.54299999999999993</v>
      </c>
      <c r="T123" s="29">
        <v>0.65400000000000003</v>
      </c>
      <c r="U123" s="29" t="s">
        <v>208</v>
      </c>
      <c r="V123" s="29" t="s">
        <v>208</v>
      </c>
      <c r="W123" s="117" t="s">
        <v>344</v>
      </c>
      <c r="X123" s="117" t="s">
        <v>344</v>
      </c>
    </row>
    <row r="124" spans="1:24" x14ac:dyDescent="0.2">
      <c r="A124" s="30" t="s">
        <v>206</v>
      </c>
      <c r="B124" s="91" t="s">
        <v>270</v>
      </c>
      <c r="C124" s="92" t="s">
        <v>274</v>
      </c>
      <c r="D124" s="18" t="s">
        <v>190</v>
      </c>
      <c r="E124" s="18" t="s">
        <v>190</v>
      </c>
      <c r="F124" s="18" t="s">
        <v>190</v>
      </c>
      <c r="G124" s="18" t="s">
        <v>190</v>
      </c>
      <c r="H124" s="18" t="s">
        <v>190</v>
      </c>
      <c r="I124" s="18" t="s">
        <v>190</v>
      </c>
      <c r="J124" s="18" t="s">
        <v>190</v>
      </c>
      <c r="K124" s="18" t="s">
        <v>190</v>
      </c>
      <c r="L124" s="29">
        <v>0.69400000000000006</v>
      </c>
      <c r="M124" s="29">
        <v>0.70200000000000007</v>
      </c>
      <c r="N124" s="29">
        <v>0.77599999999999991</v>
      </c>
      <c r="O124" s="29">
        <v>0.77599999999999991</v>
      </c>
      <c r="P124" s="29">
        <v>0.78799999999999992</v>
      </c>
      <c r="Q124" s="29">
        <v>0.82599999999999996</v>
      </c>
      <c r="R124" s="29">
        <v>0.81799999999999995</v>
      </c>
      <c r="S124" s="29">
        <v>0.83799999999999997</v>
      </c>
      <c r="T124" s="29">
        <v>0.80500000000000005</v>
      </c>
      <c r="U124" s="29">
        <v>0.81200000000000006</v>
      </c>
      <c r="V124" s="29">
        <v>0.81200000000000006</v>
      </c>
      <c r="W124" s="117" t="s">
        <v>344</v>
      </c>
      <c r="X124" s="117" t="s">
        <v>344</v>
      </c>
    </row>
    <row r="125" spans="1:24" x14ac:dyDescent="0.2">
      <c r="A125" s="30" t="s">
        <v>206</v>
      </c>
      <c r="B125" s="91" t="s">
        <v>270</v>
      </c>
      <c r="C125" s="92" t="s">
        <v>275</v>
      </c>
      <c r="D125" s="18" t="s">
        <v>190</v>
      </c>
      <c r="E125" s="18" t="s">
        <v>190</v>
      </c>
      <c r="F125" s="18" t="s">
        <v>190</v>
      </c>
      <c r="G125" s="18" t="s">
        <v>190</v>
      </c>
      <c r="H125" s="18" t="s">
        <v>190</v>
      </c>
      <c r="I125" s="18" t="s">
        <v>190</v>
      </c>
      <c r="J125" s="18" t="s">
        <v>190</v>
      </c>
      <c r="K125" s="18" t="s">
        <v>190</v>
      </c>
      <c r="L125" s="29">
        <v>0.82799999999999996</v>
      </c>
      <c r="M125" s="29">
        <v>0.82400000000000007</v>
      </c>
      <c r="N125" s="29">
        <v>0.90099999999999991</v>
      </c>
      <c r="O125" s="29">
        <v>0.87400000000000011</v>
      </c>
      <c r="P125" s="29">
        <v>0.88500000000000001</v>
      </c>
      <c r="Q125" s="29">
        <v>0.89900000000000002</v>
      </c>
      <c r="R125" s="29">
        <v>0.88400000000000001</v>
      </c>
      <c r="S125" s="29">
        <v>0.87400000000000011</v>
      </c>
      <c r="T125" s="29">
        <v>0.85299999999999998</v>
      </c>
      <c r="U125" s="29">
        <v>0.71200000000000008</v>
      </c>
      <c r="V125" s="29">
        <v>0.871</v>
      </c>
      <c r="W125" s="117" t="s">
        <v>344</v>
      </c>
      <c r="X125" s="117" t="s">
        <v>344</v>
      </c>
    </row>
    <row r="126" spans="1:24" x14ac:dyDescent="0.2">
      <c r="A126" s="30" t="s">
        <v>206</v>
      </c>
      <c r="B126" s="91" t="s">
        <v>270</v>
      </c>
      <c r="C126" s="92" t="s">
        <v>276</v>
      </c>
      <c r="D126" s="18" t="s">
        <v>190</v>
      </c>
      <c r="E126" s="18" t="s">
        <v>190</v>
      </c>
      <c r="F126" s="18" t="s">
        <v>190</v>
      </c>
      <c r="G126" s="18" t="s">
        <v>190</v>
      </c>
      <c r="H126" s="18" t="s">
        <v>190</v>
      </c>
      <c r="I126" s="18" t="s">
        <v>190</v>
      </c>
      <c r="J126" s="18" t="s">
        <v>190</v>
      </c>
      <c r="K126" s="18" t="s">
        <v>190</v>
      </c>
      <c r="L126" s="29">
        <v>0.71799999999999997</v>
      </c>
      <c r="M126" s="29">
        <v>0.69799999999999995</v>
      </c>
      <c r="N126" s="29">
        <v>0.81700000000000006</v>
      </c>
      <c r="O126" s="29">
        <v>0.79500000000000004</v>
      </c>
      <c r="P126" s="29">
        <v>0.65300000000000002</v>
      </c>
      <c r="Q126" s="29">
        <v>0.65799999999999992</v>
      </c>
      <c r="R126" s="29">
        <v>0.76900000000000002</v>
      </c>
      <c r="S126" s="29">
        <v>0.84099999999999997</v>
      </c>
      <c r="T126" s="29">
        <v>0.63300000000000001</v>
      </c>
      <c r="U126" s="29" t="s">
        <v>208</v>
      </c>
      <c r="V126" s="29" t="s">
        <v>208</v>
      </c>
      <c r="W126" s="117" t="s">
        <v>344</v>
      </c>
      <c r="X126" s="117" t="s">
        <v>344</v>
      </c>
    </row>
    <row r="127" spans="1:24" x14ac:dyDescent="0.2">
      <c r="A127" s="30" t="s">
        <v>206</v>
      </c>
      <c r="B127" s="91" t="s">
        <v>270</v>
      </c>
      <c r="C127" s="92" t="s">
        <v>277</v>
      </c>
      <c r="D127" s="18" t="s">
        <v>190</v>
      </c>
      <c r="E127" s="18" t="s">
        <v>190</v>
      </c>
      <c r="F127" s="18" t="s">
        <v>190</v>
      </c>
      <c r="G127" s="18" t="s">
        <v>190</v>
      </c>
      <c r="H127" s="18" t="s">
        <v>190</v>
      </c>
      <c r="I127" s="18" t="s">
        <v>190</v>
      </c>
      <c r="J127" s="18" t="s">
        <v>190</v>
      </c>
      <c r="K127" s="18" t="s">
        <v>190</v>
      </c>
      <c r="L127" s="29">
        <v>0.79599999999999993</v>
      </c>
      <c r="M127" s="29">
        <v>0.83499999999999996</v>
      </c>
      <c r="N127" s="29">
        <v>0.81200000000000006</v>
      </c>
      <c r="O127" s="29">
        <v>0.879</v>
      </c>
      <c r="P127" s="29">
        <v>0.871</v>
      </c>
      <c r="Q127" s="29">
        <v>0.82900000000000007</v>
      </c>
      <c r="R127" s="29">
        <v>0.81599999999999995</v>
      </c>
      <c r="S127" s="29">
        <v>0.7340000000000001</v>
      </c>
      <c r="T127" s="29">
        <v>0.745</v>
      </c>
      <c r="U127" s="29">
        <v>0.74299999999999999</v>
      </c>
      <c r="V127" s="29">
        <v>0.74900000000000011</v>
      </c>
      <c r="W127" s="117" t="s">
        <v>344</v>
      </c>
      <c r="X127" s="117" t="s">
        <v>344</v>
      </c>
    </row>
    <row r="128" spans="1:24" x14ac:dyDescent="0.2">
      <c r="A128" s="30" t="s">
        <v>206</v>
      </c>
      <c r="B128" s="91" t="s">
        <v>270</v>
      </c>
      <c r="C128" s="92" t="s">
        <v>278</v>
      </c>
      <c r="D128" s="18" t="s">
        <v>190</v>
      </c>
      <c r="E128" s="18" t="s">
        <v>190</v>
      </c>
      <c r="F128" s="18" t="s">
        <v>190</v>
      </c>
      <c r="G128" s="18" t="s">
        <v>190</v>
      </c>
      <c r="H128" s="18" t="s">
        <v>190</v>
      </c>
      <c r="I128" s="18" t="s">
        <v>190</v>
      </c>
      <c r="J128" s="18" t="s">
        <v>190</v>
      </c>
      <c r="K128" s="18" t="s">
        <v>190</v>
      </c>
      <c r="L128" s="29">
        <v>0.80400000000000005</v>
      </c>
      <c r="M128" s="29">
        <v>0.79599999999999993</v>
      </c>
      <c r="N128" s="29">
        <v>0.78400000000000003</v>
      </c>
      <c r="O128" s="29">
        <v>0.81499999999999995</v>
      </c>
      <c r="P128" s="29">
        <v>0.81499999999999995</v>
      </c>
      <c r="Q128" s="29">
        <v>0.81299999999999994</v>
      </c>
      <c r="R128" s="29">
        <v>0.82200000000000006</v>
      </c>
      <c r="S128" s="29">
        <v>0.96299999999999997</v>
      </c>
      <c r="T128" s="29" t="s">
        <v>208</v>
      </c>
      <c r="U128" s="29" t="s">
        <v>208</v>
      </c>
      <c r="V128" s="29" t="s">
        <v>208</v>
      </c>
      <c r="W128" s="117" t="s">
        <v>344</v>
      </c>
      <c r="X128" s="117" t="s">
        <v>344</v>
      </c>
    </row>
    <row r="129" spans="1:24" x14ac:dyDescent="0.2">
      <c r="A129" s="30" t="s">
        <v>206</v>
      </c>
      <c r="B129" s="91" t="s">
        <v>270</v>
      </c>
      <c r="C129" s="92" t="s">
        <v>279</v>
      </c>
      <c r="D129" s="18" t="s">
        <v>190</v>
      </c>
      <c r="E129" s="18" t="s">
        <v>190</v>
      </c>
      <c r="F129" s="18" t="s">
        <v>190</v>
      </c>
      <c r="G129" s="18" t="s">
        <v>190</v>
      </c>
      <c r="H129" s="18" t="s">
        <v>190</v>
      </c>
      <c r="I129" s="18" t="s">
        <v>190</v>
      </c>
      <c r="J129" s="18" t="s">
        <v>190</v>
      </c>
      <c r="K129" s="18" t="s">
        <v>190</v>
      </c>
      <c r="L129" s="29">
        <v>0.80400000000000005</v>
      </c>
      <c r="M129" s="29">
        <v>0.82400000000000007</v>
      </c>
      <c r="N129" s="29">
        <v>0.75900000000000001</v>
      </c>
      <c r="O129" s="29">
        <v>0.79500000000000004</v>
      </c>
      <c r="P129" s="29">
        <v>0.72499999999999998</v>
      </c>
      <c r="Q129" s="29">
        <v>0.71499999999999997</v>
      </c>
      <c r="R129" s="29">
        <v>0.65799999999999992</v>
      </c>
      <c r="S129" s="29">
        <v>0.77900000000000003</v>
      </c>
      <c r="T129" s="29">
        <v>0.82599999999999996</v>
      </c>
      <c r="U129" s="29">
        <v>0.77599999999999991</v>
      </c>
      <c r="V129" s="29">
        <v>0.92500000000000004</v>
      </c>
      <c r="W129" s="117" t="s">
        <v>344</v>
      </c>
      <c r="X129" s="117" t="s">
        <v>344</v>
      </c>
    </row>
    <row r="130" spans="1:24" ht="33.6" customHeight="1" x14ac:dyDescent="0.2">
      <c r="A130" s="30" t="s">
        <v>206</v>
      </c>
      <c r="B130" s="17" t="s">
        <v>263</v>
      </c>
      <c r="C130" s="9" t="s">
        <v>280</v>
      </c>
      <c r="D130" s="29" t="s">
        <v>190</v>
      </c>
      <c r="E130" s="29" t="s">
        <v>190</v>
      </c>
      <c r="F130" s="29" t="s">
        <v>190</v>
      </c>
      <c r="G130" s="29" t="s">
        <v>190</v>
      </c>
      <c r="H130" s="29" t="s">
        <v>190</v>
      </c>
      <c r="I130" s="29" t="s">
        <v>190</v>
      </c>
      <c r="J130" s="29" t="s">
        <v>190</v>
      </c>
      <c r="K130" s="29" t="s">
        <v>190</v>
      </c>
      <c r="L130" s="29">
        <v>0.56700000000000006</v>
      </c>
      <c r="M130" s="29">
        <v>0.56000000000000005</v>
      </c>
      <c r="N130" s="29">
        <v>0.58299999999999996</v>
      </c>
      <c r="O130" s="29">
        <v>0.59799999999999998</v>
      </c>
      <c r="P130" s="29">
        <v>0.59599999999999997</v>
      </c>
      <c r="Q130" s="29">
        <v>0.622</v>
      </c>
      <c r="R130" s="29">
        <v>0.624</v>
      </c>
      <c r="S130" s="29">
        <v>0.64700000000000002</v>
      </c>
      <c r="T130" s="29">
        <v>0.622</v>
      </c>
      <c r="U130" s="29">
        <v>0.6409999999999999</v>
      </c>
      <c r="V130" s="29">
        <v>0.6409999999999999</v>
      </c>
      <c r="W130" s="117" t="s">
        <v>344</v>
      </c>
      <c r="X130" s="117" t="s">
        <v>344</v>
      </c>
    </row>
    <row r="131" spans="1:24" x14ac:dyDescent="0.2">
      <c r="A131" s="30" t="s">
        <v>206</v>
      </c>
      <c r="B131" s="17" t="s">
        <v>263</v>
      </c>
      <c r="C131" s="92" t="s">
        <v>264</v>
      </c>
      <c r="D131" s="29" t="s">
        <v>190</v>
      </c>
      <c r="E131" s="29" t="s">
        <v>190</v>
      </c>
      <c r="F131" s="29" t="s">
        <v>190</v>
      </c>
      <c r="G131" s="29" t="s">
        <v>190</v>
      </c>
      <c r="H131" s="29" t="s">
        <v>190</v>
      </c>
      <c r="I131" s="29" t="s">
        <v>190</v>
      </c>
      <c r="J131" s="29" t="s">
        <v>190</v>
      </c>
      <c r="K131" s="29" t="s">
        <v>190</v>
      </c>
      <c r="L131" s="29">
        <v>0.68</v>
      </c>
      <c r="M131" s="29">
        <v>0.68900000000000006</v>
      </c>
      <c r="N131" s="29">
        <v>0.70700000000000007</v>
      </c>
      <c r="O131" s="29">
        <v>0.72299999999999998</v>
      </c>
      <c r="P131" s="29">
        <v>0.70799999999999996</v>
      </c>
      <c r="Q131" s="29">
        <v>0.72599999999999998</v>
      </c>
      <c r="R131" s="29">
        <v>0.72299999999999998</v>
      </c>
      <c r="S131" s="29">
        <v>0.73499999999999999</v>
      </c>
      <c r="T131" s="29">
        <v>0.71200000000000008</v>
      </c>
      <c r="U131" s="29">
        <v>0.72799999999999998</v>
      </c>
      <c r="V131" s="29">
        <v>0.72900000000000009</v>
      </c>
      <c r="W131" s="117" t="s">
        <v>344</v>
      </c>
      <c r="X131" s="117" t="s">
        <v>344</v>
      </c>
    </row>
    <row r="132" spans="1:24" x14ac:dyDescent="0.2">
      <c r="A132" s="30" t="s">
        <v>206</v>
      </c>
      <c r="B132" s="17" t="s">
        <v>263</v>
      </c>
      <c r="C132" s="92" t="s">
        <v>265</v>
      </c>
      <c r="D132" s="29" t="s">
        <v>190</v>
      </c>
      <c r="E132" s="29" t="s">
        <v>190</v>
      </c>
      <c r="F132" s="29" t="s">
        <v>190</v>
      </c>
      <c r="G132" s="29" t="s">
        <v>190</v>
      </c>
      <c r="H132" s="29" t="s">
        <v>190</v>
      </c>
      <c r="I132" s="29" t="s">
        <v>190</v>
      </c>
      <c r="J132" s="29" t="s">
        <v>190</v>
      </c>
      <c r="K132" s="29" t="s">
        <v>190</v>
      </c>
      <c r="L132" s="29">
        <v>0.73299999999999998</v>
      </c>
      <c r="M132" s="29">
        <v>0.7340000000000001</v>
      </c>
      <c r="N132" s="29">
        <v>0.75900000000000001</v>
      </c>
      <c r="O132" s="29">
        <v>0.74400000000000011</v>
      </c>
      <c r="P132" s="29">
        <v>0.76</v>
      </c>
      <c r="Q132" s="29">
        <v>0.76700000000000002</v>
      </c>
      <c r="R132" s="29">
        <v>0.77300000000000002</v>
      </c>
      <c r="S132" s="29">
        <v>0.77599999999999991</v>
      </c>
      <c r="T132" s="29">
        <v>0.77</v>
      </c>
      <c r="U132" s="29">
        <v>0.75800000000000001</v>
      </c>
      <c r="V132" s="29">
        <v>0.77500000000000002</v>
      </c>
      <c r="W132" s="117" t="s">
        <v>344</v>
      </c>
      <c r="X132" s="117" t="s">
        <v>344</v>
      </c>
    </row>
    <row r="133" spans="1:24" x14ac:dyDescent="0.2">
      <c r="A133" s="30" t="s">
        <v>206</v>
      </c>
      <c r="B133" s="17" t="s">
        <v>263</v>
      </c>
      <c r="C133" s="92" t="s">
        <v>266</v>
      </c>
      <c r="D133" s="29" t="s">
        <v>190</v>
      </c>
      <c r="E133" s="29" t="s">
        <v>190</v>
      </c>
      <c r="F133" s="29" t="s">
        <v>190</v>
      </c>
      <c r="G133" s="29" t="s">
        <v>190</v>
      </c>
      <c r="H133" s="29" t="s">
        <v>190</v>
      </c>
      <c r="I133" s="29" t="s">
        <v>190</v>
      </c>
      <c r="J133" s="29" t="s">
        <v>190</v>
      </c>
      <c r="K133" s="29" t="s">
        <v>190</v>
      </c>
      <c r="L133" s="29">
        <v>0.77099999999999991</v>
      </c>
      <c r="M133" s="29">
        <v>0.77300000000000002</v>
      </c>
      <c r="N133" s="29">
        <v>0.78500000000000003</v>
      </c>
      <c r="O133" s="29">
        <v>0.78200000000000003</v>
      </c>
      <c r="P133" s="29">
        <v>0.80400000000000005</v>
      </c>
      <c r="Q133" s="29">
        <v>0.79599999999999993</v>
      </c>
      <c r="R133" s="29">
        <v>0.78900000000000003</v>
      </c>
      <c r="S133" s="29">
        <v>0.78799999999999992</v>
      </c>
      <c r="T133" s="29">
        <v>0.78099999999999992</v>
      </c>
      <c r="U133" s="29">
        <v>0.77400000000000002</v>
      </c>
      <c r="V133" s="29">
        <v>0.79299999999999993</v>
      </c>
      <c r="W133" s="117" t="s">
        <v>344</v>
      </c>
      <c r="X133" s="117" t="s">
        <v>344</v>
      </c>
    </row>
    <row r="134" spans="1:24" x14ac:dyDescent="0.2">
      <c r="A134" s="30" t="s">
        <v>206</v>
      </c>
      <c r="B134" s="17" t="s">
        <v>263</v>
      </c>
      <c r="C134" s="92" t="s">
        <v>281</v>
      </c>
      <c r="D134" s="29" t="s">
        <v>190</v>
      </c>
      <c r="E134" s="29" t="s">
        <v>190</v>
      </c>
      <c r="F134" s="29" t="s">
        <v>190</v>
      </c>
      <c r="G134" s="29" t="s">
        <v>190</v>
      </c>
      <c r="H134" s="29" t="s">
        <v>190</v>
      </c>
      <c r="I134" s="29" t="s">
        <v>190</v>
      </c>
      <c r="J134" s="29" t="s">
        <v>190</v>
      </c>
      <c r="K134" s="29" t="s">
        <v>190</v>
      </c>
      <c r="L134" s="29">
        <v>0.77</v>
      </c>
      <c r="M134" s="29">
        <v>0.78099999999999992</v>
      </c>
      <c r="N134" s="29">
        <v>0.78799999999999992</v>
      </c>
      <c r="O134" s="29">
        <v>0.79200000000000004</v>
      </c>
      <c r="P134" s="29">
        <v>0.76900000000000002</v>
      </c>
      <c r="Q134" s="29">
        <v>0.79</v>
      </c>
      <c r="R134" s="29">
        <v>0.79</v>
      </c>
      <c r="S134" s="29">
        <v>0.78299999999999992</v>
      </c>
      <c r="T134" s="29">
        <v>0.77</v>
      </c>
      <c r="U134" s="29">
        <v>0.76</v>
      </c>
      <c r="V134" s="29">
        <v>0.79099999999999993</v>
      </c>
      <c r="W134" s="117" t="s">
        <v>344</v>
      </c>
      <c r="X134" s="117" t="s">
        <v>344</v>
      </c>
    </row>
    <row r="135" spans="1:24" ht="31.5" customHeight="1" x14ac:dyDescent="0.2">
      <c r="A135" s="30" t="s">
        <v>207</v>
      </c>
      <c r="B135" s="17" t="s">
        <v>178</v>
      </c>
      <c r="C135" s="17" t="s">
        <v>48</v>
      </c>
      <c r="D135" s="29">
        <v>2E-3</v>
      </c>
      <c r="E135" s="29">
        <v>2E-3</v>
      </c>
      <c r="F135" s="29">
        <v>2E-3</v>
      </c>
      <c r="G135" s="29">
        <v>2E-3</v>
      </c>
      <c r="H135" s="29">
        <v>2E-3</v>
      </c>
      <c r="I135" s="29">
        <v>2E-3</v>
      </c>
      <c r="J135" s="29">
        <v>2E-3</v>
      </c>
      <c r="K135" s="29">
        <v>2E-3</v>
      </c>
      <c r="L135" s="29">
        <v>2E-3</v>
      </c>
      <c r="M135" s="29">
        <v>2E-3</v>
      </c>
      <c r="N135" s="29">
        <v>2E-3</v>
      </c>
      <c r="O135" s="29">
        <v>2E-3</v>
      </c>
      <c r="P135" s="29">
        <v>2E-3</v>
      </c>
      <c r="Q135" s="29">
        <v>2E-3</v>
      </c>
      <c r="R135" s="29">
        <v>2E-3</v>
      </c>
      <c r="S135" s="29">
        <v>2E-3</v>
      </c>
      <c r="T135" s="29">
        <v>2E-3</v>
      </c>
      <c r="U135" s="29">
        <v>2E-3</v>
      </c>
      <c r="V135" s="29">
        <v>3.0000000000000001E-3</v>
      </c>
      <c r="W135" s="65">
        <v>3.0000000000000001E-3</v>
      </c>
      <c r="X135" s="65">
        <v>3.0000000000000001E-3</v>
      </c>
    </row>
    <row r="136" spans="1:24" x14ac:dyDescent="0.2">
      <c r="A136" s="30" t="s">
        <v>207</v>
      </c>
      <c r="B136" s="16" t="s">
        <v>178</v>
      </c>
      <c r="C136" s="17" t="s">
        <v>1</v>
      </c>
      <c r="D136" s="29">
        <v>5.0000000000000001E-3</v>
      </c>
      <c r="E136" s="29">
        <v>5.0000000000000001E-3</v>
      </c>
      <c r="F136" s="29">
        <v>5.0000000000000001E-3</v>
      </c>
      <c r="G136" s="29">
        <v>5.0000000000000001E-3</v>
      </c>
      <c r="H136" s="29">
        <v>5.0000000000000001E-3</v>
      </c>
      <c r="I136" s="29">
        <v>5.0000000000000001E-3</v>
      </c>
      <c r="J136" s="29">
        <v>5.0000000000000001E-3</v>
      </c>
      <c r="K136" s="29">
        <v>6.0000000000000001E-3</v>
      </c>
      <c r="L136" s="29">
        <v>6.0000000000000001E-3</v>
      </c>
      <c r="M136" s="29">
        <v>6.0000000000000001E-3</v>
      </c>
      <c r="N136" s="29">
        <v>6.0000000000000001E-3</v>
      </c>
      <c r="O136" s="29">
        <v>6.0000000000000001E-3</v>
      </c>
      <c r="P136" s="29">
        <v>6.0000000000000001E-3</v>
      </c>
      <c r="Q136" s="29">
        <v>6.0000000000000001E-3</v>
      </c>
      <c r="R136" s="29">
        <v>6.0000000000000001E-3</v>
      </c>
      <c r="S136" s="29">
        <v>6.0000000000000001E-3</v>
      </c>
      <c r="T136" s="29">
        <v>6.9999999999999993E-3</v>
      </c>
      <c r="U136" s="29">
        <v>8.0000000000000002E-3</v>
      </c>
      <c r="V136" s="29">
        <v>8.0000000000000002E-3</v>
      </c>
      <c r="W136" s="65">
        <v>0.01</v>
      </c>
      <c r="X136" s="65">
        <v>9.0000000000000011E-3</v>
      </c>
    </row>
    <row r="137" spans="1:24" ht="31.5" customHeight="1" x14ac:dyDescent="0.2">
      <c r="A137" s="30" t="s">
        <v>207</v>
      </c>
      <c r="B137" s="17" t="s">
        <v>179</v>
      </c>
      <c r="C137" s="17" t="s">
        <v>35</v>
      </c>
      <c r="D137" s="29">
        <v>1.8000000000000002E-2</v>
      </c>
      <c r="E137" s="29">
        <v>1.8000000000000002E-2</v>
      </c>
      <c r="F137" s="29">
        <v>1.7000000000000001E-2</v>
      </c>
      <c r="G137" s="29">
        <v>1.7000000000000001E-2</v>
      </c>
      <c r="H137" s="29">
        <v>1.8000000000000002E-2</v>
      </c>
      <c r="I137" s="29">
        <v>1.8000000000000002E-2</v>
      </c>
      <c r="J137" s="29">
        <v>1.8000000000000002E-2</v>
      </c>
      <c r="K137" s="29">
        <v>0.02</v>
      </c>
      <c r="L137" s="29">
        <v>0.02</v>
      </c>
      <c r="M137" s="29">
        <v>0.02</v>
      </c>
      <c r="N137" s="29">
        <v>0.02</v>
      </c>
      <c r="O137" s="29">
        <v>2.1000000000000001E-2</v>
      </c>
      <c r="P137" s="29">
        <v>2.4E-2</v>
      </c>
      <c r="Q137" s="29">
        <v>2.2000000000000002E-2</v>
      </c>
      <c r="R137" s="29">
        <v>2.4E-2</v>
      </c>
      <c r="S137" s="29">
        <v>2.2000000000000002E-2</v>
      </c>
      <c r="T137" s="29">
        <v>2.7999999999999997E-2</v>
      </c>
      <c r="U137" s="29">
        <v>2.7999999999999997E-2</v>
      </c>
      <c r="V137" s="29">
        <v>3.1E-2</v>
      </c>
      <c r="W137" s="117" t="s">
        <v>344</v>
      </c>
      <c r="X137" s="117" t="s">
        <v>344</v>
      </c>
    </row>
    <row r="138" spans="1:24" x14ac:dyDescent="0.2">
      <c r="A138" s="30" t="s">
        <v>207</v>
      </c>
      <c r="B138" s="16" t="s">
        <v>179</v>
      </c>
      <c r="C138" s="17" t="s">
        <v>36</v>
      </c>
      <c r="D138" s="29">
        <v>9.0000000000000011E-3</v>
      </c>
      <c r="E138" s="29">
        <v>9.0000000000000011E-3</v>
      </c>
      <c r="F138" s="29">
        <v>9.0000000000000011E-3</v>
      </c>
      <c r="G138" s="29">
        <v>9.0000000000000011E-3</v>
      </c>
      <c r="H138" s="29">
        <v>0.01</v>
      </c>
      <c r="I138" s="29">
        <v>0.01</v>
      </c>
      <c r="J138" s="29">
        <v>0.01</v>
      </c>
      <c r="K138" s="29">
        <v>1.1000000000000001E-2</v>
      </c>
      <c r="L138" s="29">
        <v>1.1000000000000001E-2</v>
      </c>
      <c r="M138" s="29">
        <v>1.1000000000000001E-2</v>
      </c>
      <c r="N138" s="29">
        <v>1.1000000000000001E-2</v>
      </c>
      <c r="O138" s="29">
        <v>1.1000000000000001E-2</v>
      </c>
      <c r="P138" s="29">
        <v>1.1000000000000001E-2</v>
      </c>
      <c r="Q138" s="29">
        <v>1.1000000000000001E-2</v>
      </c>
      <c r="R138" s="29">
        <v>1.2E-2</v>
      </c>
      <c r="S138" s="29">
        <v>1.1000000000000001E-2</v>
      </c>
      <c r="T138" s="29">
        <v>1.3999999999999999E-2</v>
      </c>
      <c r="U138" s="29">
        <v>1.4999999999999999E-2</v>
      </c>
      <c r="V138" s="29">
        <v>1.4999999999999999E-2</v>
      </c>
      <c r="W138" s="117" t="s">
        <v>344</v>
      </c>
      <c r="X138" s="117" t="s">
        <v>344</v>
      </c>
    </row>
    <row r="139" spans="1:24" x14ac:dyDescent="0.2">
      <c r="A139" s="30" t="s">
        <v>207</v>
      </c>
      <c r="B139" s="16" t="s">
        <v>179</v>
      </c>
      <c r="C139" s="17" t="s">
        <v>37</v>
      </c>
      <c r="D139" s="29">
        <v>0.01</v>
      </c>
      <c r="E139" s="29">
        <v>1.1000000000000001E-2</v>
      </c>
      <c r="F139" s="29">
        <v>1.1000000000000001E-2</v>
      </c>
      <c r="G139" s="29">
        <v>1.1000000000000001E-2</v>
      </c>
      <c r="H139" s="29">
        <v>1.1000000000000001E-2</v>
      </c>
      <c r="I139" s="29">
        <v>1.2E-2</v>
      </c>
      <c r="J139" s="29">
        <v>1.2E-2</v>
      </c>
      <c r="K139" s="29">
        <v>1.2E-2</v>
      </c>
      <c r="L139" s="29">
        <v>1.2E-2</v>
      </c>
      <c r="M139" s="29">
        <v>1.2E-2</v>
      </c>
      <c r="N139" s="29">
        <v>1.2E-2</v>
      </c>
      <c r="O139" s="29">
        <v>1.3000000000000001E-2</v>
      </c>
      <c r="P139" s="29">
        <v>1.3999999999999999E-2</v>
      </c>
      <c r="Q139" s="29">
        <v>1.3999999999999999E-2</v>
      </c>
      <c r="R139" s="29">
        <v>1.3000000000000001E-2</v>
      </c>
      <c r="S139" s="29">
        <v>1.3000000000000001E-2</v>
      </c>
      <c r="T139" s="29">
        <v>1.6E-2</v>
      </c>
      <c r="U139" s="29">
        <v>1.7000000000000001E-2</v>
      </c>
      <c r="V139" s="29">
        <v>1.7000000000000001E-2</v>
      </c>
      <c r="W139" s="117" t="s">
        <v>344</v>
      </c>
      <c r="X139" s="117" t="s">
        <v>344</v>
      </c>
    </row>
    <row r="140" spans="1:24" x14ac:dyDescent="0.2">
      <c r="A140" s="30" t="s">
        <v>207</v>
      </c>
      <c r="B140" s="16" t="s">
        <v>179</v>
      </c>
      <c r="C140" s="17" t="s">
        <v>236</v>
      </c>
      <c r="D140" s="29">
        <v>1.7000000000000001E-2</v>
      </c>
      <c r="E140" s="29">
        <v>1.7000000000000001E-2</v>
      </c>
      <c r="F140" s="29">
        <v>1.7000000000000001E-2</v>
      </c>
      <c r="G140" s="29">
        <v>1.8000000000000002E-2</v>
      </c>
      <c r="H140" s="29">
        <v>1.9E-2</v>
      </c>
      <c r="I140" s="29">
        <v>1.9E-2</v>
      </c>
      <c r="J140" s="29">
        <v>1.9E-2</v>
      </c>
      <c r="K140" s="29">
        <v>2.1000000000000001E-2</v>
      </c>
      <c r="L140" s="29">
        <v>0.02</v>
      </c>
      <c r="M140" s="29">
        <v>0.02</v>
      </c>
      <c r="N140" s="29">
        <v>1.9E-2</v>
      </c>
      <c r="O140" s="29">
        <v>1.9E-2</v>
      </c>
      <c r="P140" s="29">
        <v>0.02</v>
      </c>
      <c r="Q140" s="29">
        <v>0.02</v>
      </c>
      <c r="R140" s="29">
        <v>0.02</v>
      </c>
      <c r="S140" s="29">
        <v>0.02</v>
      </c>
      <c r="T140" s="29">
        <v>2.6000000000000002E-2</v>
      </c>
      <c r="U140" s="29">
        <v>2.8999999999999998E-2</v>
      </c>
      <c r="V140" s="29">
        <v>2.6000000000000002E-2</v>
      </c>
      <c r="W140" s="117" t="s">
        <v>344</v>
      </c>
      <c r="X140" s="117" t="s">
        <v>344</v>
      </c>
    </row>
    <row r="141" spans="1:24" x14ac:dyDescent="0.2">
      <c r="A141" s="30" t="s">
        <v>207</v>
      </c>
      <c r="B141" s="16" t="s">
        <v>179</v>
      </c>
      <c r="C141" s="17" t="s">
        <v>38</v>
      </c>
      <c r="D141" s="29">
        <v>1.3000000000000001E-2</v>
      </c>
      <c r="E141" s="29">
        <v>1.2E-2</v>
      </c>
      <c r="F141" s="29">
        <v>1.2E-2</v>
      </c>
      <c r="G141" s="29">
        <v>1.2E-2</v>
      </c>
      <c r="H141" s="29">
        <v>1.3000000000000001E-2</v>
      </c>
      <c r="I141" s="29">
        <v>1.3999999999999999E-2</v>
      </c>
      <c r="J141" s="29">
        <v>1.3999999999999999E-2</v>
      </c>
      <c r="K141" s="29">
        <v>1.3999999999999999E-2</v>
      </c>
      <c r="L141" s="29">
        <v>1.3999999999999999E-2</v>
      </c>
      <c r="M141" s="29">
        <v>1.4999999999999999E-2</v>
      </c>
      <c r="N141" s="29">
        <v>1.4999999999999999E-2</v>
      </c>
      <c r="O141" s="29">
        <v>1.6E-2</v>
      </c>
      <c r="P141" s="29">
        <v>1.7000000000000001E-2</v>
      </c>
      <c r="Q141" s="29">
        <v>1.6E-2</v>
      </c>
      <c r="R141" s="29">
        <v>1.4999999999999999E-2</v>
      </c>
      <c r="S141" s="29">
        <v>1.6E-2</v>
      </c>
      <c r="T141" s="29">
        <v>1.9E-2</v>
      </c>
      <c r="U141" s="29">
        <v>2.1000000000000001E-2</v>
      </c>
      <c r="V141" s="29">
        <v>2.1000000000000001E-2</v>
      </c>
      <c r="W141" s="117" t="s">
        <v>344</v>
      </c>
      <c r="X141" s="117" t="s">
        <v>344</v>
      </c>
    </row>
    <row r="142" spans="1:24" x14ac:dyDescent="0.2">
      <c r="A142" s="30" t="s">
        <v>207</v>
      </c>
      <c r="B142" s="16" t="s">
        <v>179</v>
      </c>
      <c r="C142" s="17" t="s">
        <v>121</v>
      </c>
      <c r="D142" s="29">
        <v>1.3000000000000001E-2</v>
      </c>
      <c r="E142" s="29">
        <v>1.3000000000000001E-2</v>
      </c>
      <c r="F142" s="29">
        <v>1.3000000000000001E-2</v>
      </c>
      <c r="G142" s="29">
        <v>1.3000000000000001E-2</v>
      </c>
      <c r="H142" s="29">
        <v>1.3000000000000001E-2</v>
      </c>
      <c r="I142" s="29">
        <v>1.3000000000000001E-2</v>
      </c>
      <c r="J142" s="29">
        <v>1.3000000000000001E-2</v>
      </c>
      <c r="K142" s="29">
        <v>1.4999999999999999E-2</v>
      </c>
      <c r="L142" s="29">
        <v>1.4999999999999999E-2</v>
      </c>
      <c r="M142" s="29">
        <v>1.4999999999999999E-2</v>
      </c>
      <c r="N142" s="29">
        <v>1.4999999999999999E-2</v>
      </c>
      <c r="O142" s="29">
        <v>1.4999999999999999E-2</v>
      </c>
      <c r="P142" s="29">
        <v>1.6E-2</v>
      </c>
      <c r="Q142" s="29">
        <v>1.4999999999999999E-2</v>
      </c>
      <c r="R142" s="29">
        <v>1.6E-2</v>
      </c>
      <c r="S142" s="29">
        <v>1.7000000000000001E-2</v>
      </c>
      <c r="T142" s="29">
        <v>0.02</v>
      </c>
      <c r="U142" s="29">
        <v>2.5000000000000001E-2</v>
      </c>
      <c r="V142" s="29">
        <v>2.6000000000000002E-2</v>
      </c>
      <c r="W142" s="117" t="s">
        <v>344</v>
      </c>
      <c r="X142" s="117" t="s">
        <v>344</v>
      </c>
    </row>
    <row r="143" spans="1:24" x14ac:dyDescent="0.2">
      <c r="A143" s="30" t="s">
        <v>207</v>
      </c>
      <c r="B143" s="16" t="s">
        <v>179</v>
      </c>
      <c r="C143" s="17" t="s">
        <v>39</v>
      </c>
      <c r="D143" s="29">
        <v>1.4999999999999999E-2</v>
      </c>
      <c r="E143" s="29">
        <v>1.3999999999999999E-2</v>
      </c>
      <c r="F143" s="29">
        <v>1.4999999999999999E-2</v>
      </c>
      <c r="G143" s="29">
        <v>1.4999999999999999E-2</v>
      </c>
      <c r="H143" s="29">
        <v>1.4999999999999999E-2</v>
      </c>
      <c r="I143" s="29">
        <v>1.6E-2</v>
      </c>
      <c r="J143" s="29">
        <v>1.7000000000000001E-2</v>
      </c>
      <c r="K143" s="29">
        <v>1.7000000000000001E-2</v>
      </c>
      <c r="L143" s="29">
        <v>1.8000000000000002E-2</v>
      </c>
      <c r="M143" s="29">
        <v>1.8000000000000002E-2</v>
      </c>
      <c r="N143" s="29">
        <v>1.7000000000000001E-2</v>
      </c>
      <c r="O143" s="29">
        <v>1.9E-2</v>
      </c>
      <c r="P143" s="29">
        <v>0.02</v>
      </c>
      <c r="Q143" s="29">
        <v>1.9E-2</v>
      </c>
      <c r="R143" s="29">
        <v>0.02</v>
      </c>
      <c r="S143" s="29">
        <v>0.02</v>
      </c>
      <c r="T143" s="29">
        <v>2.5000000000000001E-2</v>
      </c>
      <c r="U143" s="29">
        <v>2.7000000000000003E-2</v>
      </c>
      <c r="V143" s="29">
        <v>2.6000000000000002E-2</v>
      </c>
      <c r="W143" s="117" t="s">
        <v>344</v>
      </c>
      <c r="X143" s="117" t="s">
        <v>344</v>
      </c>
    </row>
    <row r="144" spans="1:24" x14ac:dyDescent="0.2">
      <c r="A144" s="30" t="s">
        <v>207</v>
      </c>
      <c r="B144" s="16" t="s">
        <v>179</v>
      </c>
      <c r="C144" s="17" t="s">
        <v>40</v>
      </c>
      <c r="D144" s="29">
        <v>1.6E-2</v>
      </c>
      <c r="E144" s="29">
        <v>1.7000000000000001E-2</v>
      </c>
      <c r="F144" s="29">
        <v>1.7000000000000001E-2</v>
      </c>
      <c r="G144" s="29">
        <v>1.8000000000000002E-2</v>
      </c>
      <c r="H144" s="29">
        <v>1.9E-2</v>
      </c>
      <c r="I144" s="29">
        <v>0.02</v>
      </c>
      <c r="J144" s="29">
        <v>0.02</v>
      </c>
      <c r="K144" s="29">
        <v>2.2000000000000002E-2</v>
      </c>
      <c r="L144" s="29">
        <v>2.1000000000000001E-2</v>
      </c>
      <c r="M144" s="29">
        <v>0.02</v>
      </c>
      <c r="N144" s="29">
        <v>1.9E-2</v>
      </c>
      <c r="O144" s="29">
        <v>1.9E-2</v>
      </c>
      <c r="P144" s="29">
        <v>2.2000000000000002E-2</v>
      </c>
      <c r="Q144" s="29">
        <v>2.2000000000000002E-2</v>
      </c>
      <c r="R144" s="29">
        <v>2.4E-2</v>
      </c>
      <c r="S144" s="29">
        <v>2.4E-2</v>
      </c>
      <c r="T144" s="29">
        <v>0.03</v>
      </c>
      <c r="U144" s="29">
        <v>3.2000000000000001E-2</v>
      </c>
      <c r="V144" s="29">
        <v>3.2000000000000001E-2</v>
      </c>
      <c r="W144" s="117" t="s">
        <v>344</v>
      </c>
      <c r="X144" s="117" t="s">
        <v>344</v>
      </c>
    </row>
    <row r="145" spans="1:24" ht="31.5" customHeight="1" x14ac:dyDescent="0.2">
      <c r="A145" s="30" t="s">
        <v>207</v>
      </c>
      <c r="B145" s="17" t="s">
        <v>180</v>
      </c>
      <c r="C145" s="17" t="s">
        <v>41</v>
      </c>
      <c r="D145" s="29">
        <v>1.9E-2</v>
      </c>
      <c r="E145" s="29">
        <v>1.9E-2</v>
      </c>
      <c r="F145" s="29">
        <v>1.9E-2</v>
      </c>
      <c r="G145" s="29">
        <v>1.9E-2</v>
      </c>
      <c r="H145" s="29">
        <v>1.9E-2</v>
      </c>
      <c r="I145" s="29">
        <v>2.1000000000000001E-2</v>
      </c>
      <c r="J145" s="29">
        <v>0.02</v>
      </c>
      <c r="K145" s="29">
        <v>2.2000000000000002E-2</v>
      </c>
      <c r="L145" s="29">
        <v>2.3E-2</v>
      </c>
      <c r="M145" s="29">
        <v>2.2000000000000002E-2</v>
      </c>
      <c r="N145" s="29">
        <v>2.2000000000000002E-2</v>
      </c>
      <c r="O145" s="29">
        <v>2.2000000000000002E-2</v>
      </c>
      <c r="P145" s="29">
        <v>2.2000000000000002E-2</v>
      </c>
      <c r="Q145" s="29">
        <v>2.1000000000000001E-2</v>
      </c>
      <c r="R145" s="29">
        <v>2.2000000000000002E-2</v>
      </c>
      <c r="S145" s="29">
        <v>2.4E-2</v>
      </c>
      <c r="T145" s="29">
        <v>2.7999999999999997E-2</v>
      </c>
      <c r="U145" s="29">
        <v>3.4000000000000002E-2</v>
      </c>
      <c r="V145" s="29">
        <v>3.6000000000000004E-2</v>
      </c>
      <c r="W145" s="117" t="s">
        <v>344</v>
      </c>
      <c r="X145" s="117" t="s">
        <v>344</v>
      </c>
    </row>
    <row r="146" spans="1:24" x14ac:dyDescent="0.2">
      <c r="A146" s="30" t="s">
        <v>207</v>
      </c>
      <c r="B146" s="16" t="s">
        <v>180</v>
      </c>
      <c r="C146" s="17" t="s">
        <v>42</v>
      </c>
      <c r="D146" s="29">
        <v>8.0000000000000002E-3</v>
      </c>
      <c r="E146" s="29">
        <v>8.0000000000000002E-3</v>
      </c>
      <c r="F146" s="29">
        <v>8.0000000000000002E-3</v>
      </c>
      <c r="G146" s="29">
        <v>8.0000000000000002E-3</v>
      </c>
      <c r="H146" s="29">
        <v>8.0000000000000002E-3</v>
      </c>
      <c r="I146" s="29">
        <v>8.0000000000000002E-3</v>
      </c>
      <c r="J146" s="29">
        <v>8.0000000000000002E-3</v>
      </c>
      <c r="K146" s="29">
        <v>9.0000000000000011E-3</v>
      </c>
      <c r="L146" s="29">
        <v>9.0000000000000011E-3</v>
      </c>
      <c r="M146" s="29">
        <v>9.0000000000000011E-3</v>
      </c>
      <c r="N146" s="29">
        <v>9.0000000000000011E-3</v>
      </c>
      <c r="O146" s="29">
        <v>9.0000000000000011E-3</v>
      </c>
      <c r="P146" s="29">
        <v>0.01</v>
      </c>
      <c r="Q146" s="29">
        <v>0.01</v>
      </c>
      <c r="R146" s="29">
        <v>0.01</v>
      </c>
      <c r="S146" s="29">
        <v>0.01</v>
      </c>
      <c r="T146" s="29">
        <v>1.2E-2</v>
      </c>
      <c r="U146" s="29">
        <v>1.3999999999999999E-2</v>
      </c>
      <c r="V146" s="29">
        <v>1.3999999999999999E-2</v>
      </c>
      <c r="W146" s="117" t="s">
        <v>344</v>
      </c>
      <c r="X146" s="117" t="s">
        <v>344</v>
      </c>
    </row>
    <row r="147" spans="1:24" x14ac:dyDescent="0.2">
      <c r="A147" s="30" t="s">
        <v>207</v>
      </c>
      <c r="B147" s="16" t="s">
        <v>180</v>
      </c>
      <c r="C147" s="17" t="s">
        <v>43</v>
      </c>
      <c r="D147" s="29">
        <v>6.9999999999999993E-3</v>
      </c>
      <c r="E147" s="29">
        <v>6.9999999999999993E-3</v>
      </c>
      <c r="F147" s="29">
        <v>6.9999999999999993E-3</v>
      </c>
      <c r="G147" s="29">
        <v>6.9999999999999993E-3</v>
      </c>
      <c r="H147" s="29">
        <v>8.0000000000000002E-3</v>
      </c>
      <c r="I147" s="29">
        <v>8.0000000000000002E-3</v>
      </c>
      <c r="J147" s="29">
        <v>8.0000000000000002E-3</v>
      </c>
      <c r="K147" s="29">
        <v>8.0000000000000002E-3</v>
      </c>
      <c r="L147" s="29">
        <v>8.0000000000000002E-3</v>
      </c>
      <c r="M147" s="29">
        <v>8.0000000000000002E-3</v>
      </c>
      <c r="N147" s="29">
        <v>8.0000000000000002E-3</v>
      </c>
      <c r="O147" s="29">
        <v>9.0000000000000011E-3</v>
      </c>
      <c r="P147" s="29">
        <v>9.0000000000000011E-3</v>
      </c>
      <c r="Q147" s="29">
        <v>9.0000000000000011E-3</v>
      </c>
      <c r="R147" s="29">
        <v>9.0000000000000011E-3</v>
      </c>
      <c r="S147" s="29">
        <v>9.0000000000000011E-3</v>
      </c>
      <c r="T147" s="29">
        <v>1.1000000000000001E-2</v>
      </c>
      <c r="U147" s="29">
        <v>1.2E-2</v>
      </c>
      <c r="V147" s="29">
        <v>1.2E-2</v>
      </c>
      <c r="W147" s="117" t="s">
        <v>344</v>
      </c>
      <c r="X147" s="117" t="s">
        <v>344</v>
      </c>
    </row>
    <row r="148" spans="1:24" x14ac:dyDescent="0.2">
      <c r="A148" s="30" t="s">
        <v>207</v>
      </c>
      <c r="B148" s="16" t="s">
        <v>180</v>
      </c>
      <c r="C148" s="17" t="s">
        <v>44</v>
      </c>
      <c r="D148" s="29">
        <v>1.3000000000000001E-2</v>
      </c>
      <c r="E148" s="29">
        <v>1.3000000000000001E-2</v>
      </c>
      <c r="F148" s="29">
        <v>1.3000000000000001E-2</v>
      </c>
      <c r="G148" s="29">
        <v>1.3000000000000001E-2</v>
      </c>
      <c r="H148" s="29">
        <v>1.3000000000000001E-2</v>
      </c>
      <c r="I148" s="29">
        <v>1.3999999999999999E-2</v>
      </c>
      <c r="J148" s="29">
        <v>1.3999999999999999E-2</v>
      </c>
      <c r="K148" s="29">
        <v>1.3999999999999999E-2</v>
      </c>
      <c r="L148" s="29">
        <v>1.4999999999999999E-2</v>
      </c>
      <c r="M148" s="29">
        <v>1.4999999999999999E-2</v>
      </c>
      <c r="N148" s="29">
        <v>1.4999999999999999E-2</v>
      </c>
      <c r="O148" s="29">
        <v>1.6E-2</v>
      </c>
      <c r="P148" s="29">
        <v>1.7000000000000001E-2</v>
      </c>
      <c r="Q148" s="29">
        <v>1.6E-2</v>
      </c>
      <c r="R148" s="29">
        <v>1.6E-2</v>
      </c>
      <c r="S148" s="29">
        <v>1.4999999999999999E-2</v>
      </c>
      <c r="T148" s="29">
        <v>1.9E-2</v>
      </c>
      <c r="U148" s="29">
        <v>1.9E-2</v>
      </c>
      <c r="V148" s="29">
        <v>0.02</v>
      </c>
      <c r="W148" s="117" t="s">
        <v>344</v>
      </c>
      <c r="X148" s="117" t="s">
        <v>344</v>
      </c>
    </row>
    <row r="149" spans="1:24" ht="31.5" customHeight="1" x14ac:dyDescent="0.2">
      <c r="A149" s="30" t="s">
        <v>207</v>
      </c>
      <c r="B149" s="17" t="s">
        <v>181</v>
      </c>
      <c r="C149" s="17" t="s">
        <v>45</v>
      </c>
      <c r="D149" s="29">
        <f>D142</f>
        <v>1.3000000000000001E-2</v>
      </c>
      <c r="E149" s="29">
        <f t="shared" ref="E149:U149" si="4">E142</f>
        <v>1.3000000000000001E-2</v>
      </c>
      <c r="F149" s="29">
        <f t="shared" si="4"/>
        <v>1.3000000000000001E-2</v>
      </c>
      <c r="G149" s="29">
        <f t="shared" si="4"/>
        <v>1.3000000000000001E-2</v>
      </c>
      <c r="H149" s="29">
        <f t="shared" si="4"/>
        <v>1.3000000000000001E-2</v>
      </c>
      <c r="I149" s="29">
        <f t="shared" si="4"/>
        <v>1.3000000000000001E-2</v>
      </c>
      <c r="J149" s="29">
        <f t="shared" si="4"/>
        <v>1.3000000000000001E-2</v>
      </c>
      <c r="K149" s="29">
        <f t="shared" si="4"/>
        <v>1.4999999999999999E-2</v>
      </c>
      <c r="L149" s="29">
        <f t="shared" si="4"/>
        <v>1.4999999999999999E-2</v>
      </c>
      <c r="M149" s="29">
        <f t="shared" si="4"/>
        <v>1.4999999999999999E-2</v>
      </c>
      <c r="N149" s="29">
        <f t="shared" si="4"/>
        <v>1.4999999999999999E-2</v>
      </c>
      <c r="O149" s="29">
        <f t="shared" si="4"/>
        <v>1.4999999999999999E-2</v>
      </c>
      <c r="P149" s="29">
        <f t="shared" si="4"/>
        <v>1.6E-2</v>
      </c>
      <c r="Q149" s="29">
        <f t="shared" si="4"/>
        <v>1.4999999999999999E-2</v>
      </c>
      <c r="R149" s="29">
        <f t="shared" si="4"/>
        <v>1.6E-2</v>
      </c>
      <c r="S149" s="29">
        <f t="shared" si="4"/>
        <v>1.7000000000000001E-2</v>
      </c>
      <c r="T149" s="29">
        <f t="shared" si="4"/>
        <v>0.02</v>
      </c>
      <c r="U149" s="29">
        <f t="shared" si="4"/>
        <v>2.5000000000000001E-2</v>
      </c>
      <c r="V149" s="29">
        <f t="shared" ref="V149" si="5">V142</f>
        <v>2.6000000000000002E-2</v>
      </c>
      <c r="W149" s="117" t="s">
        <v>344</v>
      </c>
      <c r="X149" s="117" t="s">
        <v>344</v>
      </c>
    </row>
    <row r="150" spans="1:24" x14ac:dyDescent="0.2">
      <c r="A150" s="30" t="s">
        <v>207</v>
      </c>
      <c r="B150" s="16" t="s">
        <v>181</v>
      </c>
      <c r="C150" s="17" t="s">
        <v>120</v>
      </c>
      <c r="D150" s="29">
        <f>D144</f>
        <v>1.6E-2</v>
      </c>
      <c r="E150" s="29">
        <f t="shared" ref="E150:U150" si="6">E144</f>
        <v>1.7000000000000001E-2</v>
      </c>
      <c r="F150" s="29">
        <f t="shared" si="6"/>
        <v>1.7000000000000001E-2</v>
      </c>
      <c r="G150" s="29">
        <f t="shared" si="6"/>
        <v>1.8000000000000002E-2</v>
      </c>
      <c r="H150" s="29">
        <f t="shared" si="6"/>
        <v>1.9E-2</v>
      </c>
      <c r="I150" s="29">
        <f t="shared" si="6"/>
        <v>0.02</v>
      </c>
      <c r="J150" s="29">
        <f t="shared" si="6"/>
        <v>0.02</v>
      </c>
      <c r="K150" s="29">
        <f t="shared" si="6"/>
        <v>2.2000000000000002E-2</v>
      </c>
      <c r="L150" s="29">
        <f t="shared" si="6"/>
        <v>2.1000000000000001E-2</v>
      </c>
      <c r="M150" s="29">
        <f t="shared" si="6"/>
        <v>0.02</v>
      </c>
      <c r="N150" s="29">
        <f t="shared" si="6"/>
        <v>1.9E-2</v>
      </c>
      <c r="O150" s="29">
        <f t="shared" si="6"/>
        <v>1.9E-2</v>
      </c>
      <c r="P150" s="29">
        <f t="shared" si="6"/>
        <v>2.2000000000000002E-2</v>
      </c>
      <c r="Q150" s="29">
        <f t="shared" si="6"/>
        <v>2.2000000000000002E-2</v>
      </c>
      <c r="R150" s="29">
        <f t="shared" si="6"/>
        <v>2.4E-2</v>
      </c>
      <c r="S150" s="29">
        <f t="shared" si="6"/>
        <v>2.4E-2</v>
      </c>
      <c r="T150" s="29">
        <f t="shared" si="6"/>
        <v>0.03</v>
      </c>
      <c r="U150" s="29">
        <f t="shared" si="6"/>
        <v>3.2000000000000001E-2</v>
      </c>
      <c r="V150" s="29">
        <f t="shared" ref="V150" si="7">V144</f>
        <v>3.2000000000000001E-2</v>
      </c>
      <c r="W150" s="117" t="s">
        <v>344</v>
      </c>
      <c r="X150" s="117" t="s">
        <v>344</v>
      </c>
    </row>
    <row r="151" spans="1:24" x14ac:dyDescent="0.2">
      <c r="A151" s="30" t="s">
        <v>207</v>
      </c>
      <c r="B151" s="16" t="s">
        <v>181</v>
      </c>
      <c r="C151" s="17" t="s">
        <v>46</v>
      </c>
      <c r="D151" s="29">
        <v>5.0000000000000001E-3</v>
      </c>
      <c r="E151" s="29">
        <v>5.0000000000000001E-3</v>
      </c>
      <c r="F151" s="29">
        <v>5.0000000000000001E-3</v>
      </c>
      <c r="G151" s="29">
        <v>5.0000000000000001E-3</v>
      </c>
      <c r="H151" s="29">
        <v>6.0000000000000001E-3</v>
      </c>
      <c r="I151" s="29">
        <v>6.0000000000000001E-3</v>
      </c>
      <c r="J151" s="29">
        <v>6.0000000000000001E-3</v>
      </c>
      <c r="K151" s="29">
        <v>6.0000000000000001E-3</v>
      </c>
      <c r="L151" s="29">
        <v>6.0000000000000001E-3</v>
      </c>
      <c r="M151" s="29">
        <v>6.0000000000000001E-3</v>
      </c>
      <c r="N151" s="29">
        <v>6.0000000000000001E-3</v>
      </c>
      <c r="O151" s="29">
        <v>6.0000000000000001E-3</v>
      </c>
      <c r="P151" s="29">
        <v>6.9999999999999993E-3</v>
      </c>
      <c r="Q151" s="29">
        <v>6.9999999999999993E-3</v>
      </c>
      <c r="R151" s="29">
        <v>6.9999999999999993E-3</v>
      </c>
      <c r="S151" s="29">
        <v>6.9999999999999993E-3</v>
      </c>
      <c r="T151" s="29">
        <v>8.0000000000000002E-3</v>
      </c>
      <c r="U151" s="29">
        <v>9.0000000000000011E-3</v>
      </c>
      <c r="V151" s="65">
        <v>8.9999999999999993E-3</v>
      </c>
      <c r="W151" s="117" t="s">
        <v>344</v>
      </c>
      <c r="X151" s="117" t="s">
        <v>344</v>
      </c>
    </row>
    <row r="152" spans="1:24" ht="31.5" customHeight="1" x14ac:dyDescent="0.2">
      <c r="A152" s="30" t="s">
        <v>207</v>
      </c>
      <c r="B152" s="17" t="s">
        <v>47</v>
      </c>
      <c r="C152" s="17" t="s">
        <v>22</v>
      </c>
      <c r="D152" s="29">
        <v>2.6000000000000002E-2</v>
      </c>
      <c r="E152" s="29">
        <v>2.5000000000000001E-2</v>
      </c>
      <c r="F152" s="29">
        <v>2.5000000000000001E-2</v>
      </c>
      <c r="G152" s="29">
        <v>2.6000000000000002E-2</v>
      </c>
      <c r="H152" s="29">
        <v>2.7000000000000003E-2</v>
      </c>
      <c r="I152" s="29">
        <v>2.7000000000000003E-2</v>
      </c>
      <c r="J152" s="29">
        <v>2.6000000000000002E-2</v>
      </c>
      <c r="K152" s="29">
        <v>2.8999999999999998E-2</v>
      </c>
      <c r="L152" s="29">
        <v>2.7000000000000003E-2</v>
      </c>
      <c r="M152" s="29">
        <v>2.7999999999999997E-2</v>
      </c>
      <c r="N152" s="29">
        <v>2.8999999999999998E-2</v>
      </c>
      <c r="O152" s="29">
        <v>2.8999999999999998E-2</v>
      </c>
      <c r="P152" s="29">
        <v>3.4000000000000002E-2</v>
      </c>
      <c r="Q152" s="29">
        <v>3.2000000000000001E-2</v>
      </c>
      <c r="R152" s="29">
        <v>3.5000000000000003E-2</v>
      </c>
      <c r="S152" s="29">
        <v>3.1E-2</v>
      </c>
      <c r="T152" s="29">
        <v>4.2999999999999997E-2</v>
      </c>
      <c r="U152" s="29">
        <v>0.04</v>
      </c>
      <c r="V152" s="29">
        <v>4.5999999999999999E-2</v>
      </c>
      <c r="W152" s="117" t="s">
        <v>344</v>
      </c>
      <c r="X152" s="117" t="s">
        <v>344</v>
      </c>
    </row>
    <row r="153" spans="1:24" x14ac:dyDescent="0.2">
      <c r="A153" s="30" t="s">
        <v>207</v>
      </c>
      <c r="B153" s="16" t="s">
        <v>47</v>
      </c>
      <c r="C153" s="17" t="s">
        <v>23</v>
      </c>
      <c r="D153" s="29">
        <v>2.5000000000000001E-2</v>
      </c>
      <c r="E153" s="29">
        <v>2.5000000000000001E-2</v>
      </c>
      <c r="F153" s="29">
        <v>2.3E-2</v>
      </c>
      <c r="G153" s="29">
        <v>2.4E-2</v>
      </c>
      <c r="H153" s="29">
        <v>2.3E-2</v>
      </c>
      <c r="I153" s="29">
        <v>2.5000000000000001E-2</v>
      </c>
      <c r="J153" s="29">
        <v>2.5000000000000001E-2</v>
      </c>
      <c r="K153" s="29">
        <v>2.7000000000000003E-2</v>
      </c>
      <c r="L153" s="29">
        <v>2.7999999999999997E-2</v>
      </c>
      <c r="M153" s="29">
        <v>0.03</v>
      </c>
      <c r="N153" s="29">
        <v>2.7999999999999997E-2</v>
      </c>
      <c r="O153" s="29">
        <v>0.03</v>
      </c>
      <c r="P153" s="29">
        <v>3.4000000000000002E-2</v>
      </c>
      <c r="Q153" s="29">
        <v>0.03</v>
      </c>
      <c r="R153" s="29">
        <v>3.2000000000000001E-2</v>
      </c>
      <c r="S153" s="29">
        <v>3.2000000000000001E-2</v>
      </c>
      <c r="T153" s="29">
        <v>3.6000000000000004E-2</v>
      </c>
      <c r="U153" s="29">
        <v>0.04</v>
      </c>
      <c r="V153" s="29">
        <v>4.0999999999999995E-2</v>
      </c>
      <c r="W153" s="117" t="s">
        <v>344</v>
      </c>
      <c r="X153" s="117" t="s">
        <v>344</v>
      </c>
    </row>
    <row r="154" spans="1:24" x14ac:dyDescent="0.2">
      <c r="A154" s="30" t="s">
        <v>207</v>
      </c>
      <c r="B154" s="16" t="s">
        <v>47</v>
      </c>
      <c r="C154" s="17" t="s">
        <v>29</v>
      </c>
      <c r="D154" s="29">
        <v>2.6000000000000002E-2</v>
      </c>
      <c r="E154" s="29">
        <v>2.4E-2</v>
      </c>
      <c r="F154" s="29">
        <v>2.3E-2</v>
      </c>
      <c r="G154" s="29">
        <v>2.3E-2</v>
      </c>
      <c r="H154" s="29">
        <v>2.4E-2</v>
      </c>
      <c r="I154" s="29">
        <v>2.7000000000000003E-2</v>
      </c>
      <c r="J154" s="29">
        <v>2.8999999999999998E-2</v>
      </c>
      <c r="K154" s="29">
        <v>3.1E-2</v>
      </c>
      <c r="L154" s="29">
        <v>0.03</v>
      </c>
      <c r="M154" s="29">
        <v>0.03</v>
      </c>
      <c r="N154" s="29">
        <v>3.3000000000000002E-2</v>
      </c>
      <c r="O154" s="29">
        <v>3.3000000000000002E-2</v>
      </c>
      <c r="P154" s="29">
        <v>3.1E-2</v>
      </c>
      <c r="Q154" s="29">
        <v>0.03</v>
      </c>
      <c r="R154" s="29">
        <v>2.8999999999999998E-2</v>
      </c>
      <c r="S154" s="29">
        <v>0.03</v>
      </c>
      <c r="T154" s="29">
        <v>3.7000000000000005E-2</v>
      </c>
      <c r="U154" s="29">
        <v>4.2000000000000003E-2</v>
      </c>
      <c r="V154" s="29">
        <v>4.2000000000000003E-2</v>
      </c>
      <c r="W154" s="117" t="s">
        <v>344</v>
      </c>
      <c r="X154" s="117" t="s">
        <v>344</v>
      </c>
    </row>
    <row r="155" spans="1:24" x14ac:dyDescent="0.2">
      <c r="A155" s="30" t="s">
        <v>207</v>
      </c>
      <c r="B155" s="16" t="s">
        <v>47</v>
      </c>
      <c r="C155" s="17" t="s">
        <v>24</v>
      </c>
      <c r="D155" s="29">
        <v>2.7000000000000003E-2</v>
      </c>
      <c r="E155" s="29">
        <v>2.6000000000000002E-2</v>
      </c>
      <c r="F155" s="29">
        <v>2.5000000000000001E-2</v>
      </c>
      <c r="G155" s="29">
        <v>2.5000000000000001E-2</v>
      </c>
      <c r="H155" s="29">
        <v>2.6000000000000002E-2</v>
      </c>
      <c r="I155" s="29">
        <v>2.7999999999999997E-2</v>
      </c>
      <c r="J155" s="29">
        <v>2.7000000000000003E-2</v>
      </c>
      <c r="K155" s="29">
        <v>0.03</v>
      </c>
      <c r="L155" s="29">
        <v>3.1E-2</v>
      </c>
      <c r="M155" s="29">
        <v>2.8999999999999998E-2</v>
      </c>
      <c r="N155" s="29">
        <v>2.7999999999999997E-2</v>
      </c>
      <c r="O155" s="29">
        <v>3.1E-2</v>
      </c>
      <c r="P155" s="29">
        <v>0.03</v>
      </c>
      <c r="Q155" s="29">
        <v>2.8999999999999998E-2</v>
      </c>
      <c r="R155" s="29">
        <v>3.2000000000000001E-2</v>
      </c>
      <c r="S155" s="29">
        <v>3.3000000000000002E-2</v>
      </c>
      <c r="T155" s="29">
        <v>3.7999999999999999E-2</v>
      </c>
      <c r="U155" s="29">
        <v>4.4000000000000004E-2</v>
      </c>
      <c r="V155" s="29">
        <v>0.05</v>
      </c>
      <c r="W155" s="117" t="s">
        <v>344</v>
      </c>
      <c r="X155" s="117" t="s">
        <v>344</v>
      </c>
    </row>
    <row r="156" spans="1:24" x14ac:dyDescent="0.2">
      <c r="A156" s="30" t="s">
        <v>207</v>
      </c>
      <c r="B156" s="16" t="s">
        <v>47</v>
      </c>
      <c r="C156" s="17" t="s">
        <v>25</v>
      </c>
      <c r="D156" s="29">
        <v>2.6000000000000002E-2</v>
      </c>
      <c r="E156" s="29">
        <v>2.6000000000000002E-2</v>
      </c>
      <c r="F156" s="29">
        <v>2.5000000000000001E-2</v>
      </c>
      <c r="G156" s="29">
        <v>2.6000000000000002E-2</v>
      </c>
      <c r="H156" s="29">
        <v>2.7000000000000003E-2</v>
      </c>
      <c r="I156" s="29">
        <v>2.6000000000000002E-2</v>
      </c>
      <c r="J156" s="29">
        <v>2.7999999999999997E-2</v>
      </c>
      <c r="K156" s="29">
        <v>2.7000000000000003E-2</v>
      </c>
      <c r="L156" s="29">
        <v>2.7999999999999997E-2</v>
      </c>
      <c r="M156" s="29">
        <v>0.03</v>
      </c>
      <c r="N156" s="29">
        <v>2.8999999999999998E-2</v>
      </c>
      <c r="O156" s="29">
        <v>3.2000000000000001E-2</v>
      </c>
      <c r="P156" s="29">
        <v>3.5000000000000003E-2</v>
      </c>
      <c r="Q156" s="29">
        <v>3.4000000000000002E-2</v>
      </c>
      <c r="R156" s="29">
        <v>2.8999999999999998E-2</v>
      </c>
      <c r="S156" s="29">
        <v>0.03</v>
      </c>
      <c r="T156" s="29">
        <v>3.4000000000000002E-2</v>
      </c>
      <c r="U156" s="29">
        <v>3.3000000000000002E-2</v>
      </c>
      <c r="V156" s="29">
        <v>3.6000000000000004E-2</v>
      </c>
      <c r="W156" s="117" t="s">
        <v>344</v>
      </c>
      <c r="X156" s="117" t="s">
        <v>344</v>
      </c>
    </row>
    <row r="157" spans="1:24" x14ac:dyDescent="0.2">
      <c r="A157" s="30" t="s">
        <v>207</v>
      </c>
      <c r="B157" s="16" t="s">
        <v>47</v>
      </c>
      <c r="C157" s="17" t="s">
        <v>2</v>
      </c>
      <c r="D157" s="29">
        <v>0.04</v>
      </c>
      <c r="E157" s="29">
        <v>4.0999999999999995E-2</v>
      </c>
      <c r="F157" s="29">
        <v>4.2999999999999997E-2</v>
      </c>
      <c r="G157" s="29">
        <v>4.8000000000000001E-2</v>
      </c>
      <c r="H157" s="29">
        <v>4.7E-2</v>
      </c>
      <c r="I157" s="29">
        <v>4.9000000000000002E-2</v>
      </c>
      <c r="J157" s="29">
        <v>4.4999999999999998E-2</v>
      </c>
      <c r="K157" s="29">
        <v>5.5999999999999994E-2</v>
      </c>
      <c r="L157" s="29">
        <v>5.5999999999999994E-2</v>
      </c>
      <c r="M157" s="29">
        <v>5.0999999999999997E-2</v>
      </c>
      <c r="N157" s="29">
        <v>5.2000000000000005E-2</v>
      </c>
      <c r="O157" s="29">
        <v>4.2999999999999997E-2</v>
      </c>
      <c r="P157" s="29">
        <v>4.5999999999999999E-2</v>
      </c>
      <c r="Q157" s="29">
        <v>4.4000000000000004E-2</v>
      </c>
      <c r="R157" s="29">
        <v>4.0999999999999995E-2</v>
      </c>
      <c r="S157" s="29">
        <v>4.0999999999999995E-2</v>
      </c>
      <c r="T157" s="29">
        <v>5.5999999999999994E-2</v>
      </c>
      <c r="U157" s="29">
        <v>6.8000000000000005E-2</v>
      </c>
      <c r="V157" s="29">
        <v>5.7999999999999996E-2</v>
      </c>
      <c r="W157" s="117" t="s">
        <v>344</v>
      </c>
      <c r="X157" s="117" t="s">
        <v>344</v>
      </c>
    </row>
    <row r="158" spans="1:24" x14ac:dyDescent="0.2">
      <c r="A158" s="30" t="s">
        <v>207</v>
      </c>
      <c r="B158" s="16" t="s">
        <v>47</v>
      </c>
      <c r="C158" s="17" t="s">
        <v>3</v>
      </c>
      <c r="D158" s="29">
        <v>2.4E-2</v>
      </c>
      <c r="E158" s="29">
        <v>2.4E-2</v>
      </c>
      <c r="F158" s="29">
        <v>2.4E-2</v>
      </c>
      <c r="G158" s="29">
        <v>2.7000000000000003E-2</v>
      </c>
      <c r="H158" s="29">
        <v>2.8999999999999998E-2</v>
      </c>
      <c r="I158" s="29">
        <v>2.7999999999999997E-2</v>
      </c>
      <c r="J158" s="29">
        <v>2.8999999999999998E-2</v>
      </c>
      <c r="K158" s="29">
        <v>3.2000000000000001E-2</v>
      </c>
      <c r="L158" s="29">
        <v>0.03</v>
      </c>
      <c r="M158" s="29">
        <v>2.7999999999999997E-2</v>
      </c>
      <c r="N158" s="29">
        <v>2.7000000000000003E-2</v>
      </c>
      <c r="O158" s="29">
        <v>2.6000000000000002E-2</v>
      </c>
      <c r="P158" s="29">
        <v>2.8999999999999998E-2</v>
      </c>
      <c r="Q158" s="29">
        <v>2.8999999999999998E-2</v>
      </c>
      <c r="R158" s="29">
        <v>3.4000000000000002E-2</v>
      </c>
      <c r="S158" s="29">
        <v>3.5000000000000003E-2</v>
      </c>
      <c r="T158" s="29">
        <v>4.4000000000000004E-2</v>
      </c>
      <c r="U158" s="29">
        <v>4.2999999999999997E-2</v>
      </c>
      <c r="V158" s="29">
        <v>4.7E-2</v>
      </c>
      <c r="W158" s="117" t="s">
        <v>344</v>
      </c>
      <c r="X158" s="117" t="s">
        <v>344</v>
      </c>
    </row>
    <row r="159" spans="1:24" x14ac:dyDescent="0.2">
      <c r="A159" s="30" t="s">
        <v>207</v>
      </c>
      <c r="B159" s="16" t="s">
        <v>47</v>
      </c>
      <c r="C159" s="17" t="s">
        <v>30</v>
      </c>
      <c r="D159" s="29">
        <v>2.6000000000000002E-2</v>
      </c>
      <c r="E159" s="29">
        <v>2.5000000000000001E-2</v>
      </c>
      <c r="F159" s="29">
        <v>2.5000000000000001E-2</v>
      </c>
      <c r="G159" s="29">
        <v>2.5000000000000001E-2</v>
      </c>
      <c r="H159" s="29">
        <v>2.7000000000000003E-2</v>
      </c>
      <c r="I159" s="29">
        <v>2.7999999999999997E-2</v>
      </c>
      <c r="J159" s="29">
        <v>2.7999999999999997E-2</v>
      </c>
      <c r="K159" s="29">
        <v>0.03</v>
      </c>
      <c r="L159" s="29">
        <v>2.8999999999999998E-2</v>
      </c>
      <c r="M159" s="29">
        <v>0.03</v>
      </c>
      <c r="N159" s="29">
        <v>3.1E-2</v>
      </c>
      <c r="O159" s="29">
        <v>3.2000000000000001E-2</v>
      </c>
      <c r="P159" s="29">
        <v>3.3000000000000002E-2</v>
      </c>
      <c r="Q159" s="29">
        <v>3.2000000000000001E-2</v>
      </c>
      <c r="R159" s="29">
        <v>3.2000000000000001E-2</v>
      </c>
      <c r="S159" s="29">
        <v>3.2000000000000001E-2</v>
      </c>
      <c r="T159" s="29">
        <v>3.7999999999999999E-2</v>
      </c>
      <c r="U159" s="29">
        <v>4.4000000000000004E-2</v>
      </c>
      <c r="V159" s="29">
        <v>4.4999999999999998E-2</v>
      </c>
      <c r="W159" s="117" t="s">
        <v>344</v>
      </c>
      <c r="X159" s="117" t="s">
        <v>344</v>
      </c>
    </row>
    <row r="160" spans="1:24" x14ac:dyDescent="0.2">
      <c r="A160" s="30" t="s">
        <v>207</v>
      </c>
      <c r="B160" s="16" t="s">
        <v>47</v>
      </c>
      <c r="C160" s="17" t="s">
        <v>4</v>
      </c>
      <c r="D160" s="29">
        <v>2.5000000000000001E-2</v>
      </c>
      <c r="E160" s="29">
        <v>2.5000000000000001E-2</v>
      </c>
      <c r="F160" s="29">
        <v>2.6000000000000002E-2</v>
      </c>
      <c r="G160" s="29">
        <v>2.6000000000000002E-2</v>
      </c>
      <c r="H160" s="29">
        <v>2.7000000000000003E-2</v>
      </c>
      <c r="I160" s="29">
        <v>2.7999999999999997E-2</v>
      </c>
      <c r="J160" s="29">
        <v>2.8999999999999998E-2</v>
      </c>
      <c r="K160" s="29">
        <v>3.1E-2</v>
      </c>
      <c r="L160" s="29">
        <v>3.1E-2</v>
      </c>
      <c r="M160" s="29">
        <v>0.03</v>
      </c>
      <c r="N160" s="29">
        <v>3.1E-2</v>
      </c>
      <c r="O160" s="29">
        <v>3.2000000000000001E-2</v>
      </c>
      <c r="P160" s="29">
        <v>3.5000000000000003E-2</v>
      </c>
      <c r="Q160" s="29">
        <v>3.2000000000000001E-2</v>
      </c>
      <c r="R160" s="29">
        <v>3.5000000000000003E-2</v>
      </c>
      <c r="S160" s="29">
        <v>3.5000000000000003E-2</v>
      </c>
      <c r="T160" s="29">
        <v>4.0999999999999995E-2</v>
      </c>
      <c r="U160" s="29">
        <v>4.2999999999999997E-2</v>
      </c>
      <c r="V160" s="29">
        <v>4.4999999999999998E-2</v>
      </c>
      <c r="W160" s="117" t="s">
        <v>344</v>
      </c>
      <c r="X160" s="117" t="s">
        <v>344</v>
      </c>
    </row>
    <row r="161" spans="1:24" x14ac:dyDescent="0.2">
      <c r="A161" s="30" t="s">
        <v>207</v>
      </c>
      <c r="B161" s="16" t="s">
        <v>47</v>
      </c>
      <c r="C161" s="17" t="s">
        <v>32</v>
      </c>
      <c r="D161" s="29">
        <v>2.3E-2</v>
      </c>
      <c r="E161" s="29">
        <v>2.2000000000000002E-2</v>
      </c>
      <c r="F161" s="29">
        <v>2.3E-2</v>
      </c>
      <c r="G161" s="29">
        <v>2.5000000000000001E-2</v>
      </c>
      <c r="H161" s="29">
        <v>2.6000000000000002E-2</v>
      </c>
      <c r="I161" s="29">
        <v>2.8999999999999998E-2</v>
      </c>
      <c r="J161" s="29">
        <v>2.7999999999999997E-2</v>
      </c>
      <c r="K161" s="29">
        <v>3.1E-2</v>
      </c>
      <c r="L161" s="29">
        <v>0.03</v>
      </c>
      <c r="M161" s="29">
        <v>2.8999999999999998E-2</v>
      </c>
      <c r="N161" s="29">
        <v>3.3000000000000002E-2</v>
      </c>
      <c r="O161" s="29">
        <v>0.03</v>
      </c>
      <c r="P161" s="29">
        <v>3.1E-2</v>
      </c>
      <c r="Q161" s="29">
        <v>0.03</v>
      </c>
      <c r="R161" s="29">
        <v>2.8999999999999998E-2</v>
      </c>
      <c r="S161" s="29">
        <v>2.7000000000000003E-2</v>
      </c>
      <c r="T161" s="29">
        <v>3.3000000000000002E-2</v>
      </c>
      <c r="U161" s="29">
        <v>3.9E-2</v>
      </c>
      <c r="V161" s="29">
        <v>3.7000000000000005E-2</v>
      </c>
      <c r="W161" s="117" t="s">
        <v>344</v>
      </c>
      <c r="X161" s="117" t="s">
        <v>344</v>
      </c>
    </row>
    <row r="162" spans="1:24" x14ac:dyDescent="0.2">
      <c r="A162" s="30" t="s">
        <v>207</v>
      </c>
      <c r="B162" s="16" t="s">
        <v>47</v>
      </c>
      <c r="C162" s="17" t="s">
        <v>5</v>
      </c>
      <c r="D162" s="29">
        <v>2.6000000000000002E-2</v>
      </c>
      <c r="E162" s="29">
        <v>2.5000000000000001E-2</v>
      </c>
      <c r="F162" s="29">
        <v>2.5000000000000001E-2</v>
      </c>
      <c r="G162" s="29">
        <v>2.5000000000000001E-2</v>
      </c>
      <c r="H162" s="29">
        <v>2.6000000000000002E-2</v>
      </c>
      <c r="I162" s="29">
        <v>2.7999999999999997E-2</v>
      </c>
      <c r="J162" s="29">
        <v>2.8999999999999998E-2</v>
      </c>
      <c r="K162" s="29">
        <v>3.2000000000000001E-2</v>
      </c>
      <c r="L162" s="29">
        <v>3.2000000000000001E-2</v>
      </c>
      <c r="M162" s="29">
        <v>0.03</v>
      </c>
      <c r="N162" s="29">
        <v>3.2000000000000001E-2</v>
      </c>
      <c r="O162" s="29">
        <v>3.1E-2</v>
      </c>
      <c r="P162" s="29">
        <v>3.5000000000000003E-2</v>
      </c>
      <c r="Q162" s="29">
        <v>3.2000000000000001E-2</v>
      </c>
      <c r="R162" s="29">
        <v>2.8999999999999998E-2</v>
      </c>
      <c r="S162" s="29">
        <v>3.3000000000000002E-2</v>
      </c>
      <c r="T162" s="29">
        <v>4.2000000000000003E-2</v>
      </c>
      <c r="U162" s="29">
        <v>4.4999999999999998E-2</v>
      </c>
      <c r="V162" s="29">
        <v>4.7E-2</v>
      </c>
      <c r="W162" s="117" t="s">
        <v>344</v>
      </c>
      <c r="X162" s="117" t="s">
        <v>344</v>
      </c>
    </row>
    <row r="163" spans="1:24" x14ac:dyDescent="0.2">
      <c r="A163" s="30" t="s">
        <v>207</v>
      </c>
      <c r="B163" s="16" t="s">
        <v>47</v>
      </c>
      <c r="C163" s="17" t="s">
        <v>6</v>
      </c>
      <c r="D163" s="29">
        <v>2.6000000000000002E-2</v>
      </c>
      <c r="E163" s="29">
        <v>2.6000000000000002E-2</v>
      </c>
      <c r="F163" s="29">
        <v>2.6000000000000002E-2</v>
      </c>
      <c r="G163" s="29">
        <v>2.5000000000000001E-2</v>
      </c>
      <c r="H163" s="29">
        <v>2.6000000000000002E-2</v>
      </c>
      <c r="I163" s="29">
        <v>2.7999999999999997E-2</v>
      </c>
      <c r="J163" s="29">
        <v>2.7999999999999997E-2</v>
      </c>
      <c r="K163" s="29">
        <v>3.1E-2</v>
      </c>
      <c r="L163" s="29">
        <v>3.1E-2</v>
      </c>
      <c r="M163" s="29">
        <v>3.1E-2</v>
      </c>
      <c r="N163" s="29">
        <v>0.03</v>
      </c>
      <c r="O163" s="29">
        <v>3.2000000000000001E-2</v>
      </c>
      <c r="P163" s="29">
        <v>3.2000000000000001E-2</v>
      </c>
      <c r="Q163" s="29">
        <v>3.4000000000000002E-2</v>
      </c>
      <c r="R163" s="29">
        <v>3.5000000000000003E-2</v>
      </c>
      <c r="S163" s="29">
        <v>3.5000000000000003E-2</v>
      </c>
      <c r="T163" s="29">
        <v>4.0999999999999995E-2</v>
      </c>
      <c r="U163" s="29">
        <v>4.5999999999999999E-2</v>
      </c>
      <c r="V163" s="29">
        <v>4.7E-2</v>
      </c>
      <c r="W163" s="117" t="s">
        <v>344</v>
      </c>
      <c r="X163" s="117" t="s">
        <v>344</v>
      </c>
    </row>
    <row r="164" spans="1:24" x14ac:dyDescent="0.2">
      <c r="A164" s="30" t="s">
        <v>207</v>
      </c>
      <c r="B164" s="16" t="s">
        <v>47</v>
      </c>
      <c r="C164" s="17" t="s">
        <v>8</v>
      </c>
      <c r="D164" s="29">
        <v>2.6000000000000002E-2</v>
      </c>
      <c r="E164" s="29">
        <v>2.5000000000000001E-2</v>
      </c>
      <c r="F164" s="29">
        <v>2.4E-2</v>
      </c>
      <c r="G164" s="29">
        <v>2.6000000000000002E-2</v>
      </c>
      <c r="H164" s="29">
        <v>2.5000000000000001E-2</v>
      </c>
      <c r="I164" s="29">
        <v>2.7000000000000003E-2</v>
      </c>
      <c r="J164" s="29">
        <v>2.7000000000000003E-2</v>
      </c>
      <c r="K164" s="29">
        <v>2.8999999999999998E-2</v>
      </c>
      <c r="L164" s="29">
        <v>2.7999999999999997E-2</v>
      </c>
      <c r="M164" s="29">
        <v>2.7000000000000003E-2</v>
      </c>
      <c r="N164" s="29">
        <v>2.7000000000000003E-2</v>
      </c>
      <c r="O164" s="29">
        <v>2.7999999999999997E-2</v>
      </c>
      <c r="P164" s="29">
        <v>0.03</v>
      </c>
      <c r="Q164" s="29">
        <v>0.03</v>
      </c>
      <c r="R164" s="29">
        <v>0.03</v>
      </c>
      <c r="S164" s="29">
        <v>3.3000000000000002E-2</v>
      </c>
      <c r="T164" s="29">
        <v>4.0999999999999995E-2</v>
      </c>
      <c r="U164" s="29">
        <v>4.2999999999999997E-2</v>
      </c>
      <c r="V164" s="29">
        <v>4.2999999999999997E-2</v>
      </c>
      <c r="W164" s="117" t="s">
        <v>344</v>
      </c>
      <c r="X164" s="117" t="s">
        <v>344</v>
      </c>
    </row>
    <row r="165" spans="1:24" x14ac:dyDescent="0.2">
      <c r="A165" s="30" t="s">
        <v>207</v>
      </c>
      <c r="B165" s="16" t="s">
        <v>47</v>
      </c>
      <c r="C165" s="17" t="s">
        <v>9</v>
      </c>
      <c r="D165" s="29">
        <v>2.5000000000000001E-2</v>
      </c>
      <c r="E165" s="29">
        <v>2.5000000000000001E-2</v>
      </c>
      <c r="F165" s="29">
        <v>2.6000000000000002E-2</v>
      </c>
      <c r="G165" s="29">
        <v>2.7000000000000003E-2</v>
      </c>
      <c r="H165" s="29">
        <v>2.7999999999999997E-2</v>
      </c>
      <c r="I165" s="29">
        <v>2.8999999999999998E-2</v>
      </c>
      <c r="J165" s="29">
        <v>2.8999999999999998E-2</v>
      </c>
      <c r="K165" s="29">
        <v>2.7999999999999997E-2</v>
      </c>
      <c r="L165" s="29">
        <v>2.8999999999999998E-2</v>
      </c>
      <c r="M165" s="29">
        <v>0.03</v>
      </c>
      <c r="N165" s="29">
        <v>2.8999999999999998E-2</v>
      </c>
      <c r="O165" s="29">
        <v>3.2000000000000001E-2</v>
      </c>
      <c r="P165" s="29">
        <v>3.4000000000000002E-2</v>
      </c>
      <c r="Q165" s="29">
        <v>3.5000000000000003E-2</v>
      </c>
      <c r="R165" s="29">
        <v>3.2000000000000001E-2</v>
      </c>
      <c r="S165" s="29">
        <v>3.2000000000000001E-2</v>
      </c>
      <c r="T165" s="29">
        <v>3.6000000000000004E-2</v>
      </c>
      <c r="U165" s="29">
        <v>3.9E-2</v>
      </c>
      <c r="V165" s="29">
        <v>3.7000000000000005E-2</v>
      </c>
      <c r="W165" s="117" t="s">
        <v>344</v>
      </c>
      <c r="X165" s="117" t="s">
        <v>344</v>
      </c>
    </row>
    <row r="166" spans="1:24" x14ac:dyDescent="0.2">
      <c r="A166" s="30" t="s">
        <v>207</v>
      </c>
      <c r="B166" s="16" t="s">
        <v>47</v>
      </c>
      <c r="C166" s="17" t="s">
        <v>33</v>
      </c>
      <c r="D166" s="29">
        <v>2.7000000000000003E-2</v>
      </c>
      <c r="E166" s="29">
        <v>2.7000000000000003E-2</v>
      </c>
      <c r="F166" s="29">
        <v>2.6000000000000002E-2</v>
      </c>
      <c r="G166" s="29">
        <v>2.5000000000000001E-2</v>
      </c>
      <c r="H166" s="29">
        <v>2.5000000000000001E-2</v>
      </c>
      <c r="I166" s="29">
        <v>2.5000000000000001E-2</v>
      </c>
      <c r="J166" s="29">
        <v>2.5000000000000001E-2</v>
      </c>
      <c r="K166" s="29">
        <v>2.7999999999999997E-2</v>
      </c>
      <c r="L166" s="29">
        <v>3.1E-2</v>
      </c>
      <c r="M166" s="29">
        <v>3.2000000000000001E-2</v>
      </c>
      <c r="N166" s="29">
        <v>3.3000000000000002E-2</v>
      </c>
      <c r="O166" s="29">
        <v>3.3000000000000002E-2</v>
      </c>
      <c r="P166" s="29">
        <v>3.2000000000000001E-2</v>
      </c>
      <c r="Q166" s="29">
        <v>3.1E-2</v>
      </c>
      <c r="R166" s="29">
        <v>3.2000000000000001E-2</v>
      </c>
      <c r="S166" s="29">
        <v>2.8999999999999998E-2</v>
      </c>
      <c r="T166" s="29">
        <v>3.6000000000000004E-2</v>
      </c>
      <c r="U166" s="29">
        <v>3.5000000000000003E-2</v>
      </c>
      <c r="V166" s="29">
        <v>3.6000000000000004E-2</v>
      </c>
      <c r="W166" s="117" t="s">
        <v>344</v>
      </c>
      <c r="X166" s="117" t="s">
        <v>344</v>
      </c>
    </row>
    <row r="167" spans="1:24" x14ac:dyDescent="0.2">
      <c r="A167" s="30" t="s">
        <v>207</v>
      </c>
      <c r="B167" s="16" t="s">
        <v>47</v>
      </c>
      <c r="C167" s="17" t="s">
        <v>10</v>
      </c>
      <c r="D167" s="29">
        <v>2.4E-2</v>
      </c>
      <c r="E167" s="29">
        <v>2.6000000000000002E-2</v>
      </c>
      <c r="F167" s="29">
        <v>2.8999999999999998E-2</v>
      </c>
      <c r="G167" s="29">
        <v>2.8999999999999998E-2</v>
      </c>
      <c r="H167" s="29">
        <v>2.6000000000000002E-2</v>
      </c>
      <c r="I167" s="29">
        <v>2.5000000000000001E-2</v>
      </c>
      <c r="J167" s="29">
        <v>2.4E-2</v>
      </c>
      <c r="K167" s="29">
        <v>2.6000000000000002E-2</v>
      </c>
      <c r="L167" s="29">
        <v>2.8999999999999998E-2</v>
      </c>
      <c r="M167" s="29">
        <v>3.2000000000000001E-2</v>
      </c>
      <c r="N167" s="29">
        <v>0.03</v>
      </c>
      <c r="O167" s="29">
        <v>2.8999999999999998E-2</v>
      </c>
      <c r="P167" s="29">
        <v>3.5000000000000003E-2</v>
      </c>
      <c r="Q167" s="29">
        <v>3.1E-2</v>
      </c>
      <c r="R167" s="29">
        <v>3.4000000000000002E-2</v>
      </c>
      <c r="S167" s="29">
        <v>0.04</v>
      </c>
      <c r="T167" s="29">
        <v>4.4000000000000004E-2</v>
      </c>
      <c r="U167" s="29">
        <v>5.5999999999999994E-2</v>
      </c>
      <c r="V167" s="29">
        <v>5.9000000000000004E-2</v>
      </c>
      <c r="W167" s="117" t="s">
        <v>344</v>
      </c>
      <c r="X167" s="117" t="s">
        <v>344</v>
      </c>
    </row>
    <row r="168" spans="1:24" x14ac:dyDescent="0.2">
      <c r="A168" s="30" t="s">
        <v>207</v>
      </c>
      <c r="B168" s="16" t="s">
        <v>47</v>
      </c>
      <c r="C168" s="17" t="s">
        <v>11</v>
      </c>
      <c r="D168" s="29">
        <v>2.7999999999999997E-2</v>
      </c>
      <c r="E168" s="29">
        <v>2.7000000000000003E-2</v>
      </c>
      <c r="F168" s="29">
        <v>2.7999999999999997E-2</v>
      </c>
      <c r="G168" s="29">
        <v>2.8999999999999998E-2</v>
      </c>
      <c r="H168" s="29">
        <v>0.03</v>
      </c>
      <c r="I168" s="29">
        <v>3.3000000000000002E-2</v>
      </c>
      <c r="J168" s="29">
        <v>3.3000000000000002E-2</v>
      </c>
      <c r="K168" s="29">
        <v>3.1E-2</v>
      </c>
      <c r="L168" s="29">
        <v>3.3000000000000002E-2</v>
      </c>
      <c r="M168" s="29">
        <v>3.2000000000000001E-2</v>
      </c>
      <c r="N168" s="29">
        <v>3.2000000000000001E-2</v>
      </c>
      <c r="O168" s="29">
        <v>3.5000000000000003E-2</v>
      </c>
      <c r="P168" s="29">
        <v>3.2000000000000001E-2</v>
      </c>
      <c r="Q168" s="29">
        <v>3.4000000000000002E-2</v>
      </c>
      <c r="R168" s="29">
        <v>3.4000000000000002E-2</v>
      </c>
      <c r="S168" s="29">
        <v>3.7000000000000005E-2</v>
      </c>
      <c r="T168" s="29">
        <v>4.4000000000000004E-2</v>
      </c>
      <c r="U168" s="29">
        <v>4.4999999999999998E-2</v>
      </c>
      <c r="V168" s="29">
        <v>4.9000000000000002E-2</v>
      </c>
      <c r="W168" s="117" t="s">
        <v>344</v>
      </c>
      <c r="X168" s="117" t="s">
        <v>344</v>
      </c>
    </row>
    <row r="169" spans="1:24" x14ac:dyDescent="0.2">
      <c r="A169" s="30" t="s">
        <v>207</v>
      </c>
      <c r="B169" s="16" t="s">
        <v>47</v>
      </c>
      <c r="C169" s="17" t="s">
        <v>12</v>
      </c>
      <c r="D169" s="29">
        <v>2.7000000000000003E-2</v>
      </c>
      <c r="E169" s="29">
        <v>2.7999999999999997E-2</v>
      </c>
      <c r="F169" s="29">
        <v>2.8999999999999998E-2</v>
      </c>
      <c r="G169" s="29">
        <v>2.7999999999999997E-2</v>
      </c>
      <c r="H169" s="29">
        <v>0.03</v>
      </c>
      <c r="I169" s="29">
        <v>3.1E-2</v>
      </c>
      <c r="J169" s="29">
        <v>3.1E-2</v>
      </c>
      <c r="K169" s="29">
        <v>3.3000000000000002E-2</v>
      </c>
      <c r="L169" s="29">
        <v>3.3000000000000002E-2</v>
      </c>
      <c r="M169" s="29">
        <v>3.4000000000000002E-2</v>
      </c>
      <c r="N169" s="29">
        <v>3.4000000000000002E-2</v>
      </c>
      <c r="O169" s="29">
        <v>3.5000000000000003E-2</v>
      </c>
      <c r="P169" s="29">
        <v>0.04</v>
      </c>
      <c r="Q169" s="29">
        <v>3.4000000000000002E-2</v>
      </c>
      <c r="R169" s="29">
        <v>3.2000000000000001E-2</v>
      </c>
      <c r="S169" s="29">
        <v>3.2000000000000001E-2</v>
      </c>
      <c r="T169" s="29">
        <v>4.4000000000000004E-2</v>
      </c>
      <c r="U169" s="29">
        <v>4.4000000000000004E-2</v>
      </c>
      <c r="V169" s="29">
        <v>5.0999999999999997E-2</v>
      </c>
      <c r="W169" s="117" t="s">
        <v>344</v>
      </c>
      <c r="X169" s="117" t="s">
        <v>344</v>
      </c>
    </row>
    <row r="170" spans="1:24" x14ac:dyDescent="0.2">
      <c r="A170" s="30" t="s">
        <v>207</v>
      </c>
      <c r="B170" s="16" t="s">
        <v>47</v>
      </c>
      <c r="C170" s="17" t="s">
        <v>13</v>
      </c>
      <c r="D170" s="29">
        <v>2.7000000000000003E-2</v>
      </c>
      <c r="E170" s="29">
        <v>2.3E-2</v>
      </c>
      <c r="F170" s="29">
        <v>2.2000000000000002E-2</v>
      </c>
      <c r="G170" s="29">
        <v>2.2000000000000002E-2</v>
      </c>
      <c r="H170" s="29">
        <v>2.2000000000000002E-2</v>
      </c>
      <c r="I170" s="29">
        <v>2.6000000000000002E-2</v>
      </c>
      <c r="J170" s="29">
        <v>2.7999999999999997E-2</v>
      </c>
      <c r="K170" s="29">
        <v>2.8999999999999998E-2</v>
      </c>
      <c r="L170" s="29">
        <v>2.7000000000000003E-2</v>
      </c>
      <c r="M170" s="29">
        <v>2.6000000000000002E-2</v>
      </c>
      <c r="N170" s="29">
        <v>2.7000000000000003E-2</v>
      </c>
      <c r="O170" s="29">
        <v>3.1E-2</v>
      </c>
      <c r="P170" s="29">
        <v>3.3000000000000002E-2</v>
      </c>
      <c r="Q170" s="29">
        <v>3.2000000000000001E-2</v>
      </c>
      <c r="R170" s="29">
        <v>3.4000000000000002E-2</v>
      </c>
      <c r="S170" s="29">
        <v>3.4000000000000002E-2</v>
      </c>
      <c r="T170" s="29">
        <v>4.0999999999999995E-2</v>
      </c>
      <c r="U170" s="29">
        <v>4.5999999999999999E-2</v>
      </c>
      <c r="V170" s="29">
        <v>4.4000000000000004E-2</v>
      </c>
      <c r="W170" s="117" t="s">
        <v>344</v>
      </c>
      <c r="X170" s="117" t="s">
        <v>344</v>
      </c>
    </row>
    <row r="171" spans="1:24" x14ac:dyDescent="0.2">
      <c r="A171" s="30" t="s">
        <v>207</v>
      </c>
      <c r="B171" s="16" t="s">
        <v>47</v>
      </c>
      <c r="C171" s="17" t="s">
        <v>7</v>
      </c>
      <c r="D171" s="29">
        <v>5.2000000000000005E-2</v>
      </c>
      <c r="E171" s="29">
        <v>4.8000000000000001E-2</v>
      </c>
      <c r="F171" s="29">
        <v>5.2000000000000005E-2</v>
      </c>
      <c r="G171" s="29">
        <v>0.05</v>
      </c>
      <c r="H171" s="29">
        <v>0.06</v>
      </c>
      <c r="I171" s="29">
        <v>7.400000000000001E-2</v>
      </c>
      <c r="J171" s="29">
        <v>7.5999999999999998E-2</v>
      </c>
      <c r="K171" s="29">
        <v>7.2999999999999995E-2</v>
      </c>
      <c r="L171" s="29">
        <v>0.06</v>
      </c>
      <c r="M171" s="29">
        <v>5.4000000000000006E-2</v>
      </c>
      <c r="N171" s="29">
        <v>5.2000000000000005E-2</v>
      </c>
      <c r="O171" s="29">
        <v>5.0999999999999997E-2</v>
      </c>
      <c r="P171" s="29">
        <v>0.05</v>
      </c>
      <c r="Q171" s="29">
        <v>4.2000000000000003E-2</v>
      </c>
      <c r="R171" s="29">
        <v>4.2000000000000003E-2</v>
      </c>
      <c r="S171" s="29">
        <v>4.2999999999999997E-2</v>
      </c>
      <c r="T171" s="29">
        <v>4.7E-2</v>
      </c>
      <c r="U171" s="29">
        <v>5.9000000000000004E-2</v>
      </c>
      <c r="V171" s="29">
        <v>6.2E-2</v>
      </c>
      <c r="W171" s="117" t="s">
        <v>344</v>
      </c>
      <c r="X171" s="117" t="s">
        <v>344</v>
      </c>
    </row>
    <row r="172" spans="1:24" x14ac:dyDescent="0.2">
      <c r="A172" s="30" t="s">
        <v>207</v>
      </c>
      <c r="B172" s="16" t="s">
        <v>47</v>
      </c>
      <c r="C172" s="17" t="s">
        <v>14</v>
      </c>
      <c r="D172" s="29">
        <v>2.5000000000000001E-2</v>
      </c>
      <c r="E172" s="29">
        <v>2.4E-2</v>
      </c>
      <c r="F172" s="29">
        <v>2.6000000000000002E-2</v>
      </c>
      <c r="G172" s="29">
        <v>2.6000000000000002E-2</v>
      </c>
      <c r="H172" s="29">
        <v>2.7000000000000003E-2</v>
      </c>
      <c r="I172" s="29">
        <v>2.7999999999999997E-2</v>
      </c>
      <c r="J172" s="29">
        <v>2.8999999999999998E-2</v>
      </c>
      <c r="K172" s="29">
        <v>0.03</v>
      </c>
      <c r="L172" s="29">
        <v>3.1E-2</v>
      </c>
      <c r="M172" s="29">
        <v>3.2000000000000001E-2</v>
      </c>
      <c r="N172" s="29">
        <v>2.8999999999999998E-2</v>
      </c>
      <c r="O172" s="29">
        <v>3.3000000000000002E-2</v>
      </c>
      <c r="P172" s="29">
        <v>3.5000000000000003E-2</v>
      </c>
      <c r="Q172" s="29">
        <v>3.3000000000000002E-2</v>
      </c>
      <c r="R172" s="29">
        <v>3.4000000000000002E-2</v>
      </c>
      <c r="S172" s="29">
        <v>3.5000000000000003E-2</v>
      </c>
      <c r="T172" s="29">
        <v>4.5999999999999999E-2</v>
      </c>
      <c r="U172" s="29">
        <v>4.7E-2</v>
      </c>
      <c r="V172" s="29">
        <v>4.2999999999999997E-2</v>
      </c>
      <c r="W172" s="117" t="s">
        <v>344</v>
      </c>
      <c r="X172" s="117" t="s">
        <v>344</v>
      </c>
    </row>
    <row r="173" spans="1:24" x14ac:dyDescent="0.2">
      <c r="A173" s="30" t="s">
        <v>207</v>
      </c>
      <c r="B173" s="16" t="s">
        <v>47</v>
      </c>
      <c r="C173" s="17" t="s">
        <v>31</v>
      </c>
      <c r="D173" s="29">
        <v>2.5000000000000001E-2</v>
      </c>
      <c r="E173" s="29">
        <v>2.5000000000000001E-2</v>
      </c>
      <c r="F173" s="29">
        <v>2.5000000000000001E-2</v>
      </c>
      <c r="G173" s="29">
        <v>2.6000000000000002E-2</v>
      </c>
      <c r="H173" s="29">
        <v>2.8999999999999998E-2</v>
      </c>
      <c r="I173" s="29">
        <v>2.7999999999999997E-2</v>
      </c>
      <c r="J173" s="29">
        <v>2.7999999999999997E-2</v>
      </c>
      <c r="K173" s="29">
        <v>2.7999999999999997E-2</v>
      </c>
      <c r="L173" s="29">
        <v>2.7000000000000003E-2</v>
      </c>
      <c r="M173" s="29">
        <v>2.7999999999999997E-2</v>
      </c>
      <c r="N173" s="29">
        <v>2.7999999999999997E-2</v>
      </c>
      <c r="O173" s="29">
        <v>2.8999999999999998E-2</v>
      </c>
      <c r="P173" s="29">
        <v>0.03</v>
      </c>
      <c r="Q173" s="29">
        <v>3.2000000000000001E-2</v>
      </c>
      <c r="R173" s="29">
        <v>3.2000000000000001E-2</v>
      </c>
      <c r="S173" s="29">
        <v>3.1E-2</v>
      </c>
      <c r="T173" s="29">
        <v>4.0999999999999995E-2</v>
      </c>
      <c r="U173" s="29">
        <v>4.4000000000000004E-2</v>
      </c>
      <c r="V173" s="29">
        <v>4.7E-2</v>
      </c>
      <c r="W173" s="117" t="s">
        <v>344</v>
      </c>
      <c r="X173" s="117" t="s">
        <v>344</v>
      </c>
    </row>
    <row r="174" spans="1:24" x14ac:dyDescent="0.2">
      <c r="A174" s="30" t="s">
        <v>207</v>
      </c>
      <c r="B174" s="16" t="s">
        <v>47</v>
      </c>
      <c r="C174" s="17" t="s">
        <v>15</v>
      </c>
      <c r="D174" s="29">
        <v>4.2999999999999997E-2</v>
      </c>
      <c r="E174" s="29">
        <v>4.7E-2</v>
      </c>
      <c r="F174" s="29">
        <v>5.2000000000000005E-2</v>
      </c>
      <c r="G174" s="29">
        <v>5.2000000000000005E-2</v>
      </c>
      <c r="H174" s="29">
        <v>0.05</v>
      </c>
      <c r="I174" s="29">
        <v>4.4999999999999998E-2</v>
      </c>
      <c r="J174" s="29">
        <v>4.8000000000000001E-2</v>
      </c>
      <c r="K174" s="29">
        <v>5.2999999999999999E-2</v>
      </c>
      <c r="L174" s="29">
        <v>5.7000000000000002E-2</v>
      </c>
      <c r="M174" s="29">
        <v>0.06</v>
      </c>
      <c r="N174" s="29">
        <v>5.2000000000000005E-2</v>
      </c>
      <c r="O174" s="29">
        <v>5.9000000000000004E-2</v>
      </c>
      <c r="P174" s="29">
        <v>5.7999999999999996E-2</v>
      </c>
      <c r="Q174" s="29">
        <v>5.2999999999999999E-2</v>
      </c>
      <c r="R174" s="29">
        <v>5.5E-2</v>
      </c>
      <c r="S174" s="29">
        <v>6.6000000000000003E-2</v>
      </c>
      <c r="T174" s="29">
        <v>9.0999999999999998E-2</v>
      </c>
      <c r="U174" s="29">
        <v>0.14300000000000002</v>
      </c>
      <c r="V174" s="29">
        <v>0.11699999999999999</v>
      </c>
      <c r="W174" s="117" t="s">
        <v>344</v>
      </c>
      <c r="X174" s="117" t="s">
        <v>344</v>
      </c>
    </row>
    <row r="175" spans="1:24" x14ac:dyDescent="0.2">
      <c r="A175" s="30" t="s">
        <v>207</v>
      </c>
      <c r="B175" s="16" t="s">
        <v>47</v>
      </c>
      <c r="C175" s="17" t="s">
        <v>16</v>
      </c>
      <c r="D175" s="29">
        <v>2.6000000000000002E-2</v>
      </c>
      <c r="E175" s="29">
        <v>2.5000000000000001E-2</v>
      </c>
      <c r="F175" s="29">
        <v>2.3E-2</v>
      </c>
      <c r="G175" s="29">
        <v>2.4E-2</v>
      </c>
      <c r="H175" s="29">
        <v>2.4E-2</v>
      </c>
      <c r="I175" s="29">
        <v>2.5000000000000001E-2</v>
      </c>
      <c r="J175" s="29">
        <v>2.6000000000000002E-2</v>
      </c>
      <c r="K175" s="29">
        <v>2.6000000000000002E-2</v>
      </c>
      <c r="L175" s="29">
        <v>2.7000000000000003E-2</v>
      </c>
      <c r="M175" s="29">
        <v>2.7999999999999997E-2</v>
      </c>
      <c r="N175" s="29">
        <v>2.8999999999999998E-2</v>
      </c>
      <c r="O175" s="29">
        <v>2.8999999999999998E-2</v>
      </c>
      <c r="P175" s="29">
        <v>3.4000000000000002E-2</v>
      </c>
      <c r="Q175" s="29">
        <v>3.3000000000000002E-2</v>
      </c>
      <c r="R175" s="29">
        <v>0.03</v>
      </c>
      <c r="S175" s="29">
        <v>2.8999999999999998E-2</v>
      </c>
      <c r="T175" s="29">
        <v>3.7000000000000005E-2</v>
      </c>
      <c r="U175" s="29">
        <v>3.7999999999999999E-2</v>
      </c>
      <c r="V175" s="29">
        <v>4.0999999999999995E-2</v>
      </c>
      <c r="W175" s="117" t="s">
        <v>344</v>
      </c>
      <c r="X175" s="117" t="s">
        <v>344</v>
      </c>
    </row>
    <row r="176" spans="1:24" x14ac:dyDescent="0.2">
      <c r="A176" s="30" t="s">
        <v>207</v>
      </c>
      <c r="B176" s="16" t="s">
        <v>47</v>
      </c>
      <c r="C176" s="17" t="s">
        <v>26</v>
      </c>
      <c r="D176" s="29">
        <v>2.5000000000000001E-2</v>
      </c>
      <c r="E176" s="29">
        <v>2.4E-2</v>
      </c>
      <c r="F176" s="29">
        <v>2.5000000000000001E-2</v>
      </c>
      <c r="G176" s="29">
        <v>2.5000000000000001E-2</v>
      </c>
      <c r="H176" s="29">
        <v>2.5000000000000001E-2</v>
      </c>
      <c r="I176" s="29">
        <v>2.7000000000000003E-2</v>
      </c>
      <c r="J176" s="29">
        <v>2.7000000000000003E-2</v>
      </c>
      <c r="K176" s="29">
        <v>3.1E-2</v>
      </c>
      <c r="L176" s="29">
        <v>0.03</v>
      </c>
      <c r="M176" s="29">
        <v>0.03</v>
      </c>
      <c r="N176" s="29">
        <v>2.8999999999999998E-2</v>
      </c>
      <c r="O176" s="29">
        <v>2.8999999999999998E-2</v>
      </c>
      <c r="P176" s="29">
        <v>0.03</v>
      </c>
      <c r="Q176" s="29">
        <v>0.03</v>
      </c>
      <c r="R176" s="29">
        <v>3.4000000000000002E-2</v>
      </c>
      <c r="S176" s="29">
        <v>3.2000000000000001E-2</v>
      </c>
      <c r="T176" s="29">
        <v>0.04</v>
      </c>
      <c r="U176" s="29">
        <v>4.2000000000000003E-2</v>
      </c>
      <c r="V176" s="29">
        <v>4.8000000000000001E-2</v>
      </c>
      <c r="W176" s="117" t="s">
        <v>344</v>
      </c>
      <c r="X176" s="117" t="s">
        <v>344</v>
      </c>
    </row>
    <row r="177" spans="1:24" x14ac:dyDescent="0.2">
      <c r="A177" s="30" t="s">
        <v>207</v>
      </c>
      <c r="B177" s="16" t="s">
        <v>47</v>
      </c>
      <c r="C177" s="17" t="s">
        <v>17</v>
      </c>
      <c r="D177" s="29">
        <v>2.3E-2</v>
      </c>
      <c r="E177" s="29">
        <v>2.4E-2</v>
      </c>
      <c r="F177" s="29">
        <v>2.5000000000000001E-2</v>
      </c>
      <c r="G177" s="29">
        <v>2.4E-2</v>
      </c>
      <c r="H177" s="29">
        <v>2.6000000000000002E-2</v>
      </c>
      <c r="I177" s="29">
        <v>2.7000000000000003E-2</v>
      </c>
      <c r="J177" s="29">
        <v>2.7999999999999997E-2</v>
      </c>
      <c r="K177" s="29">
        <v>2.8999999999999998E-2</v>
      </c>
      <c r="L177" s="29">
        <v>2.8999999999999998E-2</v>
      </c>
      <c r="M177" s="29">
        <v>2.7000000000000003E-2</v>
      </c>
      <c r="N177" s="29">
        <v>2.7000000000000003E-2</v>
      </c>
      <c r="O177" s="29">
        <v>0.03</v>
      </c>
      <c r="P177" s="29">
        <v>3.3000000000000002E-2</v>
      </c>
      <c r="Q177" s="29">
        <v>3.3000000000000002E-2</v>
      </c>
      <c r="R177" s="29">
        <v>3.4000000000000002E-2</v>
      </c>
      <c r="S177" s="29">
        <v>3.3000000000000002E-2</v>
      </c>
      <c r="T177" s="29">
        <v>3.9E-2</v>
      </c>
      <c r="U177" s="29">
        <v>4.8000000000000001E-2</v>
      </c>
      <c r="V177" s="29">
        <v>4.0999999999999995E-2</v>
      </c>
      <c r="W177" s="117" t="s">
        <v>344</v>
      </c>
      <c r="X177" s="117" t="s">
        <v>344</v>
      </c>
    </row>
    <row r="178" spans="1:24" x14ac:dyDescent="0.2">
      <c r="A178" s="30" t="s">
        <v>207</v>
      </c>
      <c r="B178" s="16" t="s">
        <v>47</v>
      </c>
      <c r="C178" s="17" t="s">
        <v>18</v>
      </c>
      <c r="D178" s="29">
        <v>4.4000000000000004E-2</v>
      </c>
      <c r="E178" s="29">
        <v>4.2999999999999997E-2</v>
      </c>
      <c r="F178" s="29">
        <v>4.4999999999999998E-2</v>
      </c>
      <c r="G178" s="29">
        <v>4.2999999999999997E-2</v>
      </c>
      <c r="H178" s="29">
        <v>0.04</v>
      </c>
      <c r="I178" s="29">
        <v>4.2000000000000003E-2</v>
      </c>
      <c r="J178" s="29">
        <v>3.9E-2</v>
      </c>
      <c r="K178" s="29">
        <v>4.8000000000000001E-2</v>
      </c>
      <c r="L178" s="29">
        <v>6.2E-2</v>
      </c>
      <c r="M178" s="29">
        <v>6.3E-2</v>
      </c>
      <c r="N178" s="29">
        <v>6.8000000000000005E-2</v>
      </c>
      <c r="O178" s="29">
        <v>5.5E-2</v>
      </c>
      <c r="P178" s="29">
        <v>5.9000000000000004E-2</v>
      </c>
      <c r="Q178" s="29">
        <v>6.9000000000000006E-2</v>
      </c>
      <c r="R178" s="29">
        <v>0.08</v>
      </c>
      <c r="S178" s="29">
        <v>9.8000000000000004E-2</v>
      </c>
      <c r="T178" s="29">
        <v>0.11599999999999999</v>
      </c>
      <c r="U178" s="29">
        <v>0.14400000000000002</v>
      </c>
      <c r="V178" s="29">
        <v>0.14300000000000002</v>
      </c>
      <c r="W178" s="117" t="s">
        <v>344</v>
      </c>
      <c r="X178" s="117" t="s">
        <v>344</v>
      </c>
    </row>
    <row r="179" spans="1:24" x14ac:dyDescent="0.2">
      <c r="A179" s="30" t="s">
        <v>207</v>
      </c>
      <c r="B179" s="16" t="s">
        <v>47</v>
      </c>
      <c r="C179" s="17" t="s">
        <v>19</v>
      </c>
      <c r="D179" s="29">
        <v>2.6000000000000002E-2</v>
      </c>
      <c r="E179" s="29">
        <v>2.5000000000000001E-2</v>
      </c>
      <c r="F179" s="29">
        <v>2.6000000000000002E-2</v>
      </c>
      <c r="G179" s="29">
        <v>2.5000000000000001E-2</v>
      </c>
      <c r="H179" s="29">
        <v>2.6000000000000002E-2</v>
      </c>
      <c r="I179" s="29">
        <v>2.6000000000000002E-2</v>
      </c>
      <c r="J179" s="29">
        <v>2.7999999999999997E-2</v>
      </c>
      <c r="K179" s="29">
        <v>0.03</v>
      </c>
      <c r="L179" s="29">
        <v>3.1E-2</v>
      </c>
      <c r="M179" s="29">
        <v>3.1E-2</v>
      </c>
      <c r="N179" s="29">
        <v>3.1E-2</v>
      </c>
      <c r="O179" s="29">
        <v>0.03</v>
      </c>
      <c r="P179" s="29">
        <v>3.2000000000000001E-2</v>
      </c>
      <c r="Q179" s="29">
        <v>3.2000000000000001E-2</v>
      </c>
      <c r="R179" s="29">
        <v>3.7000000000000005E-2</v>
      </c>
      <c r="S179" s="29">
        <v>3.6000000000000004E-2</v>
      </c>
      <c r="T179" s="29">
        <v>4.2999999999999997E-2</v>
      </c>
      <c r="U179" s="29">
        <v>4.8000000000000001E-2</v>
      </c>
      <c r="V179" s="29">
        <v>0.05</v>
      </c>
      <c r="W179" s="117" t="s">
        <v>344</v>
      </c>
      <c r="X179" s="117" t="s">
        <v>344</v>
      </c>
    </row>
    <row r="180" spans="1:24" x14ac:dyDescent="0.2">
      <c r="A180" s="30" t="s">
        <v>207</v>
      </c>
      <c r="B180" s="16" t="s">
        <v>47</v>
      </c>
      <c r="C180" s="17" t="s">
        <v>20</v>
      </c>
      <c r="D180" s="29">
        <v>2.5000000000000001E-2</v>
      </c>
      <c r="E180" s="29">
        <v>2.6000000000000002E-2</v>
      </c>
      <c r="F180" s="29">
        <v>2.5000000000000001E-2</v>
      </c>
      <c r="G180" s="29">
        <v>2.4E-2</v>
      </c>
      <c r="H180" s="29">
        <v>2.6000000000000002E-2</v>
      </c>
      <c r="I180" s="29">
        <v>2.6000000000000002E-2</v>
      </c>
      <c r="J180" s="29">
        <v>2.6000000000000002E-2</v>
      </c>
      <c r="K180" s="29">
        <v>2.7999999999999997E-2</v>
      </c>
      <c r="L180" s="29">
        <v>2.7000000000000003E-2</v>
      </c>
      <c r="M180" s="29">
        <v>2.8999999999999998E-2</v>
      </c>
      <c r="N180" s="29">
        <v>2.7000000000000003E-2</v>
      </c>
      <c r="O180" s="29">
        <v>2.7000000000000003E-2</v>
      </c>
      <c r="P180" s="29">
        <v>2.8999999999999998E-2</v>
      </c>
      <c r="Q180" s="29">
        <v>0.03</v>
      </c>
      <c r="R180" s="29">
        <v>3.2000000000000001E-2</v>
      </c>
      <c r="S180" s="29">
        <v>3.3000000000000002E-2</v>
      </c>
      <c r="T180" s="29">
        <v>3.7000000000000005E-2</v>
      </c>
      <c r="U180" s="29">
        <v>3.7999999999999999E-2</v>
      </c>
      <c r="V180" s="29">
        <v>3.7000000000000005E-2</v>
      </c>
      <c r="W180" s="117" t="s">
        <v>344</v>
      </c>
      <c r="X180" s="117" t="s">
        <v>344</v>
      </c>
    </row>
    <row r="181" spans="1:24" x14ac:dyDescent="0.2">
      <c r="A181" s="30" t="s">
        <v>207</v>
      </c>
      <c r="B181" s="16" t="s">
        <v>47</v>
      </c>
      <c r="C181" s="17" t="s">
        <v>21</v>
      </c>
      <c r="D181" s="29">
        <v>2.7000000000000003E-2</v>
      </c>
      <c r="E181" s="29">
        <v>2.7999999999999997E-2</v>
      </c>
      <c r="F181" s="29">
        <v>2.8999999999999998E-2</v>
      </c>
      <c r="G181" s="29">
        <v>0.03</v>
      </c>
      <c r="H181" s="29">
        <v>3.3000000000000002E-2</v>
      </c>
      <c r="I181" s="29">
        <v>3.3000000000000002E-2</v>
      </c>
      <c r="J181" s="29">
        <v>3.2000000000000001E-2</v>
      </c>
      <c r="K181" s="29">
        <v>3.5000000000000003E-2</v>
      </c>
      <c r="L181" s="29">
        <v>3.5000000000000003E-2</v>
      </c>
      <c r="M181" s="29">
        <v>3.3000000000000002E-2</v>
      </c>
      <c r="N181" s="29">
        <v>3.3000000000000002E-2</v>
      </c>
      <c r="O181" s="29">
        <v>3.3000000000000002E-2</v>
      </c>
      <c r="P181" s="29">
        <v>3.3000000000000002E-2</v>
      </c>
      <c r="Q181" s="29">
        <v>3.4000000000000002E-2</v>
      </c>
      <c r="R181" s="29">
        <v>3.3000000000000002E-2</v>
      </c>
      <c r="S181" s="29">
        <v>3.3000000000000002E-2</v>
      </c>
      <c r="T181" s="29">
        <v>0.04</v>
      </c>
      <c r="U181" s="29">
        <v>4.5999999999999999E-2</v>
      </c>
      <c r="V181" s="29">
        <v>0.04</v>
      </c>
      <c r="W181" s="117" t="s">
        <v>344</v>
      </c>
      <c r="X181" s="117" t="s">
        <v>344</v>
      </c>
    </row>
    <row r="182" spans="1:24" x14ac:dyDescent="0.2">
      <c r="A182" s="30" t="s">
        <v>207</v>
      </c>
      <c r="B182" s="16" t="s">
        <v>47</v>
      </c>
      <c r="C182" s="17" t="s">
        <v>27</v>
      </c>
      <c r="D182" s="29">
        <v>2.5000000000000001E-2</v>
      </c>
      <c r="E182" s="29">
        <v>2.4E-2</v>
      </c>
      <c r="F182" s="29">
        <v>2.5000000000000001E-2</v>
      </c>
      <c r="G182" s="29">
        <v>2.5000000000000001E-2</v>
      </c>
      <c r="H182" s="29">
        <v>2.7999999999999997E-2</v>
      </c>
      <c r="I182" s="29">
        <v>2.8999999999999998E-2</v>
      </c>
      <c r="J182" s="29">
        <v>2.8999999999999998E-2</v>
      </c>
      <c r="K182" s="29">
        <v>0.03</v>
      </c>
      <c r="L182" s="29">
        <v>0.03</v>
      </c>
      <c r="M182" s="29">
        <v>0.03</v>
      </c>
      <c r="N182" s="29">
        <v>3.2000000000000001E-2</v>
      </c>
      <c r="O182" s="29">
        <v>3.3000000000000002E-2</v>
      </c>
      <c r="P182" s="29">
        <v>3.4000000000000002E-2</v>
      </c>
      <c r="Q182" s="29">
        <v>3.3000000000000002E-2</v>
      </c>
      <c r="R182" s="29">
        <v>3.1E-2</v>
      </c>
      <c r="S182" s="29">
        <v>0.03</v>
      </c>
      <c r="T182" s="29">
        <v>3.7999999999999999E-2</v>
      </c>
      <c r="U182" s="29">
        <v>4.4000000000000004E-2</v>
      </c>
      <c r="V182" s="29">
        <v>4.2000000000000003E-2</v>
      </c>
      <c r="W182" s="117" t="s">
        <v>344</v>
      </c>
      <c r="X182" s="117" t="s">
        <v>344</v>
      </c>
    </row>
    <row r="183" spans="1:24" x14ac:dyDescent="0.2">
      <c r="A183" s="30" t="s">
        <v>207</v>
      </c>
      <c r="B183" s="16" t="s">
        <v>47</v>
      </c>
      <c r="C183" s="17" t="s">
        <v>28</v>
      </c>
      <c r="D183" s="29">
        <v>2.5000000000000001E-2</v>
      </c>
      <c r="E183" s="29">
        <v>2.6000000000000002E-2</v>
      </c>
      <c r="F183" s="29">
        <v>2.5000000000000001E-2</v>
      </c>
      <c r="G183" s="29">
        <v>2.6000000000000002E-2</v>
      </c>
      <c r="H183" s="29">
        <v>2.6000000000000002E-2</v>
      </c>
      <c r="I183" s="29">
        <v>2.7999999999999997E-2</v>
      </c>
      <c r="J183" s="29">
        <v>2.8999999999999998E-2</v>
      </c>
      <c r="K183" s="29">
        <v>0.03</v>
      </c>
      <c r="L183" s="29">
        <v>2.8999999999999998E-2</v>
      </c>
      <c r="M183" s="29">
        <v>2.8999999999999998E-2</v>
      </c>
      <c r="N183" s="29">
        <v>2.7000000000000003E-2</v>
      </c>
      <c r="O183" s="29">
        <v>2.8999999999999998E-2</v>
      </c>
      <c r="P183" s="29">
        <v>0.03</v>
      </c>
      <c r="Q183" s="29">
        <v>3.1E-2</v>
      </c>
      <c r="R183" s="29">
        <v>0.03</v>
      </c>
      <c r="S183" s="29">
        <v>3.1E-2</v>
      </c>
      <c r="T183" s="29">
        <v>4.0999999999999995E-2</v>
      </c>
      <c r="U183" s="29">
        <v>4.5999999999999999E-2</v>
      </c>
      <c r="V183" s="29">
        <v>4.0999999999999995E-2</v>
      </c>
      <c r="W183" s="117" t="s">
        <v>344</v>
      </c>
      <c r="X183" s="117" t="s">
        <v>344</v>
      </c>
    </row>
    <row r="184" spans="1:24" ht="31.5" customHeight="1" x14ac:dyDescent="0.2">
      <c r="A184" s="30" t="s">
        <v>207</v>
      </c>
      <c r="B184" s="17" t="s">
        <v>182</v>
      </c>
      <c r="C184" s="17" t="s">
        <v>54</v>
      </c>
      <c r="D184" s="29" t="s">
        <v>190</v>
      </c>
      <c r="E184" s="29" t="s">
        <v>190</v>
      </c>
      <c r="F184" s="29" t="s">
        <v>190</v>
      </c>
      <c r="G184" s="29" t="s">
        <v>190</v>
      </c>
      <c r="H184" s="29" t="s">
        <v>190</v>
      </c>
      <c r="I184" s="29" t="s">
        <v>190</v>
      </c>
      <c r="J184" s="29" t="s">
        <v>190</v>
      </c>
      <c r="K184" s="29" t="s">
        <v>190</v>
      </c>
      <c r="L184" s="29">
        <v>2.1000000000000001E-2</v>
      </c>
      <c r="M184" s="29">
        <v>2.2000000000000002E-2</v>
      </c>
      <c r="N184" s="29">
        <v>2.2000000000000002E-2</v>
      </c>
      <c r="O184" s="29">
        <v>2.3E-2</v>
      </c>
      <c r="P184" s="29">
        <v>2.6000000000000002E-2</v>
      </c>
      <c r="Q184" s="29">
        <v>2.4E-2</v>
      </c>
      <c r="R184" s="29">
        <v>2.6000000000000002E-2</v>
      </c>
      <c r="S184" s="29">
        <v>2.4E-2</v>
      </c>
      <c r="T184" s="29">
        <v>3.1E-2</v>
      </c>
      <c r="U184" s="29">
        <v>3.1E-2</v>
      </c>
      <c r="V184" s="65">
        <v>3.4000000000000002E-2</v>
      </c>
      <c r="W184" s="117" t="s">
        <v>344</v>
      </c>
      <c r="X184" s="117" t="s">
        <v>344</v>
      </c>
    </row>
    <row r="185" spans="1:24" x14ac:dyDescent="0.2">
      <c r="A185" s="30" t="s">
        <v>207</v>
      </c>
      <c r="B185" s="16" t="s">
        <v>182</v>
      </c>
      <c r="C185" s="16" t="s">
        <v>55</v>
      </c>
      <c r="D185" s="29" t="s">
        <v>190</v>
      </c>
      <c r="E185" s="29" t="s">
        <v>190</v>
      </c>
      <c r="F185" s="29" t="s">
        <v>190</v>
      </c>
      <c r="G185" s="29" t="s">
        <v>190</v>
      </c>
      <c r="H185" s="29" t="s">
        <v>190</v>
      </c>
      <c r="I185" s="29" t="s">
        <v>190</v>
      </c>
      <c r="J185" s="29" t="s">
        <v>190</v>
      </c>
      <c r="K185" s="29" t="s">
        <v>190</v>
      </c>
      <c r="L185" s="29">
        <v>9.8000000000000004E-2</v>
      </c>
      <c r="M185" s="29">
        <v>0.126</v>
      </c>
      <c r="N185" s="29">
        <v>0.11199999999999999</v>
      </c>
      <c r="O185" s="29">
        <v>0.10400000000000001</v>
      </c>
      <c r="P185" s="29">
        <v>0.127</v>
      </c>
      <c r="Q185" s="29">
        <v>9.5000000000000001E-2</v>
      </c>
      <c r="R185" s="29">
        <v>0.106</v>
      </c>
      <c r="S185" s="29">
        <v>0.152</v>
      </c>
      <c r="T185" s="29">
        <v>0.18100000000000002</v>
      </c>
      <c r="U185" s="29">
        <v>0.161</v>
      </c>
      <c r="V185" s="29" t="s">
        <v>256</v>
      </c>
      <c r="W185" s="117" t="s">
        <v>344</v>
      </c>
      <c r="X185" s="117" t="s">
        <v>344</v>
      </c>
    </row>
    <row r="186" spans="1:24" x14ac:dyDescent="0.2">
      <c r="A186" s="30" t="s">
        <v>207</v>
      </c>
      <c r="B186" s="16" t="s">
        <v>182</v>
      </c>
      <c r="C186" s="16" t="s">
        <v>56</v>
      </c>
      <c r="D186" s="29" t="s">
        <v>190</v>
      </c>
      <c r="E186" s="29" t="s">
        <v>190</v>
      </c>
      <c r="F186" s="29" t="s">
        <v>190</v>
      </c>
      <c r="G186" s="29" t="s">
        <v>190</v>
      </c>
      <c r="H186" s="29" t="s">
        <v>190</v>
      </c>
      <c r="I186" s="29" t="s">
        <v>190</v>
      </c>
      <c r="J186" s="29" t="s">
        <v>190</v>
      </c>
      <c r="K186" s="29" t="s">
        <v>190</v>
      </c>
      <c r="L186" s="29">
        <v>0.05</v>
      </c>
      <c r="M186" s="29">
        <v>5.2999999999999999E-2</v>
      </c>
      <c r="N186" s="29">
        <v>0.06</v>
      </c>
      <c r="O186" s="29">
        <v>5.2999999999999999E-2</v>
      </c>
      <c r="P186" s="29">
        <v>5.2999999999999999E-2</v>
      </c>
      <c r="Q186" s="29">
        <v>5.2999999999999999E-2</v>
      </c>
      <c r="R186" s="29">
        <v>0.05</v>
      </c>
      <c r="S186" s="29">
        <v>0.05</v>
      </c>
      <c r="T186" s="29">
        <v>6.4000000000000001E-2</v>
      </c>
      <c r="U186" s="29">
        <v>7.0000000000000007E-2</v>
      </c>
      <c r="V186" s="65">
        <v>7.5999999999999998E-2</v>
      </c>
      <c r="W186" s="117" t="s">
        <v>344</v>
      </c>
      <c r="X186" s="117" t="s">
        <v>344</v>
      </c>
    </row>
    <row r="187" spans="1:24" x14ac:dyDescent="0.2">
      <c r="A187" s="30" t="s">
        <v>207</v>
      </c>
      <c r="B187" s="16" t="s">
        <v>182</v>
      </c>
      <c r="C187" s="16" t="s">
        <v>57</v>
      </c>
      <c r="D187" s="29" t="s">
        <v>190</v>
      </c>
      <c r="E187" s="29" t="s">
        <v>190</v>
      </c>
      <c r="F187" s="29" t="s">
        <v>190</v>
      </c>
      <c r="G187" s="29" t="s">
        <v>190</v>
      </c>
      <c r="H187" s="29" t="s">
        <v>190</v>
      </c>
      <c r="I187" s="29" t="s">
        <v>190</v>
      </c>
      <c r="J187" s="29" t="s">
        <v>190</v>
      </c>
      <c r="K187" s="29" t="s">
        <v>190</v>
      </c>
      <c r="L187" s="29">
        <v>0.128</v>
      </c>
      <c r="M187" s="29">
        <v>0.16399999999999998</v>
      </c>
      <c r="N187" s="29">
        <v>0.14000000000000001</v>
      </c>
      <c r="O187" s="29">
        <v>0.124</v>
      </c>
      <c r="P187" s="29">
        <v>9.3000000000000013E-2</v>
      </c>
      <c r="Q187" s="29">
        <v>0.14099999999999999</v>
      </c>
      <c r="R187" s="29">
        <v>0.151</v>
      </c>
      <c r="S187" s="29">
        <v>0.12</v>
      </c>
      <c r="T187" s="29">
        <v>0.157</v>
      </c>
      <c r="U187" s="29">
        <v>0.23600000000000002</v>
      </c>
      <c r="V187" s="65">
        <v>0.25</v>
      </c>
      <c r="W187" s="117" t="s">
        <v>344</v>
      </c>
      <c r="X187" s="117" t="s">
        <v>344</v>
      </c>
    </row>
    <row r="188" spans="1:24" x14ac:dyDescent="0.2">
      <c r="A188" s="30" t="s">
        <v>207</v>
      </c>
      <c r="B188" s="16" t="s">
        <v>182</v>
      </c>
      <c r="C188" s="16" t="s">
        <v>58</v>
      </c>
      <c r="D188" s="29" t="s">
        <v>190</v>
      </c>
      <c r="E188" s="29" t="s">
        <v>190</v>
      </c>
      <c r="F188" s="29" t="s">
        <v>190</v>
      </c>
      <c r="G188" s="29" t="s">
        <v>190</v>
      </c>
      <c r="H188" s="29" t="s">
        <v>190</v>
      </c>
      <c r="I188" s="29" t="s">
        <v>190</v>
      </c>
      <c r="J188" s="29" t="s">
        <v>190</v>
      </c>
      <c r="K188" s="29" t="s">
        <v>190</v>
      </c>
      <c r="L188" s="29">
        <v>2.7999999999999997E-2</v>
      </c>
      <c r="M188" s="29">
        <v>2.7000000000000003E-2</v>
      </c>
      <c r="N188" s="29">
        <v>2.7999999999999997E-2</v>
      </c>
      <c r="O188" s="29">
        <v>2.7999999999999997E-2</v>
      </c>
      <c r="P188" s="29">
        <v>0.03</v>
      </c>
      <c r="Q188" s="29">
        <v>2.8999999999999998E-2</v>
      </c>
      <c r="R188" s="29">
        <v>3.3000000000000002E-2</v>
      </c>
      <c r="S188" s="29">
        <v>3.4000000000000002E-2</v>
      </c>
      <c r="T188" s="29">
        <v>0.04</v>
      </c>
      <c r="U188" s="29">
        <v>4.2000000000000003E-2</v>
      </c>
      <c r="V188" s="65">
        <v>4.4999999999999998E-2</v>
      </c>
      <c r="W188" s="117" t="s">
        <v>344</v>
      </c>
      <c r="X188" s="117" t="s">
        <v>344</v>
      </c>
    </row>
    <row r="189" spans="1:24" x14ac:dyDescent="0.2">
      <c r="A189" s="30" t="s">
        <v>207</v>
      </c>
      <c r="B189" s="16" t="s">
        <v>182</v>
      </c>
      <c r="C189" s="16" t="s">
        <v>96</v>
      </c>
      <c r="D189" s="29" t="s">
        <v>190</v>
      </c>
      <c r="E189" s="29" t="s">
        <v>190</v>
      </c>
      <c r="F189" s="29" t="s">
        <v>190</v>
      </c>
      <c r="G189" s="29" t="s">
        <v>190</v>
      </c>
      <c r="H189" s="29" t="s">
        <v>190</v>
      </c>
      <c r="I189" s="29" t="s">
        <v>190</v>
      </c>
      <c r="J189" s="29" t="s">
        <v>190</v>
      </c>
      <c r="K189" s="29" t="s">
        <v>190</v>
      </c>
      <c r="L189" s="29">
        <v>0.08</v>
      </c>
      <c r="M189" s="29">
        <v>6.2E-2</v>
      </c>
      <c r="N189" s="29">
        <v>6.2E-2</v>
      </c>
      <c r="O189" s="29">
        <v>7.5999999999999998E-2</v>
      </c>
      <c r="P189" s="29">
        <v>0.08</v>
      </c>
      <c r="Q189" s="29">
        <v>8.6999999999999994E-2</v>
      </c>
      <c r="R189" s="29">
        <v>8.199999999999999E-2</v>
      </c>
      <c r="S189" s="29">
        <v>9.6999999999999989E-2</v>
      </c>
      <c r="T189" s="29">
        <v>0.11900000000000001</v>
      </c>
      <c r="U189" s="29">
        <v>0.114</v>
      </c>
      <c r="V189" s="65">
        <v>9.5000000000000001E-2</v>
      </c>
      <c r="W189" s="117" t="s">
        <v>344</v>
      </c>
      <c r="X189" s="117" t="s">
        <v>344</v>
      </c>
    </row>
    <row r="190" spans="1:24" x14ac:dyDescent="0.2">
      <c r="A190" s="30" t="s">
        <v>207</v>
      </c>
      <c r="B190" s="16" t="s">
        <v>182</v>
      </c>
      <c r="C190" s="16" t="s">
        <v>59</v>
      </c>
      <c r="D190" s="29" t="s">
        <v>190</v>
      </c>
      <c r="E190" s="29" t="s">
        <v>190</v>
      </c>
      <c r="F190" s="29" t="s">
        <v>190</v>
      </c>
      <c r="G190" s="29" t="s">
        <v>190</v>
      </c>
      <c r="H190" s="29" t="s">
        <v>190</v>
      </c>
      <c r="I190" s="29" t="s">
        <v>190</v>
      </c>
      <c r="J190" s="29" t="s">
        <v>190</v>
      </c>
      <c r="K190" s="29" t="s">
        <v>190</v>
      </c>
      <c r="L190" s="29">
        <v>0.185</v>
      </c>
      <c r="M190" s="29">
        <v>0.223</v>
      </c>
      <c r="N190" s="29" t="s">
        <v>256</v>
      </c>
      <c r="O190" s="29" t="s">
        <v>256</v>
      </c>
      <c r="P190" s="29">
        <v>0.16399999999999998</v>
      </c>
      <c r="Q190" s="29">
        <v>0.16800000000000001</v>
      </c>
      <c r="R190" s="29" t="s">
        <v>256</v>
      </c>
      <c r="S190" s="29" t="s">
        <v>256</v>
      </c>
      <c r="T190" s="29" t="s">
        <v>256</v>
      </c>
      <c r="U190" s="29" t="s">
        <v>256</v>
      </c>
      <c r="V190" s="29" t="s">
        <v>256</v>
      </c>
      <c r="W190" s="117" t="s">
        <v>344</v>
      </c>
      <c r="X190" s="117" t="s">
        <v>344</v>
      </c>
    </row>
    <row r="191" spans="1:24" x14ac:dyDescent="0.2">
      <c r="A191" s="30" t="s">
        <v>207</v>
      </c>
      <c r="B191" s="16" t="s">
        <v>182</v>
      </c>
      <c r="C191" s="16" t="s">
        <v>60</v>
      </c>
      <c r="D191" s="29" t="s">
        <v>190</v>
      </c>
      <c r="E191" s="29" t="s">
        <v>190</v>
      </c>
      <c r="F191" s="29" t="s">
        <v>190</v>
      </c>
      <c r="G191" s="29" t="s">
        <v>190</v>
      </c>
      <c r="H191" s="29" t="s">
        <v>190</v>
      </c>
      <c r="I191" s="29" t="s">
        <v>190</v>
      </c>
      <c r="J191" s="29" t="s">
        <v>190</v>
      </c>
      <c r="K191" s="29" t="s">
        <v>190</v>
      </c>
      <c r="L191" s="29">
        <v>0.109</v>
      </c>
      <c r="M191" s="29">
        <v>0.11199999999999999</v>
      </c>
      <c r="N191" s="29">
        <v>8.900000000000001E-2</v>
      </c>
      <c r="O191" s="29">
        <v>0.11199999999999999</v>
      </c>
      <c r="P191" s="29">
        <v>0.122</v>
      </c>
      <c r="Q191" s="29">
        <v>9.6999999999999989E-2</v>
      </c>
      <c r="R191" s="29">
        <v>0.124</v>
      </c>
      <c r="S191" s="29">
        <v>0.115</v>
      </c>
      <c r="T191" s="29">
        <v>0.14300000000000002</v>
      </c>
      <c r="U191" s="29">
        <v>0.16399999999999998</v>
      </c>
      <c r="V191" s="65">
        <v>0.22899999999999998</v>
      </c>
      <c r="W191" s="117" t="s">
        <v>344</v>
      </c>
      <c r="X191" s="117" t="s">
        <v>344</v>
      </c>
    </row>
    <row r="192" spans="1:24" x14ac:dyDescent="0.2">
      <c r="A192" s="30" t="s">
        <v>207</v>
      </c>
      <c r="B192" s="16" t="s">
        <v>182</v>
      </c>
      <c r="C192" s="16" t="s">
        <v>97</v>
      </c>
      <c r="D192" s="29" t="s">
        <v>190</v>
      </c>
      <c r="E192" s="29" t="s">
        <v>190</v>
      </c>
      <c r="F192" s="29" t="s">
        <v>190</v>
      </c>
      <c r="G192" s="29" t="s">
        <v>190</v>
      </c>
      <c r="H192" s="29" t="s">
        <v>190</v>
      </c>
      <c r="I192" s="29" t="s">
        <v>190</v>
      </c>
      <c r="J192" s="29" t="s">
        <v>190</v>
      </c>
      <c r="K192" s="29" t="s">
        <v>190</v>
      </c>
      <c r="L192" s="29">
        <v>0.122</v>
      </c>
      <c r="M192" s="29">
        <v>0.13100000000000001</v>
      </c>
      <c r="N192" s="29">
        <v>0.122</v>
      </c>
      <c r="O192" s="29">
        <v>9.9000000000000005E-2</v>
      </c>
      <c r="P192" s="29">
        <v>0.106</v>
      </c>
      <c r="Q192" s="29">
        <v>9.6999999999999989E-2</v>
      </c>
      <c r="R192" s="29">
        <v>0.14699999999999999</v>
      </c>
      <c r="S192" s="29">
        <v>0.14000000000000001</v>
      </c>
      <c r="T192" s="29">
        <v>0.19699999999999998</v>
      </c>
      <c r="U192" s="29">
        <v>0.182</v>
      </c>
      <c r="V192" s="65">
        <v>0.18</v>
      </c>
      <c r="W192" s="117" t="s">
        <v>344</v>
      </c>
      <c r="X192" s="117" t="s">
        <v>344</v>
      </c>
    </row>
    <row r="193" spans="1:24" x14ac:dyDescent="0.2">
      <c r="A193" s="30" t="s">
        <v>207</v>
      </c>
      <c r="B193" s="16" t="s">
        <v>182</v>
      </c>
      <c r="C193" s="16" t="s">
        <v>61</v>
      </c>
      <c r="D193" s="29" t="s">
        <v>190</v>
      </c>
      <c r="E193" s="29" t="s">
        <v>190</v>
      </c>
      <c r="F193" s="29" t="s">
        <v>190</v>
      </c>
      <c r="G193" s="29" t="s">
        <v>190</v>
      </c>
      <c r="H193" s="29" t="s">
        <v>190</v>
      </c>
      <c r="I193" s="29" t="s">
        <v>190</v>
      </c>
      <c r="J193" s="29" t="s">
        <v>190</v>
      </c>
      <c r="K193" s="29" t="s">
        <v>190</v>
      </c>
      <c r="L193" s="29">
        <v>8.6999999999999994E-2</v>
      </c>
      <c r="M193" s="29">
        <v>7.9000000000000001E-2</v>
      </c>
      <c r="N193" s="29">
        <v>8.4000000000000005E-2</v>
      </c>
      <c r="O193" s="29">
        <v>8.5000000000000006E-2</v>
      </c>
      <c r="P193" s="29">
        <v>8.4000000000000005E-2</v>
      </c>
      <c r="Q193" s="29">
        <v>7.8E-2</v>
      </c>
      <c r="R193" s="29">
        <v>8.4000000000000005E-2</v>
      </c>
      <c r="S193" s="29">
        <v>8.8000000000000009E-2</v>
      </c>
      <c r="T193" s="29">
        <v>0.13300000000000001</v>
      </c>
      <c r="U193" s="29">
        <v>0.114</v>
      </c>
      <c r="V193" s="65">
        <v>0.106</v>
      </c>
      <c r="W193" s="117" t="s">
        <v>344</v>
      </c>
      <c r="X193" s="117" t="s">
        <v>344</v>
      </c>
    </row>
    <row r="194" spans="1:24" x14ac:dyDescent="0.2">
      <c r="A194" s="30" t="s">
        <v>207</v>
      </c>
      <c r="B194" s="16" t="s">
        <v>182</v>
      </c>
      <c r="C194" s="16" t="s">
        <v>62</v>
      </c>
      <c r="D194" s="29" t="s">
        <v>190</v>
      </c>
      <c r="E194" s="29" t="s">
        <v>190</v>
      </c>
      <c r="F194" s="29" t="s">
        <v>190</v>
      </c>
      <c r="G194" s="29" t="s">
        <v>190</v>
      </c>
      <c r="H194" s="29" t="s">
        <v>190</v>
      </c>
      <c r="I194" s="29" t="s">
        <v>190</v>
      </c>
      <c r="J194" s="29" t="s">
        <v>190</v>
      </c>
      <c r="K194" s="29" t="s">
        <v>190</v>
      </c>
      <c r="L194" s="29">
        <v>3.2000000000000001E-2</v>
      </c>
      <c r="M194" s="29">
        <v>3.1E-2</v>
      </c>
      <c r="N194" s="29">
        <v>3.4000000000000002E-2</v>
      </c>
      <c r="O194" s="29">
        <v>3.2000000000000001E-2</v>
      </c>
      <c r="P194" s="29">
        <v>3.4000000000000002E-2</v>
      </c>
      <c r="Q194" s="29">
        <v>3.3000000000000002E-2</v>
      </c>
      <c r="R194" s="29">
        <v>3.2000000000000001E-2</v>
      </c>
      <c r="S194" s="29">
        <v>3.3000000000000002E-2</v>
      </c>
      <c r="T194" s="29">
        <v>0.04</v>
      </c>
      <c r="U194" s="29">
        <v>4.2999999999999997E-2</v>
      </c>
      <c r="V194" s="65">
        <v>4.5999999999999999E-2</v>
      </c>
      <c r="W194" s="117" t="s">
        <v>344</v>
      </c>
      <c r="X194" s="117" t="s">
        <v>344</v>
      </c>
    </row>
    <row r="195" spans="1:24" x14ac:dyDescent="0.2">
      <c r="A195" s="30" t="s">
        <v>207</v>
      </c>
      <c r="B195" s="16" t="s">
        <v>182</v>
      </c>
      <c r="C195" s="16" t="s">
        <v>63</v>
      </c>
      <c r="D195" s="29" t="s">
        <v>190</v>
      </c>
      <c r="E195" s="29" t="s">
        <v>190</v>
      </c>
      <c r="F195" s="29" t="s">
        <v>190</v>
      </c>
      <c r="G195" s="29" t="s">
        <v>190</v>
      </c>
      <c r="H195" s="29" t="s">
        <v>190</v>
      </c>
      <c r="I195" s="29" t="s">
        <v>190</v>
      </c>
      <c r="J195" s="29" t="s">
        <v>190</v>
      </c>
      <c r="K195" s="29" t="s">
        <v>190</v>
      </c>
      <c r="L195" s="29">
        <v>3.9E-2</v>
      </c>
      <c r="M195" s="29">
        <v>3.5000000000000003E-2</v>
      </c>
      <c r="N195" s="29">
        <v>3.4000000000000002E-2</v>
      </c>
      <c r="O195" s="29">
        <v>3.3000000000000002E-2</v>
      </c>
      <c r="P195" s="29">
        <v>3.7000000000000005E-2</v>
      </c>
      <c r="Q195" s="29">
        <v>3.9E-2</v>
      </c>
      <c r="R195" s="29">
        <v>4.2999999999999997E-2</v>
      </c>
      <c r="S195" s="29">
        <v>4.2999999999999997E-2</v>
      </c>
      <c r="T195" s="29">
        <v>5.5999999999999994E-2</v>
      </c>
      <c r="U195" s="29">
        <v>5.2999999999999999E-2</v>
      </c>
      <c r="V195" s="65">
        <v>6.4000000000000001E-2</v>
      </c>
      <c r="W195" s="117" t="s">
        <v>344</v>
      </c>
      <c r="X195" s="117" t="s">
        <v>344</v>
      </c>
    </row>
    <row r="196" spans="1:24" x14ac:dyDescent="0.2">
      <c r="A196" s="30" t="s">
        <v>207</v>
      </c>
      <c r="B196" s="16" t="s">
        <v>182</v>
      </c>
      <c r="C196" s="16" t="s">
        <v>64</v>
      </c>
      <c r="D196" s="29" t="s">
        <v>190</v>
      </c>
      <c r="E196" s="29" t="s">
        <v>190</v>
      </c>
      <c r="F196" s="29" t="s">
        <v>190</v>
      </c>
      <c r="G196" s="29" t="s">
        <v>190</v>
      </c>
      <c r="H196" s="29" t="s">
        <v>190</v>
      </c>
      <c r="I196" s="29" t="s">
        <v>190</v>
      </c>
      <c r="J196" s="29" t="s">
        <v>190</v>
      </c>
      <c r="K196" s="29" t="s">
        <v>190</v>
      </c>
      <c r="L196" s="29">
        <v>2.2000000000000002E-2</v>
      </c>
      <c r="M196" s="29">
        <v>2.3E-2</v>
      </c>
      <c r="N196" s="29">
        <v>2.4E-2</v>
      </c>
      <c r="O196" s="29">
        <v>2.4E-2</v>
      </c>
      <c r="P196" s="29">
        <v>2.5000000000000001E-2</v>
      </c>
      <c r="Q196" s="29">
        <v>2.4E-2</v>
      </c>
      <c r="R196" s="29">
        <v>2.3E-2</v>
      </c>
      <c r="S196" s="29">
        <v>2.4E-2</v>
      </c>
      <c r="T196" s="29">
        <v>2.7999999999999997E-2</v>
      </c>
      <c r="U196" s="29">
        <v>3.2000000000000001E-2</v>
      </c>
      <c r="V196" s="65">
        <v>3.2000000000000001E-2</v>
      </c>
      <c r="W196" s="117" t="s">
        <v>344</v>
      </c>
      <c r="X196" s="117" t="s">
        <v>344</v>
      </c>
    </row>
    <row r="197" spans="1:24" x14ac:dyDescent="0.2">
      <c r="A197" s="30" t="s">
        <v>207</v>
      </c>
      <c r="B197" s="16" t="s">
        <v>182</v>
      </c>
      <c r="C197" s="16" t="s">
        <v>65</v>
      </c>
      <c r="D197" s="29" t="s">
        <v>190</v>
      </c>
      <c r="E197" s="29" t="s">
        <v>190</v>
      </c>
      <c r="F197" s="29" t="s">
        <v>190</v>
      </c>
      <c r="G197" s="29" t="s">
        <v>190</v>
      </c>
      <c r="H197" s="29" t="s">
        <v>190</v>
      </c>
      <c r="I197" s="29" t="s">
        <v>190</v>
      </c>
      <c r="J197" s="29" t="s">
        <v>190</v>
      </c>
      <c r="K197" s="29" t="s">
        <v>190</v>
      </c>
      <c r="L197" s="29">
        <v>3.2000000000000001E-2</v>
      </c>
      <c r="M197" s="29">
        <v>3.3000000000000002E-2</v>
      </c>
      <c r="N197" s="29">
        <v>3.3000000000000002E-2</v>
      </c>
      <c r="O197" s="29">
        <v>3.5000000000000003E-2</v>
      </c>
      <c r="P197" s="29">
        <v>3.6000000000000004E-2</v>
      </c>
      <c r="Q197" s="29">
        <v>3.9E-2</v>
      </c>
      <c r="R197" s="29">
        <v>3.6000000000000004E-2</v>
      </c>
      <c r="S197" s="29">
        <v>3.5000000000000003E-2</v>
      </c>
      <c r="T197" s="29">
        <v>4.0999999999999995E-2</v>
      </c>
      <c r="U197" s="29">
        <v>4.4000000000000004E-2</v>
      </c>
      <c r="V197" s="65">
        <v>4.2999999999999997E-2</v>
      </c>
      <c r="W197" s="117" t="s">
        <v>344</v>
      </c>
      <c r="X197" s="117" t="s">
        <v>344</v>
      </c>
    </row>
    <row r="198" spans="1:24" x14ac:dyDescent="0.2">
      <c r="A198" s="30" t="s">
        <v>207</v>
      </c>
      <c r="B198" s="16" t="s">
        <v>182</v>
      </c>
      <c r="C198" s="16" t="s">
        <v>66</v>
      </c>
      <c r="D198" s="29" t="s">
        <v>190</v>
      </c>
      <c r="E198" s="29" t="s">
        <v>190</v>
      </c>
      <c r="F198" s="29" t="s">
        <v>190</v>
      </c>
      <c r="G198" s="29" t="s">
        <v>190</v>
      </c>
      <c r="H198" s="29" t="s">
        <v>190</v>
      </c>
      <c r="I198" s="29" t="s">
        <v>190</v>
      </c>
      <c r="J198" s="29" t="s">
        <v>190</v>
      </c>
      <c r="K198" s="29" t="s">
        <v>190</v>
      </c>
      <c r="L198" s="29">
        <v>6.8000000000000005E-2</v>
      </c>
      <c r="M198" s="29">
        <v>6.8000000000000005E-2</v>
      </c>
      <c r="N198" s="29">
        <v>6.5000000000000002E-2</v>
      </c>
      <c r="O198" s="29">
        <v>7.0999999999999994E-2</v>
      </c>
      <c r="P198" s="29">
        <v>7.2000000000000008E-2</v>
      </c>
      <c r="Q198" s="29">
        <v>6.2E-2</v>
      </c>
      <c r="R198" s="29">
        <v>7.0999999999999994E-2</v>
      </c>
      <c r="S198" s="29">
        <v>7.2000000000000008E-2</v>
      </c>
      <c r="T198" s="29">
        <v>8.5999999999999993E-2</v>
      </c>
      <c r="U198" s="29">
        <v>9.6000000000000002E-2</v>
      </c>
      <c r="V198" s="65">
        <v>0.109</v>
      </c>
      <c r="W198" s="117" t="s">
        <v>344</v>
      </c>
      <c r="X198" s="117" t="s">
        <v>344</v>
      </c>
    </row>
    <row r="199" spans="1:24" x14ac:dyDescent="0.2">
      <c r="A199" s="30" t="s">
        <v>207</v>
      </c>
      <c r="B199" s="16" t="s">
        <v>182</v>
      </c>
      <c r="C199" s="16" t="s">
        <v>67</v>
      </c>
      <c r="D199" s="29" t="s">
        <v>190</v>
      </c>
      <c r="E199" s="29" t="s">
        <v>190</v>
      </c>
      <c r="F199" s="29" t="s">
        <v>190</v>
      </c>
      <c r="G199" s="29" t="s">
        <v>190</v>
      </c>
      <c r="H199" s="29" t="s">
        <v>190</v>
      </c>
      <c r="I199" s="29" t="s">
        <v>190</v>
      </c>
      <c r="J199" s="29" t="s">
        <v>190</v>
      </c>
      <c r="K199" s="29" t="s">
        <v>190</v>
      </c>
      <c r="L199" s="29">
        <v>1.8000000000000002E-2</v>
      </c>
      <c r="M199" s="29">
        <v>1.8000000000000002E-2</v>
      </c>
      <c r="N199" s="29">
        <v>1.8000000000000002E-2</v>
      </c>
      <c r="O199" s="29">
        <v>1.9E-2</v>
      </c>
      <c r="P199" s="29">
        <v>2.1000000000000001E-2</v>
      </c>
      <c r="Q199" s="29">
        <v>1.9E-2</v>
      </c>
      <c r="R199" s="29">
        <v>1.8000000000000002E-2</v>
      </c>
      <c r="S199" s="29">
        <v>1.8000000000000002E-2</v>
      </c>
      <c r="T199" s="29">
        <v>2.3E-2</v>
      </c>
      <c r="U199" s="29">
        <v>2.3E-2</v>
      </c>
      <c r="V199" s="65">
        <v>2.4E-2</v>
      </c>
      <c r="W199" s="117" t="s">
        <v>344</v>
      </c>
      <c r="X199" s="117" t="s">
        <v>344</v>
      </c>
    </row>
    <row r="200" spans="1:24" x14ac:dyDescent="0.2">
      <c r="A200" s="30" t="s">
        <v>207</v>
      </c>
      <c r="B200" s="16" t="s">
        <v>182</v>
      </c>
      <c r="C200" s="16" t="s">
        <v>68</v>
      </c>
      <c r="D200" s="29" t="s">
        <v>190</v>
      </c>
      <c r="E200" s="29" t="s">
        <v>190</v>
      </c>
      <c r="F200" s="29" t="s">
        <v>190</v>
      </c>
      <c r="G200" s="29" t="s">
        <v>190</v>
      </c>
      <c r="H200" s="29" t="s">
        <v>190</v>
      </c>
      <c r="I200" s="29" t="s">
        <v>190</v>
      </c>
      <c r="J200" s="29" t="s">
        <v>190</v>
      </c>
      <c r="K200" s="29" t="s">
        <v>190</v>
      </c>
      <c r="L200" s="29">
        <v>2.6000000000000002E-2</v>
      </c>
      <c r="M200" s="29">
        <v>2.6000000000000002E-2</v>
      </c>
      <c r="N200" s="29">
        <v>2.7000000000000003E-2</v>
      </c>
      <c r="O200" s="29">
        <v>0.03</v>
      </c>
      <c r="P200" s="29">
        <v>3.2000000000000001E-2</v>
      </c>
      <c r="Q200" s="29">
        <v>3.1E-2</v>
      </c>
      <c r="R200" s="29">
        <v>3.3000000000000002E-2</v>
      </c>
      <c r="S200" s="29">
        <v>3.3000000000000002E-2</v>
      </c>
      <c r="T200" s="29">
        <v>3.9E-2</v>
      </c>
      <c r="U200" s="29">
        <v>4.5999999999999999E-2</v>
      </c>
      <c r="V200" s="65">
        <v>4.4000000000000004E-2</v>
      </c>
      <c r="W200" s="117" t="s">
        <v>344</v>
      </c>
      <c r="X200" s="117" t="s">
        <v>344</v>
      </c>
    </row>
    <row r="201" spans="1:24" x14ac:dyDescent="0.2">
      <c r="A201" s="30" t="s">
        <v>207</v>
      </c>
      <c r="B201" s="16" t="s">
        <v>182</v>
      </c>
      <c r="C201" s="16" t="s">
        <v>69</v>
      </c>
      <c r="D201" s="29" t="s">
        <v>190</v>
      </c>
      <c r="E201" s="29" t="s">
        <v>190</v>
      </c>
      <c r="F201" s="29" t="s">
        <v>190</v>
      </c>
      <c r="G201" s="29" t="s">
        <v>190</v>
      </c>
      <c r="H201" s="29" t="s">
        <v>190</v>
      </c>
      <c r="I201" s="29" t="s">
        <v>190</v>
      </c>
      <c r="J201" s="29" t="s">
        <v>190</v>
      </c>
      <c r="K201" s="29" t="s">
        <v>190</v>
      </c>
      <c r="L201" s="29">
        <v>2.1000000000000001E-2</v>
      </c>
      <c r="M201" s="29">
        <v>0.02</v>
      </c>
      <c r="N201" s="29">
        <v>0.02</v>
      </c>
      <c r="O201" s="29">
        <v>1.9E-2</v>
      </c>
      <c r="P201" s="29">
        <v>0.02</v>
      </c>
      <c r="Q201" s="29">
        <v>2.1000000000000001E-2</v>
      </c>
      <c r="R201" s="29">
        <v>0.02</v>
      </c>
      <c r="S201" s="29">
        <v>2.1000000000000001E-2</v>
      </c>
      <c r="T201" s="29">
        <v>2.7000000000000003E-2</v>
      </c>
      <c r="U201" s="29">
        <v>0.03</v>
      </c>
      <c r="V201" s="65">
        <v>2.7000000000000003E-2</v>
      </c>
      <c r="W201" s="117" t="s">
        <v>344</v>
      </c>
      <c r="X201" s="117" t="s">
        <v>344</v>
      </c>
    </row>
    <row r="202" spans="1:24" x14ac:dyDescent="0.2">
      <c r="A202" s="30" t="s">
        <v>207</v>
      </c>
      <c r="B202" s="16" t="s">
        <v>182</v>
      </c>
      <c r="C202" s="16" t="s">
        <v>70</v>
      </c>
      <c r="D202" s="29" t="s">
        <v>190</v>
      </c>
      <c r="E202" s="29" t="s">
        <v>190</v>
      </c>
      <c r="F202" s="29" t="s">
        <v>190</v>
      </c>
      <c r="G202" s="29" t="s">
        <v>190</v>
      </c>
      <c r="H202" s="29" t="s">
        <v>190</v>
      </c>
      <c r="I202" s="29" t="s">
        <v>190</v>
      </c>
      <c r="J202" s="29" t="s">
        <v>190</v>
      </c>
      <c r="K202" s="29" t="s">
        <v>190</v>
      </c>
      <c r="L202" s="29">
        <v>9.6000000000000002E-2</v>
      </c>
      <c r="M202" s="29">
        <v>0.109</v>
      </c>
      <c r="N202" s="29">
        <v>0.109</v>
      </c>
      <c r="O202" s="29">
        <v>8.3000000000000004E-2</v>
      </c>
      <c r="P202" s="29">
        <v>0.10099999999999999</v>
      </c>
      <c r="Q202" s="29">
        <v>0.1</v>
      </c>
      <c r="R202" s="29">
        <v>0.125</v>
      </c>
      <c r="S202" s="29">
        <v>0.13100000000000001</v>
      </c>
      <c r="T202" s="29">
        <v>0.18</v>
      </c>
      <c r="U202" s="29" t="s">
        <v>256</v>
      </c>
      <c r="V202" s="65">
        <v>0.193</v>
      </c>
      <c r="W202" s="117" t="s">
        <v>344</v>
      </c>
      <c r="X202" s="117" t="s">
        <v>344</v>
      </c>
    </row>
    <row r="203" spans="1:24" x14ac:dyDescent="0.2">
      <c r="A203" s="30" t="s">
        <v>207</v>
      </c>
      <c r="B203" s="16" t="s">
        <v>182</v>
      </c>
      <c r="C203" s="16" t="s">
        <v>71</v>
      </c>
      <c r="D203" s="29" t="s">
        <v>190</v>
      </c>
      <c r="E203" s="29" t="s">
        <v>190</v>
      </c>
      <c r="F203" s="29" t="s">
        <v>190</v>
      </c>
      <c r="G203" s="29" t="s">
        <v>190</v>
      </c>
      <c r="H203" s="29" t="s">
        <v>190</v>
      </c>
      <c r="I203" s="29" t="s">
        <v>190</v>
      </c>
      <c r="J203" s="29" t="s">
        <v>190</v>
      </c>
      <c r="K203" s="29" t="s">
        <v>190</v>
      </c>
      <c r="L203" s="29">
        <v>0.12300000000000001</v>
      </c>
      <c r="M203" s="29">
        <v>0.124</v>
      </c>
      <c r="N203" s="29">
        <v>0.10300000000000001</v>
      </c>
      <c r="O203" s="29">
        <v>0.13400000000000001</v>
      </c>
      <c r="P203" s="29">
        <v>0.17100000000000001</v>
      </c>
      <c r="Q203" s="29">
        <v>0.14199999999999999</v>
      </c>
      <c r="R203" s="29">
        <v>0.14199999999999999</v>
      </c>
      <c r="S203" s="29">
        <v>0.155</v>
      </c>
      <c r="T203" s="29">
        <v>0.17100000000000001</v>
      </c>
      <c r="U203" s="29">
        <v>0.17600000000000002</v>
      </c>
      <c r="V203" s="65">
        <v>0.13900000000000001</v>
      </c>
      <c r="W203" s="117" t="s">
        <v>344</v>
      </c>
      <c r="X203" s="117" t="s">
        <v>344</v>
      </c>
    </row>
    <row r="204" spans="1:24" x14ac:dyDescent="0.2">
      <c r="A204" s="30" t="s">
        <v>207</v>
      </c>
      <c r="B204" s="16" t="s">
        <v>182</v>
      </c>
      <c r="C204" s="16" t="s">
        <v>72</v>
      </c>
      <c r="D204" s="29" t="s">
        <v>190</v>
      </c>
      <c r="E204" s="29" t="s">
        <v>190</v>
      </c>
      <c r="F204" s="29" t="s">
        <v>190</v>
      </c>
      <c r="G204" s="29" t="s">
        <v>190</v>
      </c>
      <c r="H204" s="29" t="s">
        <v>190</v>
      </c>
      <c r="I204" s="29" t="s">
        <v>190</v>
      </c>
      <c r="J204" s="29" t="s">
        <v>190</v>
      </c>
      <c r="K204" s="29" t="s">
        <v>190</v>
      </c>
      <c r="L204" s="29">
        <v>4.0999999999999995E-2</v>
      </c>
      <c r="M204" s="29">
        <v>4.2000000000000003E-2</v>
      </c>
      <c r="N204" s="29">
        <v>3.9E-2</v>
      </c>
      <c r="O204" s="29">
        <v>4.2000000000000003E-2</v>
      </c>
      <c r="P204" s="29">
        <v>4.5999999999999999E-2</v>
      </c>
      <c r="Q204" s="29">
        <v>4.5999999999999999E-2</v>
      </c>
      <c r="R204" s="29">
        <v>4.4000000000000004E-2</v>
      </c>
      <c r="S204" s="29">
        <v>4.2000000000000003E-2</v>
      </c>
      <c r="T204" s="29">
        <v>5.0999999999999997E-2</v>
      </c>
      <c r="U204" s="29">
        <v>6.5000000000000002E-2</v>
      </c>
      <c r="V204" s="65">
        <v>4.9000000000000002E-2</v>
      </c>
      <c r="W204" s="117" t="s">
        <v>344</v>
      </c>
      <c r="X204" s="117" t="s">
        <v>344</v>
      </c>
    </row>
    <row r="205" spans="1:24" x14ac:dyDescent="0.2">
      <c r="A205" s="30" t="s">
        <v>207</v>
      </c>
      <c r="B205" s="16" t="s">
        <v>182</v>
      </c>
      <c r="C205" s="16" t="s">
        <v>73</v>
      </c>
      <c r="D205" s="29" t="s">
        <v>190</v>
      </c>
      <c r="E205" s="29" t="s">
        <v>190</v>
      </c>
      <c r="F205" s="29" t="s">
        <v>190</v>
      </c>
      <c r="G205" s="29" t="s">
        <v>190</v>
      </c>
      <c r="H205" s="29" t="s">
        <v>190</v>
      </c>
      <c r="I205" s="29" t="s">
        <v>190</v>
      </c>
      <c r="J205" s="29" t="s">
        <v>190</v>
      </c>
      <c r="K205" s="29" t="s">
        <v>190</v>
      </c>
      <c r="L205" s="29">
        <v>0.107</v>
      </c>
      <c r="M205" s="29">
        <v>0.107</v>
      </c>
      <c r="N205" s="29">
        <v>0.105</v>
      </c>
      <c r="O205" s="29">
        <v>9.6000000000000002E-2</v>
      </c>
      <c r="P205" s="29">
        <v>0.105</v>
      </c>
      <c r="Q205" s="29">
        <v>0.111</v>
      </c>
      <c r="R205" s="29">
        <v>0.126</v>
      </c>
      <c r="S205" s="29">
        <v>0.105</v>
      </c>
      <c r="T205" s="29">
        <v>0.128</v>
      </c>
      <c r="U205" s="29">
        <v>0.20300000000000001</v>
      </c>
      <c r="V205" s="65">
        <v>0.156</v>
      </c>
      <c r="W205" s="117" t="s">
        <v>344</v>
      </c>
      <c r="X205" s="117" t="s">
        <v>344</v>
      </c>
    </row>
    <row r="206" spans="1:24" x14ac:dyDescent="0.2">
      <c r="A206" s="30" t="s">
        <v>207</v>
      </c>
      <c r="B206" s="16" t="s">
        <v>182</v>
      </c>
      <c r="C206" s="16" t="s">
        <v>53</v>
      </c>
      <c r="D206" s="29" t="s">
        <v>190</v>
      </c>
      <c r="E206" s="29" t="s">
        <v>190</v>
      </c>
      <c r="F206" s="29" t="s">
        <v>190</v>
      </c>
      <c r="G206" s="29" t="s">
        <v>190</v>
      </c>
      <c r="H206" s="29" t="s">
        <v>190</v>
      </c>
      <c r="I206" s="29" t="s">
        <v>190</v>
      </c>
      <c r="J206" s="29" t="s">
        <v>190</v>
      </c>
      <c r="K206" s="29" t="s">
        <v>190</v>
      </c>
      <c r="L206" s="29">
        <v>1.3999999999999999E-2</v>
      </c>
      <c r="M206" s="29">
        <v>1.3999999999999999E-2</v>
      </c>
      <c r="N206" s="29">
        <v>1.3999999999999999E-2</v>
      </c>
      <c r="O206" s="29">
        <v>1.3999999999999999E-2</v>
      </c>
      <c r="P206" s="29">
        <v>1.3999999999999999E-2</v>
      </c>
      <c r="Q206" s="29">
        <v>1.3999999999999999E-2</v>
      </c>
      <c r="R206" s="29">
        <v>1.4999999999999999E-2</v>
      </c>
      <c r="S206" s="29">
        <v>1.3999999999999999E-2</v>
      </c>
      <c r="T206" s="29">
        <v>1.7000000000000001E-2</v>
      </c>
      <c r="U206" s="29">
        <v>1.7000000000000001E-2</v>
      </c>
      <c r="V206" s="65">
        <v>1.8000000000000002E-2</v>
      </c>
      <c r="W206" s="117" t="s">
        <v>344</v>
      </c>
      <c r="X206" s="117" t="s">
        <v>344</v>
      </c>
    </row>
    <row r="207" spans="1:24" x14ac:dyDescent="0.2">
      <c r="A207" s="30" t="s">
        <v>207</v>
      </c>
      <c r="B207" s="16" t="s">
        <v>182</v>
      </c>
      <c r="C207" s="16" t="s">
        <v>74</v>
      </c>
      <c r="D207" s="29" t="s">
        <v>190</v>
      </c>
      <c r="E207" s="29" t="s">
        <v>190</v>
      </c>
      <c r="F207" s="29" t="s">
        <v>190</v>
      </c>
      <c r="G207" s="29" t="s">
        <v>190</v>
      </c>
      <c r="H207" s="29" t="s">
        <v>190</v>
      </c>
      <c r="I207" s="29" t="s">
        <v>190</v>
      </c>
      <c r="J207" s="29" t="s">
        <v>190</v>
      </c>
      <c r="K207" s="29" t="s">
        <v>190</v>
      </c>
      <c r="L207" s="29">
        <v>0.14000000000000001</v>
      </c>
      <c r="M207" s="29">
        <v>0.14699999999999999</v>
      </c>
      <c r="N207" s="29">
        <v>0.156</v>
      </c>
      <c r="O207" s="29">
        <v>0.13100000000000001</v>
      </c>
      <c r="P207" s="29">
        <v>0.159</v>
      </c>
      <c r="Q207" s="29">
        <v>0.11800000000000001</v>
      </c>
      <c r="R207" s="29">
        <v>0.18899999999999997</v>
      </c>
      <c r="S207" s="29" t="s">
        <v>256</v>
      </c>
      <c r="T207" s="29">
        <v>0.17</v>
      </c>
      <c r="U207" s="29" t="s">
        <v>256</v>
      </c>
      <c r="V207" s="29" t="s">
        <v>256</v>
      </c>
      <c r="W207" s="117" t="s">
        <v>344</v>
      </c>
      <c r="X207" s="117" t="s">
        <v>344</v>
      </c>
    </row>
    <row r="208" spans="1:24" x14ac:dyDescent="0.2">
      <c r="A208" s="30" t="s">
        <v>207</v>
      </c>
      <c r="B208" s="16" t="s">
        <v>182</v>
      </c>
      <c r="C208" s="16" t="s">
        <v>75</v>
      </c>
      <c r="D208" s="29" t="s">
        <v>190</v>
      </c>
      <c r="E208" s="29" t="s">
        <v>190</v>
      </c>
      <c r="F208" s="29" t="s">
        <v>190</v>
      </c>
      <c r="G208" s="29" t="s">
        <v>190</v>
      </c>
      <c r="H208" s="29" t="s">
        <v>190</v>
      </c>
      <c r="I208" s="29" t="s">
        <v>190</v>
      </c>
      <c r="J208" s="29" t="s">
        <v>190</v>
      </c>
      <c r="K208" s="29" t="s">
        <v>190</v>
      </c>
      <c r="L208" s="29">
        <v>3.3000000000000002E-2</v>
      </c>
      <c r="M208" s="29">
        <v>3.1E-2</v>
      </c>
      <c r="N208" s="29">
        <v>3.2000000000000001E-2</v>
      </c>
      <c r="O208" s="29">
        <v>3.4000000000000002E-2</v>
      </c>
      <c r="P208" s="29">
        <v>3.2000000000000001E-2</v>
      </c>
      <c r="Q208" s="29">
        <v>3.3000000000000002E-2</v>
      </c>
      <c r="R208" s="29">
        <v>3.3000000000000002E-2</v>
      </c>
      <c r="S208" s="29">
        <v>3.7000000000000005E-2</v>
      </c>
      <c r="T208" s="29">
        <v>4.2999999999999997E-2</v>
      </c>
      <c r="U208" s="29">
        <v>4.4000000000000004E-2</v>
      </c>
      <c r="V208" s="65">
        <v>4.8000000000000001E-2</v>
      </c>
      <c r="W208" s="117" t="s">
        <v>344</v>
      </c>
      <c r="X208" s="117" t="s">
        <v>344</v>
      </c>
    </row>
    <row r="209" spans="1:24" x14ac:dyDescent="0.2">
      <c r="A209" s="30" t="s">
        <v>207</v>
      </c>
      <c r="B209" s="16" t="s">
        <v>182</v>
      </c>
      <c r="C209" s="16" t="s">
        <v>76</v>
      </c>
      <c r="D209" s="29" t="s">
        <v>190</v>
      </c>
      <c r="E209" s="29" t="s">
        <v>190</v>
      </c>
      <c r="F209" s="29" t="s">
        <v>190</v>
      </c>
      <c r="G209" s="29" t="s">
        <v>190</v>
      </c>
      <c r="H209" s="29" t="s">
        <v>190</v>
      </c>
      <c r="I209" s="29" t="s">
        <v>190</v>
      </c>
      <c r="J209" s="29" t="s">
        <v>190</v>
      </c>
      <c r="K209" s="29" t="s">
        <v>190</v>
      </c>
      <c r="L209" s="29">
        <v>5.0999999999999997E-2</v>
      </c>
      <c r="M209" s="29">
        <v>4.8000000000000001E-2</v>
      </c>
      <c r="N209" s="29">
        <v>4.9000000000000002E-2</v>
      </c>
      <c r="O209" s="29">
        <v>5.2999999999999999E-2</v>
      </c>
      <c r="P209" s="29">
        <v>6.6000000000000003E-2</v>
      </c>
      <c r="Q209" s="29">
        <v>6.4000000000000001E-2</v>
      </c>
      <c r="R209" s="29">
        <v>6.9000000000000006E-2</v>
      </c>
      <c r="S209" s="29">
        <v>6.9000000000000006E-2</v>
      </c>
      <c r="T209" s="29">
        <v>7.2999999999999995E-2</v>
      </c>
      <c r="U209" s="29">
        <v>0.106</v>
      </c>
      <c r="V209" s="65">
        <v>9.6000000000000002E-2</v>
      </c>
      <c r="W209" s="117" t="s">
        <v>344</v>
      </c>
      <c r="X209" s="117" t="s">
        <v>344</v>
      </c>
    </row>
    <row r="210" spans="1:24" x14ac:dyDescent="0.2">
      <c r="A210" s="30" t="s">
        <v>207</v>
      </c>
      <c r="B210" s="16" t="s">
        <v>182</v>
      </c>
      <c r="C210" s="16" t="s">
        <v>77</v>
      </c>
      <c r="D210" s="29" t="s">
        <v>190</v>
      </c>
      <c r="E210" s="29" t="s">
        <v>190</v>
      </c>
      <c r="F210" s="29" t="s">
        <v>190</v>
      </c>
      <c r="G210" s="29" t="s">
        <v>190</v>
      </c>
      <c r="H210" s="29" t="s">
        <v>190</v>
      </c>
      <c r="I210" s="29" t="s">
        <v>190</v>
      </c>
      <c r="J210" s="29" t="s">
        <v>190</v>
      </c>
      <c r="K210" s="29" t="s">
        <v>190</v>
      </c>
      <c r="L210" s="29">
        <v>4.0999999999999995E-2</v>
      </c>
      <c r="M210" s="29">
        <v>4.2000000000000003E-2</v>
      </c>
      <c r="N210" s="29">
        <v>3.9E-2</v>
      </c>
      <c r="O210" s="29">
        <v>3.9E-2</v>
      </c>
      <c r="P210" s="29">
        <v>4.7E-2</v>
      </c>
      <c r="Q210" s="29">
        <v>4.2999999999999997E-2</v>
      </c>
      <c r="R210" s="29">
        <v>4.4000000000000004E-2</v>
      </c>
      <c r="S210" s="29">
        <v>5.0999999999999997E-2</v>
      </c>
      <c r="T210" s="29">
        <v>0.06</v>
      </c>
      <c r="U210" s="29">
        <v>7.2000000000000008E-2</v>
      </c>
      <c r="V210" s="65">
        <v>7.5999999999999998E-2</v>
      </c>
      <c r="W210" s="117" t="s">
        <v>344</v>
      </c>
      <c r="X210" s="117" t="s">
        <v>344</v>
      </c>
    </row>
    <row r="211" spans="1:24" x14ac:dyDescent="0.2">
      <c r="A211" s="30" t="s">
        <v>207</v>
      </c>
      <c r="B211" s="16" t="s">
        <v>182</v>
      </c>
      <c r="C211" s="16" t="s">
        <v>78</v>
      </c>
      <c r="D211" s="29" t="s">
        <v>190</v>
      </c>
      <c r="E211" s="29" t="s">
        <v>190</v>
      </c>
      <c r="F211" s="29" t="s">
        <v>190</v>
      </c>
      <c r="G211" s="29" t="s">
        <v>190</v>
      </c>
      <c r="H211" s="29" t="s">
        <v>190</v>
      </c>
      <c r="I211" s="29" t="s">
        <v>190</v>
      </c>
      <c r="J211" s="29" t="s">
        <v>190</v>
      </c>
      <c r="K211" s="29" t="s">
        <v>190</v>
      </c>
      <c r="L211" s="29">
        <v>2.4E-2</v>
      </c>
      <c r="M211" s="29">
        <v>2.5000000000000001E-2</v>
      </c>
      <c r="N211" s="29">
        <v>2.4E-2</v>
      </c>
      <c r="O211" s="29">
        <v>2.7000000000000003E-2</v>
      </c>
      <c r="P211" s="29">
        <v>2.7999999999999997E-2</v>
      </c>
      <c r="Q211" s="29">
        <v>2.6000000000000002E-2</v>
      </c>
      <c r="R211" s="29">
        <v>2.7000000000000003E-2</v>
      </c>
      <c r="S211" s="29">
        <v>2.7000000000000003E-2</v>
      </c>
      <c r="T211" s="29">
        <v>3.5000000000000003E-2</v>
      </c>
      <c r="U211" s="29">
        <v>3.7000000000000005E-2</v>
      </c>
      <c r="V211" s="65">
        <v>3.5000000000000003E-2</v>
      </c>
      <c r="W211" s="117" t="s">
        <v>344</v>
      </c>
      <c r="X211" s="117" t="s">
        <v>344</v>
      </c>
    </row>
    <row r="212" spans="1:24" x14ac:dyDescent="0.2">
      <c r="A212" s="30" t="s">
        <v>207</v>
      </c>
      <c r="B212" s="16" t="s">
        <v>182</v>
      </c>
      <c r="C212" s="16" t="s">
        <v>79</v>
      </c>
      <c r="D212" s="29" t="s">
        <v>190</v>
      </c>
      <c r="E212" s="29" t="s">
        <v>190</v>
      </c>
      <c r="F212" s="29" t="s">
        <v>190</v>
      </c>
      <c r="G212" s="29" t="s">
        <v>190</v>
      </c>
      <c r="H212" s="29" t="s">
        <v>190</v>
      </c>
      <c r="I212" s="29" t="s">
        <v>190</v>
      </c>
      <c r="J212" s="29" t="s">
        <v>190</v>
      </c>
      <c r="K212" s="29" t="s">
        <v>190</v>
      </c>
      <c r="L212" s="29">
        <v>2.7000000000000003E-2</v>
      </c>
      <c r="M212" s="29">
        <v>2.7000000000000003E-2</v>
      </c>
      <c r="N212" s="29">
        <v>2.5000000000000001E-2</v>
      </c>
      <c r="O212" s="29">
        <v>2.7000000000000003E-2</v>
      </c>
      <c r="P212" s="29">
        <v>2.8999999999999998E-2</v>
      </c>
      <c r="Q212" s="29">
        <v>2.8999999999999998E-2</v>
      </c>
      <c r="R212" s="29">
        <v>2.7999999999999997E-2</v>
      </c>
      <c r="S212" s="29">
        <v>2.8999999999999998E-2</v>
      </c>
      <c r="T212" s="29">
        <v>3.7999999999999999E-2</v>
      </c>
      <c r="U212" s="29">
        <v>4.2999999999999997E-2</v>
      </c>
      <c r="V212" s="65">
        <v>0.04</v>
      </c>
      <c r="W212" s="117" t="s">
        <v>344</v>
      </c>
      <c r="X212" s="117" t="s">
        <v>344</v>
      </c>
    </row>
    <row r="213" spans="1:24" x14ac:dyDescent="0.2">
      <c r="A213" s="30" t="s">
        <v>207</v>
      </c>
      <c r="B213" s="16" t="s">
        <v>182</v>
      </c>
      <c r="C213" s="16" t="s">
        <v>80</v>
      </c>
      <c r="D213" s="29" t="s">
        <v>190</v>
      </c>
      <c r="E213" s="29" t="s">
        <v>190</v>
      </c>
      <c r="F213" s="29" t="s">
        <v>190</v>
      </c>
      <c r="G213" s="29" t="s">
        <v>190</v>
      </c>
      <c r="H213" s="29" t="s">
        <v>190</v>
      </c>
      <c r="I213" s="29" t="s">
        <v>190</v>
      </c>
      <c r="J213" s="29" t="s">
        <v>190</v>
      </c>
      <c r="K213" s="29" t="s">
        <v>190</v>
      </c>
      <c r="L213" s="29">
        <v>0.09</v>
      </c>
      <c r="M213" s="29">
        <v>8.1000000000000003E-2</v>
      </c>
      <c r="N213" s="29">
        <v>6.3E-2</v>
      </c>
      <c r="O213" s="29">
        <v>7.6999999999999999E-2</v>
      </c>
      <c r="P213" s="29">
        <v>8.199999999999999E-2</v>
      </c>
      <c r="Q213" s="29">
        <v>7.8E-2</v>
      </c>
      <c r="R213" s="29">
        <v>9.4E-2</v>
      </c>
      <c r="S213" s="29">
        <v>9.1999999999999998E-2</v>
      </c>
      <c r="T213" s="29">
        <v>7.0000000000000007E-2</v>
      </c>
      <c r="U213" s="29">
        <v>0.11</v>
      </c>
      <c r="V213" s="65">
        <v>0.114</v>
      </c>
      <c r="W213" s="117" t="s">
        <v>344</v>
      </c>
      <c r="X213" s="117" t="s">
        <v>344</v>
      </c>
    </row>
    <row r="214" spans="1:24" x14ac:dyDescent="0.2">
      <c r="A214" s="30" t="s">
        <v>207</v>
      </c>
      <c r="B214" s="16" t="s">
        <v>182</v>
      </c>
      <c r="C214" s="16" t="s">
        <v>81</v>
      </c>
      <c r="D214" s="29" t="s">
        <v>190</v>
      </c>
      <c r="E214" s="29" t="s">
        <v>190</v>
      </c>
      <c r="F214" s="29" t="s">
        <v>190</v>
      </c>
      <c r="G214" s="29" t="s">
        <v>190</v>
      </c>
      <c r="H214" s="29" t="s">
        <v>190</v>
      </c>
      <c r="I214" s="29" t="s">
        <v>190</v>
      </c>
      <c r="J214" s="29" t="s">
        <v>190</v>
      </c>
      <c r="K214" s="29" t="s">
        <v>190</v>
      </c>
      <c r="L214" s="29">
        <v>2.4E-2</v>
      </c>
      <c r="M214" s="29">
        <v>2.5000000000000001E-2</v>
      </c>
      <c r="N214" s="29">
        <v>2.4E-2</v>
      </c>
      <c r="O214" s="29">
        <v>2.4E-2</v>
      </c>
      <c r="P214" s="29">
        <v>2.6000000000000002E-2</v>
      </c>
      <c r="Q214" s="29">
        <v>2.7000000000000003E-2</v>
      </c>
      <c r="R214" s="29">
        <v>2.7999999999999997E-2</v>
      </c>
      <c r="S214" s="29">
        <v>2.7999999999999997E-2</v>
      </c>
      <c r="T214" s="29">
        <v>3.4000000000000002E-2</v>
      </c>
      <c r="U214" s="29">
        <v>3.7999999999999999E-2</v>
      </c>
      <c r="V214" s="65">
        <v>3.9E-2</v>
      </c>
      <c r="W214" s="117" t="s">
        <v>344</v>
      </c>
      <c r="X214" s="117" t="s">
        <v>344</v>
      </c>
    </row>
    <row r="215" spans="1:24" x14ac:dyDescent="0.2">
      <c r="A215" s="30" t="s">
        <v>207</v>
      </c>
      <c r="B215" s="16" t="s">
        <v>182</v>
      </c>
      <c r="C215" s="16" t="s">
        <v>82</v>
      </c>
      <c r="D215" s="29" t="s">
        <v>190</v>
      </c>
      <c r="E215" s="29" t="s">
        <v>190</v>
      </c>
      <c r="F215" s="29" t="s">
        <v>190</v>
      </c>
      <c r="G215" s="29" t="s">
        <v>190</v>
      </c>
      <c r="H215" s="29" t="s">
        <v>190</v>
      </c>
      <c r="I215" s="29" t="s">
        <v>190</v>
      </c>
      <c r="J215" s="29" t="s">
        <v>190</v>
      </c>
      <c r="K215" s="29" t="s">
        <v>190</v>
      </c>
      <c r="L215" s="29">
        <v>0.106</v>
      </c>
      <c r="M215" s="29">
        <v>0.10800000000000001</v>
      </c>
      <c r="N215" s="29">
        <v>0.105</v>
      </c>
      <c r="O215" s="29">
        <v>0.14099999999999999</v>
      </c>
      <c r="P215" s="29">
        <v>0.113</v>
      </c>
      <c r="Q215" s="29">
        <v>0.11</v>
      </c>
      <c r="R215" s="29">
        <v>0.125</v>
      </c>
      <c r="S215" s="29">
        <v>0.10199999999999999</v>
      </c>
      <c r="T215" s="29">
        <v>0.153</v>
      </c>
      <c r="U215" s="29">
        <v>0.20800000000000002</v>
      </c>
      <c r="V215" s="29" t="s">
        <v>256</v>
      </c>
      <c r="W215" s="117" t="s">
        <v>344</v>
      </c>
      <c r="X215" s="117" t="s">
        <v>344</v>
      </c>
    </row>
    <row r="216" spans="1:24" x14ac:dyDescent="0.2">
      <c r="A216" s="30" t="s">
        <v>207</v>
      </c>
      <c r="B216" s="16" t="s">
        <v>182</v>
      </c>
      <c r="C216" s="16" t="s">
        <v>83</v>
      </c>
      <c r="D216" s="29" t="s">
        <v>190</v>
      </c>
      <c r="E216" s="29" t="s">
        <v>190</v>
      </c>
      <c r="F216" s="29" t="s">
        <v>190</v>
      </c>
      <c r="G216" s="29" t="s">
        <v>190</v>
      </c>
      <c r="H216" s="29" t="s">
        <v>190</v>
      </c>
      <c r="I216" s="29" t="s">
        <v>190</v>
      </c>
      <c r="J216" s="29" t="s">
        <v>190</v>
      </c>
      <c r="K216" s="29" t="s">
        <v>190</v>
      </c>
      <c r="L216" s="29">
        <v>9.3000000000000013E-2</v>
      </c>
      <c r="M216" s="29">
        <v>0.10199999999999999</v>
      </c>
      <c r="N216" s="29">
        <v>9.6000000000000002E-2</v>
      </c>
      <c r="O216" s="29">
        <v>9.3000000000000013E-2</v>
      </c>
      <c r="P216" s="29">
        <v>0.111</v>
      </c>
      <c r="Q216" s="29">
        <v>0.11</v>
      </c>
      <c r="R216" s="29">
        <v>0.12</v>
      </c>
      <c r="S216" s="29">
        <v>0.129</v>
      </c>
      <c r="T216" s="29">
        <v>0.156</v>
      </c>
      <c r="U216" s="29">
        <v>0.14899999999999999</v>
      </c>
      <c r="V216" s="65">
        <v>0.151</v>
      </c>
      <c r="W216" s="117" t="s">
        <v>344</v>
      </c>
      <c r="X216" s="117" t="s">
        <v>344</v>
      </c>
    </row>
    <row r="217" spans="1:24" x14ac:dyDescent="0.2">
      <c r="A217" s="30" t="s">
        <v>207</v>
      </c>
      <c r="B217" s="16" t="s">
        <v>182</v>
      </c>
      <c r="C217" s="16" t="s">
        <v>84</v>
      </c>
      <c r="D217" s="29" t="s">
        <v>190</v>
      </c>
      <c r="E217" s="29" t="s">
        <v>190</v>
      </c>
      <c r="F217" s="29" t="s">
        <v>190</v>
      </c>
      <c r="G217" s="29" t="s">
        <v>190</v>
      </c>
      <c r="H217" s="29" t="s">
        <v>190</v>
      </c>
      <c r="I217" s="29" t="s">
        <v>190</v>
      </c>
      <c r="J217" s="29" t="s">
        <v>190</v>
      </c>
      <c r="K217" s="29" t="s">
        <v>190</v>
      </c>
      <c r="L217" s="29">
        <v>6.3E-2</v>
      </c>
      <c r="M217" s="29">
        <v>6.2E-2</v>
      </c>
      <c r="N217" s="29">
        <v>6.4000000000000001E-2</v>
      </c>
      <c r="O217" s="29">
        <v>7.4999999999999997E-2</v>
      </c>
      <c r="P217" s="29">
        <v>6.7000000000000004E-2</v>
      </c>
      <c r="Q217" s="29">
        <v>6.4000000000000001E-2</v>
      </c>
      <c r="R217" s="29">
        <v>8.3000000000000004E-2</v>
      </c>
      <c r="S217" s="29">
        <v>7.400000000000001E-2</v>
      </c>
      <c r="T217" s="29">
        <v>0.09</v>
      </c>
      <c r="U217" s="29">
        <v>0.122</v>
      </c>
      <c r="V217" s="65">
        <v>0.11900000000000001</v>
      </c>
      <c r="W217" s="117" t="s">
        <v>344</v>
      </c>
      <c r="X217" s="117" t="s">
        <v>344</v>
      </c>
    </row>
    <row r="218" spans="1:24" x14ac:dyDescent="0.2">
      <c r="A218" s="30" t="s">
        <v>207</v>
      </c>
      <c r="B218" s="16" t="s">
        <v>182</v>
      </c>
      <c r="C218" s="16" t="s">
        <v>15</v>
      </c>
      <c r="D218" s="29" t="s">
        <v>190</v>
      </c>
      <c r="E218" s="29" t="s">
        <v>190</v>
      </c>
      <c r="F218" s="29" t="s">
        <v>190</v>
      </c>
      <c r="G218" s="29" t="s">
        <v>190</v>
      </c>
      <c r="H218" s="29" t="s">
        <v>190</v>
      </c>
      <c r="I218" s="29" t="s">
        <v>190</v>
      </c>
      <c r="J218" s="29" t="s">
        <v>190</v>
      </c>
      <c r="K218" s="29" t="s">
        <v>190</v>
      </c>
      <c r="L218" s="29">
        <v>5.7000000000000002E-2</v>
      </c>
      <c r="M218" s="29">
        <v>0.06</v>
      </c>
      <c r="N218" s="29">
        <v>5.2000000000000005E-2</v>
      </c>
      <c r="O218" s="29">
        <v>5.9000000000000004E-2</v>
      </c>
      <c r="P218" s="29">
        <v>5.7999999999999996E-2</v>
      </c>
      <c r="Q218" s="29">
        <v>5.2999999999999999E-2</v>
      </c>
      <c r="R218" s="29">
        <v>5.5E-2</v>
      </c>
      <c r="S218" s="29">
        <v>6.6000000000000003E-2</v>
      </c>
      <c r="T218" s="29">
        <v>9.0999999999999998E-2</v>
      </c>
      <c r="U218" s="29">
        <v>0.14300000000000002</v>
      </c>
      <c r="V218" s="65">
        <v>0.11699999999999999</v>
      </c>
      <c r="W218" s="117" t="s">
        <v>344</v>
      </c>
      <c r="X218" s="117" t="s">
        <v>344</v>
      </c>
    </row>
    <row r="219" spans="1:24" x14ac:dyDescent="0.2">
      <c r="A219" s="30" t="s">
        <v>207</v>
      </c>
      <c r="B219" s="16" t="s">
        <v>182</v>
      </c>
      <c r="C219" s="16" t="s">
        <v>85</v>
      </c>
      <c r="D219" s="29" t="s">
        <v>190</v>
      </c>
      <c r="E219" s="29" t="s">
        <v>190</v>
      </c>
      <c r="F219" s="29" t="s">
        <v>190</v>
      </c>
      <c r="G219" s="29" t="s">
        <v>190</v>
      </c>
      <c r="H219" s="29" t="s">
        <v>190</v>
      </c>
      <c r="I219" s="29" t="s">
        <v>190</v>
      </c>
      <c r="J219" s="29" t="s">
        <v>190</v>
      </c>
      <c r="K219" s="29" t="s">
        <v>190</v>
      </c>
      <c r="L219" s="29">
        <v>0.03</v>
      </c>
      <c r="M219" s="29">
        <v>3.2000000000000001E-2</v>
      </c>
      <c r="N219" s="29">
        <v>3.2000000000000001E-2</v>
      </c>
      <c r="O219" s="29">
        <v>3.3000000000000002E-2</v>
      </c>
      <c r="P219" s="29">
        <v>3.7999999999999999E-2</v>
      </c>
      <c r="Q219" s="29">
        <v>3.5000000000000003E-2</v>
      </c>
      <c r="R219" s="29">
        <v>3.4000000000000002E-2</v>
      </c>
      <c r="S219" s="29">
        <v>3.3000000000000002E-2</v>
      </c>
      <c r="T219" s="29">
        <v>4.2000000000000003E-2</v>
      </c>
      <c r="U219" s="29">
        <v>4.0999999999999995E-2</v>
      </c>
      <c r="V219" s="65">
        <v>4.5999999999999999E-2</v>
      </c>
      <c r="W219" s="117" t="s">
        <v>344</v>
      </c>
      <c r="X219" s="117" t="s">
        <v>344</v>
      </c>
    </row>
    <row r="220" spans="1:24" x14ac:dyDescent="0.2">
      <c r="A220" s="30" t="s">
        <v>207</v>
      </c>
      <c r="B220" s="16" t="s">
        <v>182</v>
      </c>
      <c r="C220" s="16" t="s">
        <v>86</v>
      </c>
      <c r="D220" s="29" t="s">
        <v>190</v>
      </c>
      <c r="E220" s="29" t="s">
        <v>190</v>
      </c>
      <c r="F220" s="29" t="s">
        <v>190</v>
      </c>
      <c r="G220" s="29" t="s">
        <v>190</v>
      </c>
      <c r="H220" s="29" t="s">
        <v>190</v>
      </c>
      <c r="I220" s="29" t="s">
        <v>190</v>
      </c>
      <c r="J220" s="29" t="s">
        <v>190</v>
      </c>
      <c r="K220" s="29" t="s">
        <v>190</v>
      </c>
      <c r="L220" s="29">
        <v>0.08</v>
      </c>
      <c r="M220" s="29">
        <v>8.199999999999999E-2</v>
      </c>
      <c r="N220" s="29">
        <v>8.199999999999999E-2</v>
      </c>
      <c r="O220" s="29">
        <v>7.4999999999999997E-2</v>
      </c>
      <c r="P220" s="29">
        <v>0.1</v>
      </c>
      <c r="Q220" s="29">
        <v>8.3000000000000004E-2</v>
      </c>
      <c r="R220" s="29">
        <v>7.9000000000000001E-2</v>
      </c>
      <c r="S220" s="29">
        <v>7.5999999999999998E-2</v>
      </c>
      <c r="T220" s="29">
        <v>9.3000000000000013E-2</v>
      </c>
      <c r="U220" s="29">
        <v>0.107</v>
      </c>
      <c r="V220" s="65">
        <v>0.11800000000000001</v>
      </c>
      <c r="W220" s="117" t="s">
        <v>344</v>
      </c>
      <c r="X220" s="117" t="s">
        <v>344</v>
      </c>
    </row>
    <row r="221" spans="1:24" x14ac:dyDescent="0.2">
      <c r="A221" s="30" t="s">
        <v>207</v>
      </c>
      <c r="B221" s="16" t="s">
        <v>182</v>
      </c>
      <c r="C221" s="16" t="s">
        <v>87</v>
      </c>
      <c r="D221" s="29" t="s">
        <v>190</v>
      </c>
      <c r="E221" s="29" t="s">
        <v>190</v>
      </c>
      <c r="F221" s="29" t="s">
        <v>190</v>
      </c>
      <c r="G221" s="29" t="s">
        <v>190</v>
      </c>
      <c r="H221" s="29" t="s">
        <v>190</v>
      </c>
      <c r="I221" s="29" t="s">
        <v>190</v>
      </c>
      <c r="J221" s="29" t="s">
        <v>190</v>
      </c>
      <c r="K221" s="29" t="s">
        <v>190</v>
      </c>
      <c r="L221" s="29">
        <v>9.6000000000000002E-2</v>
      </c>
      <c r="M221" s="29">
        <v>8.5999999999999993E-2</v>
      </c>
      <c r="N221" s="29">
        <v>9.0999999999999998E-2</v>
      </c>
      <c r="O221" s="29">
        <v>9.1999999999999998E-2</v>
      </c>
      <c r="P221" s="29">
        <v>0.115</v>
      </c>
      <c r="Q221" s="29">
        <v>0.105</v>
      </c>
      <c r="R221" s="29">
        <v>0.09</v>
      </c>
      <c r="S221" s="29">
        <v>0.12300000000000001</v>
      </c>
      <c r="T221" s="29">
        <v>9.4E-2</v>
      </c>
      <c r="U221" s="29">
        <v>0.13</v>
      </c>
      <c r="V221" s="65">
        <v>0.15</v>
      </c>
      <c r="W221" s="117" t="s">
        <v>344</v>
      </c>
      <c r="X221" s="117" t="s">
        <v>344</v>
      </c>
    </row>
    <row r="222" spans="1:24" x14ac:dyDescent="0.2">
      <c r="A222" s="30" t="s">
        <v>207</v>
      </c>
      <c r="B222" s="16" t="s">
        <v>182</v>
      </c>
      <c r="C222" s="16" t="s">
        <v>88</v>
      </c>
      <c r="D222" s="29" t="s">
        <v>190</v>
      </c>
      <c r="E222" s="29" t="s">
        <v>190</v>
      </c>
      <c r="F222" s="29" t="s">
        <v>190</v>
      </c>
      <c r="G222" s="29" t="s">
        <v>190</v>
      </c>
      <c r="H222" s="29" t="s">
        <v>190</v>
      </c>
      <c r="I222" s="29" t="s">
        <v>190</v>
      </c>
      <c r="J222" s="29" t="s">
        <v>190</v>
      </c>
      <c r="K222" s="29" t="s">
        <v>190</v>
      </c>
      <c r="L222" s="29">
        <v>0.14699999999999999</v>
      </c>
      <c r="M222" s="29">
        <v>0.17100000000000001</v>
      </c>
      <c r="N222" s="29">
        <v>0.21600000000000003</v>
      </c>
      <c r="O222" s="29">
        <v>0.21299999999999999</v>
      </c>
      <c r="P222" s="29">
        <v>0.221</v>
      </c>
      <c r="Q222" s="29">
        <v>0.24399999999999999</v>
      </c>
      <c r="R222" s="29">
        <v>0.17</v>
      </c>
      <c r="S222" s="29" t="s">
        <v>256</v>
      </c>
      <c r="T222" s="29" t="s">
        <v>256</v>
      </c>
      <c r="U222" s="29" t="s">
        <v>208</v>
      </c>
      <c r="V222" s="29" t="s">
        <v>208</v>
      </c>
      <c r="W222" s="117" t="s">
        <v>344</v>
      </c>
      <c r="X222" s="117" t="s">
        <v>344</v>
      </c>
    </row>
    <row r="223" spans="1:24" x14ac:dyDescent="0.2">
      <c r="A223" s="30" t="s">
        <v>207</v>
      </c>
      <c r="B223" s="16" t="s">
        <v>182</v>
      </c>
      <c r="C223" s="16" t="s">
        <v>18</v>
      </c>
      <c r="D223" s="29" t="s">
        <v>190</v>
      </c>
      <c r="E223" s="29" t="s">
        <v>190</v>
      </c>
      <c r="F223" s="29" t="s">
        <v>190</v>
      </c>
      <c r="G223" s="29" t="s">
        <v>190</v>
      </c>
      <c r="H223" s="29" t="s">
        <v>190</v>
      </c>
      <c r="I223" s="29" t="s">
        <v>190</v>
      </c>
      <c r="J223" s="29" t="s">
        <v>190</v>
      </c>
      <c r="K223" s="29" t="s">
        <v>190</v>
      </c>
      <c r="L223" s="29">
        <v>6.2E-2</v>
      </c>
      <c r="M223" s="29">
        <v>6.3E-2</v>
      </c>
      <c r="N223" s="29">
        <v>6.8000000000000005E-2</v>
      </c>
      <c r="O223" s="29">
        <v>5.5E-2</v>
      </c>
      <c r="P223" s="29">
        <v>5.9000000000000004E-2</v>
      </c>
      <c r="Q223" s="29">
        <v>6.9000000000000006E-2</v>
      </c>
      <c r="R223" s="29">
        <v>0.08</v>
      </c>
      <c r="S223" s="29">
        <v>9.8000000000000004E-2</v>
      </c>
      <c r="T223" s="29">
        <v>0.11599999999999999</v>
      </c>
      <c r="U223" s="29">
        <v>0.14400000000000002</v>
      </c>
      <c r="V223" s="65">
        <v>0.14300000000000002</v>
      </c>
      <c r="W223" s="117" t="s">
        <v>344</v>
      </c>
      <c r="X223" s="117" t="s">
        <v>344</v>
      </c>
    </row>
    <row r="224" spans="1:24" x14ac:dyDescent="0.2">
      <c r="A224" s="30" t="s">
        <v>207</v>
      </c>
      <c r="B224" s="16" t="s">
        <v>182</v>
      </c>
      <c r="C224" s="16" t="s">
        <v>89</v>
      </c>
      <c r="D224" s="29" t="s">
        <v>190</v>
      </c>
      <c r="E224" s="29" t="s">
        <v>190</v>
      </c>
      <c r="F224" s="29" t="s">
        <v>190</v>
      </c>
      <c r="G224" s="29" t="s">
        <v>190</v>
      </c>
      <c r="H224" s="29" t="s">
        <v>190</v>
      </c>
      <c r="I224" s="29" t="s">
        <v>190</v>
      </c>
      <c r="J224" s="29" t="s">
        <v>190</v>
      </c>
      <c r="K224" s="29" t="s">
        <v>190</v>
      </c>
      <c r="L224" s="29">
        <v>7.2999999999999995E-2</v>
      </c>
      <c r="M224" s="29">
        <v>7.6999999999999999E-2</v>
      </c>
      <c r="N224" s="29">
        <v>7.5999999999999998E-2</v>
      </c>
      <c r="O224" s="29">
        <v>8.900000000000001E-2</v>
      </c>
      <c r="P224" s="29">
        <v>0.10099999999999999</v>
      </c>
      <c r="Q224" s="29">
        <v>9.4E-2</v>
      </c>
      <c r="R224" s="29">
        <v>8.5000000000000006E-2</v>
      </c>
      <c r="S224" s="29">
        <v>8.4000000000000005E-2</v>
      </c>
      <c r="T224" s="29">
        <v>8.5000000000000006E-2</v>
      </c>
      <c r="U224" s="29">
        <v>0.10800000000000001</v>
      </c>
      <c r="V224" s="65">
        <v>8.5000000000000006E-2</v>
      </c>
      <c r="W224" s="117" t="s">
        <v>344</v>
      </c>
      <c r="X224" s="117" t="s">
        <v>344</v>
      </c>
    </row>
    <row r="225" spans="1:24" x14ac:dyDescent="0.2">
      <c r="A225" s="30" t="s">
        <v>207</v>
      </c>
      <c r="B225" s="16" t="s">
        <v>182</v>
      </c>
      <c r="C225" s="16" t="s">
        <v>90</v>
      </c>
      <c r="D225" s="29" t="s">
        <v>190</v>
      </c>
      <c r="E225" s="29" t="s">
        <v>190</v>
      </c>
      <c r="F225" s="29" t="s">
        <v>190</v>
      </c>
      <c r="G225" s="29" t="s">
        <v>190</v>
      </c>
      <c r="H225" s="29" t="s">
        <v>190</v>
      </c>
      <c r="I225" s="29" t="s">
        <v>190</v>
      </c>
      <c r="J225" s="29" t="s">
        <v>190</v>
      </c>
      <c r="K225" s="29" t="s">
        <v>190</v>
      </c>
      <c r="L225" s="29">
        <v>8.199999999999999E-2</v>
      </c>
      <c r="M225" s="29">
        <v>8.4000000000000005E-2</v>
      </c>
      <c r="N225" s="29">
        <v>7.0999999999999994E-2</v>
      </c>
      <c r="O225" s="29">
        <v>6.6000000000000003E-2</v>
      </c>
      <c r="P225" s="29">
        <v>8.6999999999999994E-2</v>
      </c>
      <c r="Q225" s="29">
        <v>7.400000000000001E-2</v>
      </c>
      <c r="R225" s="29">
        <v>0.10099999999999999</v>
      </c>
      <c r="S225" s="29">
        <v>0.10800000000000001</v>
      </c>
      <c r="T225" s="29">
        <v>0.114</v>
      </c>
      <c r="U225" s="29">
        <v>0.13400000000000001</v>
      </c>
      <c r="V225" s="65">
        <v>0.14699999999999999</v>
      </c>
      <c r="W225" s="117" t="s">
        <v>344</v>
      </c>
      <c r="X225" s="117" t="s">
        <v>344</v>
      </c>
    </row>
    <row r="226" spans="1:24" x14ac:dyDescent="0.2">
      <c r="A226" s="30" t="s">
        <v>207</v>
      </c>
      <c r="B226" s="16" t="s">
        <v>182</v>
      </c>
      <c r="C226" s="16" t="s">
        <v>91</v>
      </c>
      <c r="D226" s="29" t="s">
        <v>190</v>
      </c>
      <c r="E226" s="29" t="s">
        <v>190</v>
      </c>
      <c r="F226" s="29" t="s">
        <v>190</v>
      </c>
      <c r="G226" s="29" t="s">
        <v>190</v>
      </c>
      <c r="H226" s="29" t="s">
        <v>190</v>
      </c>
      <c r="I226" s="29" t="s">
        <v>190</v>
      </c>
      <c r="J226" s="29" t="s">
        <v>190</v>
      </c>
      <c r="K226" s="29" t="s">
        <v>190</v>
      </c>
      <c r="L226" s="29">
        <v>0.11699999999999999</v>
      </c>
      <c r="M226" s="29">
        <v>0.12300000000000001</v>
      </c>
      <c r="N226" s="29">
        <v>0.11800000000000001</v>
      </c>
      <c r="O226" s="29">
        <v>0.12300000000000001</v>
      </c>
      <c r="P226" s="29">
        <v>0.14099999999999999</v>
      </c>
      <c r="Q226" s="29">
        <v>8.5999999999999993E-2</v>
      </c>
      <c r="R226" s="29">
        <v>0.11800000000000001</v>
      </c>
      <c r="S226" s="29">
        <v>0.185</v>
      </c>
      <c r="T226" s="29">
        <v>0.161</v>
      </c>
      <c r="U226" s="29">
        <v>0.19600000000000001</v>
      </c>
      <c r="V226" s="65">
        <v>0.191</v>
      </c>
      <c r="W226" s="117" t="s">
        <v>344</v>
      </c>
      <c r="X226" s="117" t="s">
        <v>344</v>
      </c>
    </row>
    <row r="227" spans="1:24" x14ac:dyDescent="0.2">
      <c r="A227" s="30" t="s">
        <v>207</v>
      </c>
      <c r="B227" s="16" t="s">
        <v>182</v>
      </c>
      <c r="C227" s="16" t="s">
        <v>92</v>
      </c>
      <c r="D227" s="29" t="s">
        <v>190</v>
      </c>
      <c r="E227" s="29" t="s">
        <v>190</v>
      </c>
      <c r="F227" s="29" t="s">
        <v>190</v>
      </c>
      <c r="G227" s="29" t="s">
        <v>190</v>
      </c>
      <c r="H227" s="29" t="s">
        <v>190</v>
      </c>
      <c r="I227" s="29" t="s">
        <v>190</v>
      </c>
      <c r="J227" s="29" t="s">
        <v>190</v>
      </c>
      <c r="K227" s="29" t="s">
        <v>190</v>
      </c>
      <c r="L227" s="29">
        <v>0.105</v>
      </c>
      <c r="M227" s="29">
        <v>0.1</v>
      </c>
      <c r="N227" s="29">
        <v>9.3000000000000013E-2</v>
      </c>
      <c r="O227" s="29">
        <v>0.121</v>
      </c>
      <c r="P227" s="29">
        <v>0.128</v>
      </c>
      <c r="Q227" s="29">
        <v>0.106</v>
      </c>
      <c r="R227" s="29">
        <v>0.11</v>
      </c>
      <c r="S227" s="29">
        <v>0.105</v>
      </c>
      <c r="T227" s="29">
        <v>0.11</v>
      </c>
      <c r="U227" s="29">
        <v>0.129</v>
      </c>
      <c r="V227" s="65">
        <v>0.16</v>
      </c>
      <c r="W227" s="117" t="s">
        <v>344</v>
      </c>
      <c r="X227" s="117" t="s">
        <v>344</v>
      </c>
    </row>
    <row r="228" spans="1:24" x14ac:dyDescent="0.2">
      <c r="A228" s="30" t="s">
        <v>207</v>
      </c>
      <c r="B228" s="16" t="s">
        <v>182</v>
      </c>
      <c r="C228" s="16" t="s">
        <v>93</v>
      </c>
      <c r="D228" s="29" t="s">
        <v>190</v>
      </c>
      <c r="E228" s="29" t="s">
        <v>190</v>
      </c>
      <c r="F228" s="29" t="s">
        <v>190</v>
      </c>
      <c r="G228" s="29" t="s">
        <v>190</v>
      </c>
      <c r="H228" s="29" t="s">
        <v>190</v>
      </c>
      <c r="I228" s="29" t="s">
        <v>190</v>
      </c>
      <c r="J228" s="29" t="s">
        <v>190</v>
      </c>
      <c r="K228" s="29" t="s">
        <v>190</v>
      </c>
      <c r="L228" s="29">
        <v>0.17</v>
      </c>
      <c r="M228" s="29">
        <v>0.183</v>
      </c>
      <c r="N228" s="29">
        <v>0.129</v>
      </c>
      <c r="O228" s="29">
        <v>0.247</v>
      </c>
      <c r="P228" s="29" t="s">
        <v>256</v>
      </c>
      <c r="Q228" s="29">
        <v>0.23699999999999999</v>
      </c>
      <c r="R228" s="29" t="s">
        <v>256</v>
      </c>
      <c r="S228" s="29" t="s">
        <v>256</v>
      </c>
      <c r="T228" s="29">
        <v>0.19800000000000001</v>
      </c>
      <c r="U228" s="29" t="s">
        <v>256</v>
      </c>
      <c r="V228" s="29" t="s">
        <v>256</v>
      </c>
      <c r="W228" s="117" t="s">
        <v>344</v>
      </c>
      <c r="X228" s="117" t="s">
        <v>344</v>
      </c>
    </row>
    <row r="229" spans="1:24" x14ac:dyDescent="0.2">
      <c r="A229" s="30" t="s">
        <v>207</v>
      </c>
      <c r="B229" s="16" t="s">
        <v>182</v>
      </c>
      <c r="C229" s="16" t="s">
        <v>94</v>
      </c>
      <c r="D229" s="29" t="s">
        <v>190</v>
      </c>
      <c r="E229" s="29" t="s">
        <v>190</v>
      </c>
      <c r="F229" s="29" t="s">
        <v>190</v>
      </c>
      <c r="G229" s="29" t="s">
        <v>190</v>
      </c>
      <c r="H229" s="29" t="s">
        <v>190</v>
      </c>
      <c r="I229" s="29" t="s">
        <v>190</v>
      </c>
      <c r="J229" s="29" t="s">
        <v>190</v>
      </c>
      <c r="K229" s="29" t="s">
        <v>190</v>
      </c>
      <c r="L229" s="29">
        <v>0.06</v>
      </c>
      <c r="M229" s="29">
        <v>5.4000000000000006E-2</v>
      </c>
      <c r="N229" s="29">
        <v>5.2000000000000005E-2</v>
      </c>
      <c r="O229" s="29">
        <v>5.0999999999999997E-2</v>
      </c>
      <c r="P229" s="29">
        <v>0.05</v>
      </c>
      <c r="Q229" s="29">
        <v>4.2000000000000003E-2</v>
      </c>
      <c r="R229" s="29">
        <v>4.2000000000000003E-2</v>
      </c>
      <c r="S229" s="29">
        <v>4.2999999999999997E-2</v>
      </c>
      <c r="T229" s="29">
        <v>4.7E-2</v>
      </c>
      <c r="U229" s="29">
        <v>5.9000000000000004E-2</v>
      </c>
      <c r="V229" s="65">
        <v>6.2E-2</v>
      </c>
      <c r="W229" s="117" t="s">
        <v>344</v>
      </c>
      <c r="X229" s="117" t="s">
        <v>344</v>
      </c>
    </row>
    <row r="230" spans="1:24" x14ac:dyDescent="0.2">
      <c r="A230" s="30" t="s">
        <v>207</v>
      </c>
      <c r="B230" s="16" t="s">
        <v>182</v>
      </c>
      <c r="C230" s="16" t="s">
        <v>95</v>
      </c>
      <c r="D230" s="29" t="s">
        <v>190</v>
      </c>
      <c r="E230" s="29" t="s">
        <v>190</v>
      </c>
      <c r="F230" s="29" t="s">
        <v>190</v>
      </c>
      <c r="G230" s="29" t="s">
        <v>190</v>
      </c>
      <c r="H230" s="29" t="s">
        <v>190</v>
      </c>
      <c r="I230" s="29" t="s">
        <v>190</v>
      </c>
      <c r="J230" s="29" t="s">
        <v>190</v>
      </c>
      <c r="K230" s="29" t="s">
        <v>190</v>
      </c>
      <c r="L230" s="29">
        <v>0.111</v>
      </c>
      <c r="M230" s="29">
        <v>0.122</v>
      </c>
      <c r="N230" s="29">
        <v>0.124</v>
      </c>
      <c r="O230" s="29">
        <v>0.111</v>
      </c>
      <c r="P230" s="29">
        <v>0.159</v>
      </c>
      <c r="Q230" s="29">
        <v>0.17300000000000001</v>
      </c>
      <c r="R230" s="29">
        <v>0.192</v>
      </c>
      <c r="S230" s="29">
        <v>0.20100000000000001</v>
      </c>
      <c r="T230" s="29">
        <v>0.23899999999999999</v>
      </c>
      <c r="U230" s="29" t="s">
        <v>256</v>
      </c>
      <c r="V230" s="29" t="s">
        <v>256</v>
      </c>
      <c r="W230" s="117" t="s">
        <v>344</v>
      </c>
      <c r="X230" s="117" t="s">
        <v>344</v>
      </c>
    </row>
    <row r="231" spans="1:24" ht="30" customHeight="1" x14ac:dyDescent="0.2">
      <c r="A231" s="30" t="s">
        <v>207</v>
      </c>
      <c r="B231" s="17" t="s">
        <v>183</v>
      </c>
      <c r="C231" s="17" t="s">
        <v>112</v>
      </c>
      <c r="D231" s="33" t="s">
        <v>190</v>
      </c>
      <c r="E231" s="33" t="s">
        <v>190</v>
      </c>
      <c r="F231" s="33" t="s">
        <v>190</v>
      </c>
      <c r="G231" s="33" t="s">
        <v>190</v>
      </c>
      <c r="H231" s="33" t="s">
        <v>190</v>
      </c>
      <c r="I231" s="33" t="s">
        <v>190</v>
      </c>
      <c r="J231" s="29" t="s">
        <v>190</v>
      </c>
      <c r="K231" s="29" t="s">
        <v>190</v>
      </c>
      <c r="L231" s="29">
        <v>3.7999999999999999E-2</v>
      </c>
      <c r="M231" s="29">
        <v>3.6000000000000004E-2</v>
      </c>
      <c r="N231" s="29">
        <v>3.3000000000000002E-2</v>
      </c>
      <c r="O231" s="29">
        <v>3.9E-2</v>
      </c>
      <c r="P231" s="29">
        <v>3.7999999999999999E-2</v>
      </c>
      <c r="Q231" s="29">
        <v>3.4000000000000002E-2</v>
      </c>
      <c r="R231" s="29">
        <v>4.0999999999999995E-2</v>
      </c>
      <c r="S231" s="29">
        <v>0.04</v>
      </c>
      <c r="T231" s="29">
        <v>4.4999999999999998E-2</v>
      </c>
      <c r="U231" s="29">
        <v>5.5999999999999994E-2</v>
      </c>
      <c r="V231" s="65">
        <v>6.5000000000000002E-2</v>
      </c>
      <c r="W231" s="117" t="s">
        <v>344</v>
      </c>
      <c r="X231" s="117" t="s">
        <v>344</v>
      </c>
    </row>
    <row r="232" spans="1:24" x14ac:dyDescent="0.2">
      <c r="A232" s="30" t="s">
        <v>207</v>
      </c>
      <c r="B232" s="17" t="s">
        <v>183</v>
      </c>
      <c r="C232" s="9" t="s">
        <v>113</v>
      </c>
      <c r="D232" s="33" t="s">
        <v>190</v>
      </c>
      <c r="E232" s="33" t="s">
        <v>190</v>
      </c>
      <c r="F232" s="33" t="s">
        <v>190</v>
      </c>
      <c r="G232" s="33" t="s">
        <v>190</v>
      </c>
      <c r="H232" s="33" t="s">
        <v>190</v>
      </c>
      <c r="I232" s="33" t="s">
        <v>190</v>
      </c>
      <c r="J232" s="29" t="s">
        <v>190</v>
      </c>
      <c r="K232" s="29" t="s">
        <v>190</v>
      </c>
      <c r="L232" s="29">
        <v>6.6000000000000003E-2</v>
      </c>
      <c r="M232" s="29">
        <v>7.2999999999999995E-2</v>
      </c>
      <c r="N232" s="29">
        <v>7.400000000000001E-2</v>
      </c>
      <c r="O232" s="29">
        <v>6.9000000000000006E-2</v>
      </c>
      <c r="P232" s="29">
        <v>8.4000000000000005E-2</v>
      </c>
      <c r="Q232" s="29">
        <v>6.7000000000000004E-2</v>
      </c>
      <c r="R232" s="29">
        <v>8.900000000000001E-2</v>
      </c>
      <c r="S232" s="29">
        <v>0.122</v>
      </c>
      <c r="T232" s="29">
        <v>9.6999999999999989E-2</v>
      </c>
      <c r="U232" s="29">
        <v>0.14899999999999999</v>
      </c>
      <c r="V232" s="65">
        <v>0.14400000000000002</v>
      </c>
      <c r="W232" s="117" t="s">
        <v>344</v>
      </c>
      <c r="X232" s="117" t="s">
        <v>344</v>
      </c>
    </row>
    <row r="233" spans="1:24" x14ac:dyDescent="0.2">
      <c r="A233" s="30" t="s">
        <v>207</v>
      </c>
      <c r="B233" s="17" t="s">
        <v>183</v>
      </c>
      <c r="C233" s="9" t="s">
        <v>114</v>
      </c>
      <c r="D233" s="33" t="s">
        <v>190</v>
      </c>
      <c r="E233" s="33" t="s">
        <v>190</v>
      </c>
      <c r="F233" s="33" t="s">
        <v>190</v>
      </c>
      <c r="G233" s="33" t="s">
        <v>190</v>
      </c>
      <c r="H233" s="33" t="s">
        <v>190</v>
      </c>
      <c r="I233" s="33" t="s">
        <v>190</v>
      </c>
      <c r="J233" s="29" t="s">
        <v>190</v>
      </c>
      <c r="K233" s="29" t="s">
        <v>190</v>
      </c>
      <c r="L233" s="29">
        <v>3.6000000000000004E-2</v>
      </c>
      <c r="M233" s="29">
        <v>3.9E-2</v>
      </c>
      <c r="N233" s="29">
        <v>3.6000000000000004E-2</v>
      </c>
      <c r="O233" s="29">
        <v>3.6000000000000004E-2</v>
      </c>
      <c r="P233" s="29">
        <v>4.2000000000000003E-2</v>
      </c>
      <c r="Q233" s="29">
        <v>3.7999999999999999E-2</v>
      </c>
      <c r="R233" s="29">
        <v>3.9E-2</v>
      </c>
      <c r="S233" s="29">
        <v>4.5999999999999999E-2</v>
      </c>
      <c r="T233" s="29">
        <v>5.4000000000000006E-2</v>
      </c>
      <c r="U233" s="29">
        <v>6.5000000000000002E-2</v>
      </c>
      <c r="V233" s="65">
        <v>7.0000000000000007E-2</v>
      </c>
      <c r="W233" s="117" t="s">
        <v>344</v>
      </c>
      <c r="X233" s="117" t="s">
        <v>344</v>
      </c>
    </row>
    <row r="234" spans="1:24" x14ac:dyDescent="0.2">
      <c r="A234" s="30" t="s">
        <v>207</v>
      </c>
      <c r="B234" s="17" t="s">
        <v>183</v>
      </c>
      <c r="C234" s="9" t="s">
        <v>115</v>
      </c>
      <c r="D234" s="33" t="s">
        <v>190</v>
      </c>
      <c r="E234" s="33" t="s">
        <v>190</v>
      </c>
      <c r="F234" s="33" t="s">
        <v>190</v>
      </c>
      <c r="G234" s="33" t="s">
        <v>190</v>
      </c>
      <c r="H234" s="33" t="s">
        <v>190</v>
      </c>
      <c r="I234" s="33" t="s">
        <v>190</v>
      </c>
      <c r="J234" s="29" t="s">
        <v>190</v>
      </c>
      <c r="K234" s="29" t="s">
        <v>190</v>
      </c>
      <c r="L234" s="29">
        <v>7.400000000000001E-2</v>
      </c>
      <c r="M234" s="29">
        <v>8.1000000000000003E-2</v>
      </c>
      <c r="N234" s="29">
        <v>8.5999999999999993E-2</v>
      </c>
      <c r="O234" s="29">
        <v>7.8E-2</v>
      </c>
      <c r="P234" s="29">
        <v>8.3000000000000004E-2</v>
      </c>
      <c r="Q234" s="29">
        <v>8.5000000000000006E-2</v>
      </c>
      <c r="R234" s="29">
        <v>9.5000000000000001E-2</v>
      </c>
      <c r="S234" s="29">
        <v>0.11199999999999999</v>
      </c>
      <c r="T234" s="29">
        <v>0.124</v>
      </c>
      <c r="U234" s="29">
        <v>0.17499999999999999</v>
      </c>
      <c r="V234" s="65">
        <v>0.16600000000000001</v>
      </c>
      <c r="W234" s="117" t="s">
        <v>344</v>
      </c>
      <c r="X234" s="117" t="s">
        <v>344</v>
      </c>
    </row>
    <row r="235" spans="1:24" x14ac:dyDescent="0.2">
      <c r="A235" s="30" t="s">
        <v>207</v>
      </c>
      <c r="B235" s="17" t="s">
        <v>183</v>
      </c>
      <c r="C235" s="9" t="s">
        <v>13</v>
      </c>
      <c r="D235" s="33" t="s">
        <v>190</v>
      </c>
      <c r="E235" s="33" t="s">
        <v>190</v>
      </c>
      <c r="F235" s="33" t="s">
        <v>190</v>
      </c>
      <c r="G235" s="33" t="s">
        <v>190</v>
      </c>
      <c r="H235" s="33" t="s">
        <v>190</v>
      </c>
      <c r="I235" s="33" t="s">
        <v>190</v>
      </c>
      <c r="J235" s="29" t="s">
        <v>190</v>
      </c>
      <c r="K235" s="29" t="s">
        <v>190</v>
      </c>
      <c r="L235" s="29">
        <v>2.7000000000000003E-2</v>
      </c>
      <c r="M235" s="29">
        <v>2.6000000000000002E-2</v>
      </c>
      <c r="N235" s="29">
        <v>2.7000000000000003E-2</v>
      </c>
      <c r="O235" s="29">
        <v>3.1E-2</v>
      </c>
      <c r="P235" s="29">
        <v>3.3000000000000002E-2</v>
      </c>
      <c r="Q235" s="29">
        <v>3.2000000000000001E-2</v>
      </c>
      <c r="R235" s="29">
        <v>3.4000000000000002E-2</v>
      </c>
      <c r="S235" s="29">
        <v>3.4000000000000002E-2</v>
      </c>
      <c r="T235" s="29">
        <v>4.0999999999999995E-2</v>
      </c>
      <c r="U235" s="29">
        <v>4.5999999999999999E-2</v>
      </c>
      <c r="V235" s="65">
        <v>4.4000000000000004E-2</v>
      </c>
      <c r="W235" s="117" t="s">
        <v>344</v>
      </c>
      <c r="X235" s="117" t="s">
        <v>344</v>
      </c>
    </row>
    <row r="236" spans="1:24" x14ac:dyDescent="0.2">
      <c r="A236" s="30" t="s">
        <v>207</v>
      </c>
      <c r="B236" s="17" t="s">
        <v>183</v>
      </c>
      <c r="C236" s="9" t="s">
        <v>116</v>
      </c>
      <c r="D236" s="33" t="s">
        <v>190</v>
      </c>
      <c r="E236" s="33" t="s">
        <v>190</v>
      </c>
      <c r="F236" s="33" t="s">
        <v>190</v>
      </c>
      <c r="G236" s="33" t="s">
        <v>190</v>
      </c>
      <c r="H236" s="33" t="s">
        <v>190</v>
      </c>
      <c r="I236" s="33" t="s">
        <v>190</v>
      </c>
      <c r="J236" s="29" t="s">
        <v>190</v>
      </c>
      <c r="K236" s="29" t="s">
        <v>190</v>
      </c>
      <c r="L236" s="29">
        <v>5.7000000000000002E-2</v>
      </c>
      <c r="M236" s="29">
        <v>0.06</v>
      </c>
      <c r="N236" s="29">
        <v>5.2000000000000005E-2</v>
      </c>
      <c r="O236" s="29">
        <v>5.9000000000000004E-2</v>
      </c>
      <c r="P236" s="29">
        <v>5.7999999999999996E-2</v>
      </c>
      <c r="Q236" s="29">
        <v>5.2999999999999999E-2</v>
      </c>
      <c r="R236" s="29">
        <v>5.5E-2</v>
      </c>
      <c r="S236" s="29">
        <v>6.6000000000000003E-2</v>
      </c>
      <c r="T236" s="29">
        <v>9.0999999999999998E-2</v>
      </c>
      <c r="U236" s="29">
        <v>0.14300000000000002</v>
      </c>
      <c r="V236" s="65">
        <v>0.11699999999999999</v>
      </c>
      <c r="W236" s="117" t="s">
        <v>344</v>
      </c>
      <c r="X236" s="117" t="s">
        <v>344</v>
      </c>
    </row>
    <row r="237" spans="1:24" x14ac:dyDescent="0.2">
      <c r="A237" s="30" t="s">
        <v>207</v>
      </c>
      <c r="B237" s="17" t="s">
        <v>183</v>
      </c>
      <c r="C237" s="9" t="s">
        <v>117</v>
      </c>
      <c r="D237" s="33" t="s">
        <v>190</v>
      </c>
      <c r="E237" s="33" t="s">
        <v>190</v>
      </c>
      <c r="F237" s="33" t="s">
        <v>190</v>
      </c>
      <c r="G237" s="33" t="s">
        <v>190</v>
      </c>
      <c r="H237" s="33" t="s">
        <v>190</v>
      </c>
      <c r="I237" s="33" t="s">
        <v>190</v>
      </c>
      <c r="J237" s="29" t="s">
        <v>190</v>
      </c>
      <c r="K237" s="29" t="s">
        <v>190</v>
      </c>
      <c r="L237" s="29">
        <v>0.06</v>
      </c>
      <c r="M237" s="29">
        <v>5.4000000000000006E-2</v>
      </c>
      <c r="N237" s="29">
        <v>5.2000000000000005E-2</v>
      </c>
      <c r="O237" s="29">
        <v>5.0999999999999997E-2</v>
      </c>
      <c r="P237" s="29">
        <v>0.05</v>
      </c>
      <c r="Q237" s="29">
        <v>4.2000000000000003E-2</v>
      </c>
      <c r="R237" s="29">
        <v>4.2000000000000003E-2</v>
      </c>
      <c r="S237" s="29">
        <v>4.2999999999999997E-2</v>
      </c>
      <c r="T237" s="29">
        <v>4.7E-2</v>
      </c>
      <c r="U237" s="29">
        <v>5.9000000000000004E-2</v>
      </c>
      <c r="V237" s="65">
        <v>6.2E-2</v>
      </c>
      <c r="W237" s="117" t="s">
        <v>344</v>
      </c>
      <c r="X237" s="117" t="s">
        <v>344</v>
      </c>
    </row>
    <row r="238" spans="1:24" x14ac:dyDescent="0.2">
      <c r="A238" s="30" t="s">
        <v>207</v>
      </c>
      <c r="B238" s="17" t="s">
        <v>183</v>
      </c>
      <c r="C238" s="9" t="s">
        <v>118</v>
      </c>
      <c r="D238" s="33" t="s">
        <v>190</v>
      </c>
      <c r="E238" s="33" t="s">
        <v>190</v>
      </c>
      <c r="F238" s="33" t="s">
        <v>190</v>
      </c>
      <c r="G238" s="33" t="s">
        <v>190</v>
      </c>
      <c r="H238" s="33" t="s">
        <v>190</v>
      </c>
      <c r="I238" s="33" t="s">
        <v>190</v>
      </c>
      <c r="J238" s="29" t="s">
        <v>190</v>
      </c>
      <c r="K238" s="29" t="s">
        <v>190</v>
      </c>
      <c r="L238" s="29">
        <v>6.2E-2</v>
      </c>
      <c r="M238" s="29">
        <v>6.3E-2</v>
      </c>
      <c r="N238" s="29">
        <v>6.8000000000000005E-2</v>
      </c>
      <c r="O238" s="29">
        <v>5.5E-2</v>
      </c>
      <c r="P238" s="29">
        <v>5.9000000000000004E-2</v>
      </c>
      <c r="Q238" s="29">
        <v>6.9000000000000006E-2</v>
      </c>
      <c r="R238" s="29">
        <v>0.08</v>
      </c>
      <c r="S238" s="29">
        <v>9.8000000000000004E-2</v>
      </c>
      <c r="T238" s="29">
        <v>0.11599999999999999</v>
      </c>
      <c r="U238" s="29">
        <v>0.14400000000000002</v>
      </c>
      <c r="V238" s="65">
        <v>0.14300000000000002</v>
      </c>
      <c r="W238" s="117" t="s">
        <v>344</v>
      </c>
      <c r="X238" s="117" t="s">
        <v>344</v>
      </c>
    </row>
    <row r="239" spans="1:24" x14ac:dyDescent="0.2">
      <c r="A239" s="30" t="s">
        <v>207</v>
      </c>
      <c r="B239" s="17" t="s">
        <v>183</v>
      </c>
      <c r="C239" s="9" t="s">
        <v>184</v>
      </c>
      <c r="D239" s="33" t="s">
        <v>190</v>
      </c>
      <c r="E239" s="33" t="s">
        <v>190</v>
      </c>
      <c r="F239" s="33" t="s">
        <v>190</v>
      </c>
      <c r="G239" s="33" t="s">
        <v>190</v>
      </c>
      <c r="H239" s="33" t="s">
        <v>190</v>
      </c>
      <c r="I239" s="33" t="s">
        <v>190</v>
      </c>
      <c r="J239" s="29" t="s">
        <v>190</v>
      </c>
      <c r="K239" s="29" t="s">
        <v>190</v>
      </c>
      <c r="L239" s="29">
        <v>1.6E-2</v>
      </c>
      <c r="M239" s="29">
        <v>1.6E-2</v>
      </c>
      <c r="N239" s="29">
        <v>1.4999999999999999E-2</v>
      </c>
      <c r="O239" s="29">
        <v>1.6E-2</v>
      </c>
      <c r="P239" s="29">
        <v>1.7000000000000001E-2</v>
      </c>
      <c r="Q239" s="29">
        <v>1.6E-2</v>
      </c>
      <c r="R239" s="29">
        <v>1.7000000000000001E-2</v>
      </c>
      <c r="S239" s="29">
        <v>1.8000000000000002E-2</v>
      </c>
      <c r="T239" s="29">
        <v>2.1000000000000001E-2</v>
      </c>
      <c r="U239" s="29">
        <v>2.6000000000000002E-2</v>
      </c>
      <c r="V239" s="65">
        <v>2.7000000000000003E-2</v>
      </c>
      <c r="W239" s="117" t="s">
        <v>344</v>
      </c>
      <c r="X239" s="117" t="s">
        <v>344</v>
      </c>
    </row>
    <row r="240" spans="1:24" ht="30" customHeight="1" x14ac:dyDescent="0.2">
      <c r="A240" s="30" t="s">
        <v>207</v>
      </c>
      <c r="B240" s="17" t="s">
        <v>185</v>
      </c>
      <c r="C240" s="17" t="s">
        <v>111</v>
      </c>
      <c r="D240" s="33" t="s">
        <v>190</v>
      </c>
      <c r="E240" s="33" t="s">
        <v>190</v>
      </c>
      <c r="F240" s="33" t="s">
        <v>190</v>
      </c>
      <c r="G240" s="33" t="s">
        <v>190</v>
      </c>
      <c r="H240" s="33" t="s">
        <v>190</v>
      </c>
      <c r="I240" s="33" t="s">
        <v>190</v>
      </c>
      <c r="J240" s="29" t="s">
        <v>190</v>
      </c>
      <c r="K240" s="29" t="s">
        <v>190</v>
      </c>
      <c r="L240" s="29">
        <v>0.183</v>
      </c>
      <c r="M240" s="29">
        <v>0.15</v>
      </c>
      <c r="N240" s="29">
        <v>0.152</v>
      </c>
      <c r="O240" s="29">
        <v>0.151</v>
      </c>
      <c r="P240" s="29">
        <v>0.151</v>
      </c>
      <c r="Q240" s="29">
        <v>0.14800000000000002</v>
      </c>
      <c r="R240" s="29">
        <v>0.14199999999999999</v>
      </c>
      <c r="S240" s="29">
        <v>0.13800000000000001</v>
      </c>
      <c r="T240" s="29">
        <v>0.20699999999999999</v>
      </c>
      <c r="U240" s="29">
        <v>0.16899999999999998</v>
      </c>
      <c r="V240" s="65">
        <v>0.14099999999999999</v>
      </c>
      <c r="W240" s="117" t="s">
        <v>344</v>
      </c>
      <c r="X240" s="117" t="s">
        <v>344</v>
      </c>
    </row>
    <row r="241" spans="1:24" x14ac:dyDescent="0.2">
      <c r="A241" s="30" t="s">
        <v>207</v>
      </c>
      <c r="B241" s="17" t="s">
        <v>185</v>
      </c>
      <c r="C241" s="9" t="s">
        <v>186</v>
      </c>
      <c r="D241" s="33" t="s">
        <v>190</v>
      </c>
      <c r="E241" s="33" t="s">
        <v>190</v>
      </c>
      <c r="F241" s="33" t="s">
        <v>190</v>
      </c>
      <c r="G241" s="33" t="s">
        <v>190</v>
      </c>
      <c r="H241" s="33" t="s">
        <v>190</v>
      </c>
      <c r="I241" s="33" t="s">
        <v>190</v>
      </c>
      <c r="J241" s="29" t="s">
        <v>190</v>
      </c>
      <c r="K241" s="29" t="s">
        <v>190</v>
      </c>
      <c r="L241" s="29">
        <v>2.5000000000000001E-2</v>
      </c>
      <c r="M241" s="29">
        <v>2.4E-2</v>
      </c>
      <c r="N241" s="29">
        <v>2.5000000000000001E-2</v>
      </c>
      <c r="O241" s="29">
        <v>2.5000000000000001E-2</v>
      </c>
      <c r="P241" s="29">
        <v>2.6000000000000002E-2</v>
      </c>
      <c r="Q241" s="29">
        <v>2.6000000000000002E-2</v>
      </c>
      <c r="R241" s="29">
        <v>2.7999999999999997E-2</v>
      </c>
      <c r="S241" s="29">
        <v>2.7000000000000003E-2</v>
      </c>
      <c r="T241" s="29">
        <v>3.3000000000000002E-2</v>
      </c>
      <c r="U241" s="29">
        <v>3.2000000000000001E-2</v>
      </c>
      <c r="V241" s="65">
        <v>3.4000000000000002E-2</v>
      </c>
      <c r="W241" s="117" t="s">
        <v>344</v>
      </c>
      <c r="X241" s="117" t="s">
        <v>344</v>
      </c>
    </row>
    <row r="242" spans="1:24" x14ac:dyDescent="0.2">
      <c r="A242" s="30" t="s">
        <v>207</v>
      </c>
      <c r="B242" s="17" t="s">
        <v>185</v>
      </c>
      <c r="C242" s="9" t="s">
        <v>151</v>
      </c>
      <c r="D242" s="33" t="s">
        <v>190</v>
      </c>
      <c r="E242" s="33" t="s">
        <v>190</v>
      </c>
      <c r="F242" s="33" t="s">
        <v>190</v>
      </c>
      <c r="G242" s="33" t="s">
        <v>190</v>
      </c>
      <c r="H242" s="33" t="s">
        <v>190</v>
      </c>
      <c r="I242" s="33" t="s">
        <v>190</v>
      </c>
      <c r="J242" s="29" t="s">
        <v>190</v>
      </c>
      <c r="K242" s="29" t="s">
        <v>190</v>
      </c>
      <c r="L242" s="29">
        <v>1.9E-2</v>
      </c>
      <c r="M242" s="29">
        <v>1.9E-2</v>
      </c>
      <c r="N242" s="29">
        <v>0.02</v>
      </c>
      <c r="O242" s="29">
        <v>0.02</v>
      </c>
      <c r="P242" s="29">
        <v>0.02</v>
      </c>
      <c r="Q242" s="29">
        <v>0.02</v>
      </c>
      <c r="R242" s="29">
        <v>2.1000000000000001E-2</v>
      </c>
      <c r="S242" s="29">
        <v>2.1000000000000001E-2</v>
      </c>
      <c r="T242" s="29">
        <v>2.4E-2</v>
      </c>
      <c r="U242" s="29">
        <v>2.5000000000000001E-2</v>
      </c>
      <c r="V242" s="65">
        <v>2.5000000000000001E-2</v>
      </c>
      <c r="W242" s="117" t="s">
        <v>344</v>
      </c>
      <c r="X242" s="117" t="s">
        <v>344</v>
      </c>
    </row>
    <row r="243" spans="1:24" ht="35.1" customHeight="1" x14ac:dyDescent="0.2">
      <c r="A243" s="30" t="s">
        <v>207</v>
      </c>
      <c r="B243" s="91" t="s">
        <v>270</v>
      </c>
      <c r="C243" s="92" t="s">
        <v>271</v>
      </c>
      <c r="D243" s="18" t="s">
        <v>190</v>
      </c>
      <c r="E243" s="18" t="s">
        <v>190</v>
      </c>
      <c r="F243" s="18" t="s">
        <v>190</v>
      </c>
      <c r="G243" s="18" t="s">
        <v>190</v>
      </c>
      <c r="H243" s="18" t="s">
        <v>190</v>
      </c>
      <c r="I243" s="18" t="s">
        <v>190</v>
      </c>
      <c r="J243" s="18" t="s">
        <v>190</v>
      </c>
      <c r="K243" s="18" t="s">
        <v>190</v>
      </c>
      <c r="L243" s="29">
        <v>0.1</v>
      </c>
      <c r="M243" s="29">
        <v>0.106</v>
      </c>
      <c r="N243" s="29">
        <v>0.106</v>
      </c>
      <c r="O243" s="29">
        <v>0.11800000000000001</v>
      </c>
      <c r="P243" s="29">
        <v>9.6000000000000002E-2</v>
      </c>
      <c r="Q243" s="29">
        <v>9.6999999999999989E-2</v>
      </c>
      <c r="R243" s="29">
        <v>0.109</v>
      </c>
      <c r="S243" s="29">
        <v>0.09</v>
      </c>
      <c r="T243" s="29">
        <v>0.13100000000000001</v>
      </c>
      <c r="U243" s="29">
        <v>0.192</v>
      </c>
      <c r="V243" s="29" t="s">
        <v>256</v>
      </c>
      <c r="W243" s="117" t="s">
        <v>344</v>
      </c>
      <c r="X243" s="117" t="s">
        <v>344</v>
      </c>
    </row>
    <row r="244" spans="1:24" x14ac:dyDescent="0.2">
      <c r="A244" s="30" t="s">
        <v>207</v>
      </c>
      <c r="B244" s="91" t="s">
        <v>270</v>
      </c>
      <c r="C244" s="92" t="s">
        <v>272</v>
      </c>
      <c r="D244" s="18" t="s">
        <v>190</v>
      </c>
      <c r="E244" s="18" t="s">
        <v>190</v>
      </c>
      <c r="F244" s="18" t="s">
        <v>190</v>
      </c>
      <c r="G244" s="18" t="s">
        <v>190</v>
      </c>
      <c r="H244" s="18" t="s">
        <v>190</v>
      </c>
      <c r="I244" s="18" t="s">
        <v>190</v>
      </c>
      <c r="J244" s="18" t="s">
        <v>190</v>
      </c>
      <c r="K244" s="18" t="s">
        <v>190</v>
      </c>
      <c r="L244" s="29">
        <v>0.13300000000000001</v>
      </c>
      <c r="M244" s="29">
        <v>0.11599999999999999</v>
      </c>
      <c r="N244" s="29">
        <v>0.15</v>
      </c>
      <c r="O244" s="29">
        <v>0.156</v>
      </c>
      <c r="P244" s="29">
        <v>0.13500000000000001</v>
      </c>
      <c r="Q244" s="29">
        <v>0.14000000000000001</v>
      </c>
      <c r="R244" s="29">
        <v>0.14800000000000002</v>
      </c>
      <c r="S244" s="29">
        <v>0.14599999999999999</v>
      </c>
      <c r="T244" s="29">
        <v>0.161</v>
      </c>
      <c r="U244" s="29" t="s">
        <v>256</v>
      </c>
      <c r="V244" s="29" t="s">
        <v>256</v>
      </c>
      <c r="W244" s="117" t="s">
        <v>344</v>
      </c>
      <c r="X244" s="117" t="s">
        <v>344</v>
      </c>
    </row>
    <row r="245" spans="1:24" x14ac:dyDescent="0.2">
      <c r="A245" s="30" t="s">
        <v>207</v>
      </c>
      <c r="B245" s="91" t="s">
        <v>270</v>
      </c>
      <c r="C245" s="92" t="s">
        <v>273</v>
      </c>
      <c r="D245" s="18" t="s">
        <v>190</v>
      </c>
      <c r="E245" s="18" t="s">
        <v>190</v>
      </c>
      <c r="F245" s="18" t="s">
        <v>190</v>
      </c>
      <c r="G245" s="18" t="s">
        <v>190</v>
      </c>
      <c r="H245" s="18" t="s">
        <v>190</v>
      </c>
      <c r="I245" s="18" t="s">
        <v>190</v>
      </c>
      <c r="J245" s="18" t="s">
        <v>190</v>
      </c>
      <c r="K245" s="18" t="s">
        <v>190</v>
      </c>
      <c r="L245" s="29">
        <v>0.13200000000000001</v>
      </c>
      <c r="M245" s="29">
        <v>0.13800000000000001</v>
      </c>
      <c r="N245" s="29">
        <v>0.19399999999999998</v>
      </c>
      <c r="O245" s="29">
        <v>0.19800000000000001</v>
      </c>
      <c r="P245" s="29">
        <v>0.191</v>
      </c>
      <c r="Q245" s="29">
        <v>0.20499999999999999</v>
      </c>
      <c r="R245" s="29">
        <v>0.153</v>
      </c>
      <c r="S245" s="29" t="s">
        <v>256</v>
      </c>
      <c r="T245" s="29" t="s">
        <v>256</v>
      </c>
      <c r="U245" s="29" t="s">
        <v>208</v>
      </c>
      <c r="V245" s="29" t="s">
        <v>208</v>
      </c>
      <c r="W245" s="117" t="s">
        <v>344</v>
      </c>
      <c r="X245" s="117" t="s">
        <v>344</v>
      </c>
    </row>
    <row r="246" spans="1:24" x14ac:dyDescent="0.2">
      <c r="A246" s="30" t="s">
        <v>207</v>
      </c>
      <c r="B246" s="91" t="s">
        <v>270</v>
      </c>
      <c r="C246" s="92" t="s">
        <v>274</v>
      </c>
      <c r="D246" s="18" t="s">
        <v>190</v>
      </c>
      <c r="E246" s="18" t="s">
        <v>190</v>
      </c>
      <c r="F246" s="18" t="s">
        <v>190</v>
      </c>
      <c r="G246" s="18" t="s">
        <v>190</v>
      </c>
      <c r="H246" s="18" t="s">
        <v>190</v>
      </c>
      <c r="I246" s="18" t="s">
        <v>190</v>
      </c>
      <c r="J246" s="18" t="s">
        <v>190</v>
      </c>
      <c r="K246" s="18" t="s">
        <v>190</v>
      </c>
      <c r="L246" s="29">
        <v>6.7000000000000004E-2</v>
      </c>
      <c r="M246" s="29">
        <v>6.0999999999999999E-2</v>
      </c>
      <c r="N246" s="29">
        <v>5.5999999999999994E-2</v>
      </c>
      <c r="O246" s="29">
        <v>5.7000000000000002E-2</v>
      </c>
      <c r="P246" s="29">
        <v>5.2999999999999999E-2</v>
      </c>
      <c r="Q246" s="29">
        <v>4.4000000000000004E-2</v>
      </c>
      <c r="R246" s="29">
        <v>4.4000000000000004E-2</v>
      </c>
      <c r="S246" s="29">
        <v>4.8000000000000001E-2</v>
      </c>
      <c r="T246" s="29">
        <v>5.5E-2</v>
      </c>
      <c r="U246" s="29">
        <v>6.6000000000000003E-2</v>
      </c>
      <c r="V246" s="29">
        <v>7.6999999999999999E-2</v>
      </c>
      <c r="W246" s="117" t="s">
        <v>344</v>
      </c>
      <c r="X246" s="117" t="s">
        <v>344</v>
      </c>
    </row>
    <row r="247" spans="1:24" x14ac:dyDescent="0.2">
      <c r="A247" s="30" t="s">
        <v>207</v>
      </c>
      <c r="B247" s="91" t="s">
        <v>270</v>
      </c>
      <c r="C247" s="92" t="s">
        <v>275</v>
      </c>
      <c r="D247" s="18" t="s">
        <v>190</v>
      </c>
      <c r="E247" s="18" t="s">
        <v>190</v>
      </c>
      <c r="F247" s="18" t="s">
        <v>190</v>
      </c>
      <c r="G247" s="18" t="s">
        <v>190</v>
      </c>
      <c r="H247" s="18" t="s">
        <v>190</v>
      </c>
      <c r="I247" s="18" t="s">
        <v>190</v>
      </c>
      <c r="J247" s="18" t="s">
        <v>190</v>
      </c>
      <c r="K247" s="18" t="s">
        <v>190</v>
      </c>
      <c r="L247" s="29">
        <v>0.06</v>
      </c>
      <c r="M247" s="29">
        <v>6.3E-2</v>
      </c>
      <c r="N247" s="29">
        <v>5.2999999999999999E-2</v>
      </c>
      <c r="O247" s="29">
        <v>6.0999999999999999E-2</v>
      </c>
      <c r="P247" s="29">
        <v>5.5999999999999994E-2</v>
      </c>
      <c r="Q247" s="29">
        <v>5.0999999999999997E-2</v>
      </c>
      <c r="R247" s="29">
        <v>5.5999999999999994E-2</v>
      </c>
      <c r="S247" s="29">
        <v>6.9000000000000006E-2</v>
      </c>
      <c r="T247" s="29">
        <v>9.0999999999999998E-2</v>
      </c>
      <c r="U247" s="29">
        <v>0.15</v>
      </c>
      <c r="V247" s="29">
        <v>0.12</v>
      </c>
      <c r="W247" s="117" t="s">
        <v>344</v>
      </c>
      <c r="X247" s="117" t="s">
        <v>344</v>
      </c>
    </row>
    <row r="248" spans="1:24" x14ac:dyDescent="0.2">
      <c r="A248" s="30" t="s">
        <v>207</v>
      </c>
      <c r="B248" s="91" t="s">
        <v>270</v>
      </c>
      <c r="C248" s="92" t="s">
        <v>276</v>
      </c>
      <c r="D248" s="18" t="s">
        <v>190</v>
      </c>
      <c r="E248" s="18" t="s">
        <v>190</v>
      </c>
      <c r="F248" s="18" t="s">
        <v>190</v>
      </c>
      <c r="G248" s="18" t="s">
        <v>190</v>
      </c>
      <c r="H248" s="18" t="s">
        <v>190</v>
      </c>
      <c r="I248" s="18" t="s">
        <v>190</v>
      </c>
      <c r="J248" s="18" t="s">
        <v>190</v>
      </c>
      <c r="K248" s="18" t="s">
        <v>190</v>
      </c>
      <c r="L248" s="29">
        <v>0.17</v>
      </c>
      <c r="M248" s="29">
        <v>0.20100000000000001</v>
      </c>
      <c r="N248" s="29">
        <v>0.19600000000000001</v>
      </c>
      <c r="O248" s="29" t="s">
        <v>256</v>
      </c>
      <c r="P248" s="29" t="s">
        <v>256</v>
      </c>
      <c r="Q248" s="29" t="s">
        <v>256</v>
      </c>
      <c r="R248" s="29" t="s">
        <v>256</v>
      </c>
      <c r="S248" s="29" t="s">
        <v>256</v>
      </c>
      <c r="T248" s="29" t="s">
        <v>256</v>
      </c>
      <c r="U248" s="29" t="s">
        <v>190</v>
      </c>
      <c r="V248" s="29" t="s">
        <v>190</v>
      </c>
      <c r="W248" s="117" t="s">
        <v>344</v>
      </c>
      <c r="X248" s="117" t="s">
        <v>344</v>
      </c>
    </row>
    <row r="249" spans="1:24" x14ac:dyDescent="0.2">
      <c r="A249" s="30" t="s">
        <v>207</v>
      </c>
      <c r="B249" s="91" t="s">
        <v>270</v>
      </c>
      <c r="C249" s="92" t="s">
        <v>277</v>
      </c>
      <c r="D249" s="18" t="s">
        <v>190</v>
      </c>
      <c r="E249" s="18" t="s">
        <v>190</v>
      </c>
      <c r="F249" s="18" t="s">
        <v>190</v>
      </c>
      <c r="G249" s="18" t="s">
        <v>190</v>
      </c>
      <c r="H249" s="18" t="s">
        <v>190</v>
      </c>
      <c r="I249" s="18" t="s">
        <v>190</v>
      </c>
      <c r="J249" s="18" t="s">
        <v>190</v>
      </c>
      <c r="K249" s="18" t="s">
        <v>190</v>
      </c>
      <c r="L249" s="29">
        <v>6.6000000000000003E-2</v>
      </c>
      <c r="M249" s="29">
        <v>6.6000000000000003E-2</v>
      </c>
      <c r="N249" s="29">
        <v>7.400000000000001E-2</v>
      </c>
      <c r="O249" s="29">
        <v>5.5999999999999994E-2</v>
      </c>
      <c r="P249" s="29">
        <v>6.0999999999999999E-2</v>
      </c>
      <c r="Q249" s="29">
        <v>7.2000000000000008E-2</v>
      </c>
      <c r="R249" s="29">
        <v>8.8000000000000009E-2</v>
      </c>
      <c r="S249" s="29">
        <v>0.113</v>
      </c>
      <c r="T249" s="29">
        <v>0.12</v>
      </c>
      <c r="U249" s="29">
        <v>0.14899999999999999</v>
      </c>
      <c r="V249" s="29">
        <v>0.15</v>
      </c>
      <c r="W249" s="117" t="s">
        <v>344</v>
      </c>
      <c r="X249" s="117" t="s">
        <v>344</v>
      </c>
    </row>
    <row r="250" spans="1:24" x14ac:dyDescent="0.2">
      <c r="A250" s="30" t="s">
        <v>207</v>
      </c>
      <c r="B250" s="91" t="s">
        <v>270</v>
      </c>
      <c r="C250" s="92" t="s">
        <v>278</v>
      </c>
      <c r="D250" s="18" t="s">
        <v>190</v>
      </c>
      <c r="E250" s="18" t="s">
        <v>190</v>
      </c>
      <c r="F250" s="18" t="s">
        <v>190</v>
      </c>
      <c r="G250" s="18" t="s">
        <v>190</v>
      </c>
      <c r="H250" s="18" t="s">
        <v>190</v>
      </c>
      <c r="I250" s="18" t="s">
        <v>190</v>
      </c>
      <c r="J250" s="18" t="s">
        <v>190</v>
      </c>
      <c r="K250" s="18" t="s">
        <v>190</v>
      </c>
      <c r="L250" s="29">
        <v>0.19399999999999998</v>
      </c>
      <c r="M250" s="29">
        <v>0.21899999999999997</v>
      </c>
      <c r="N250" s="29">
        <v>0.185</v>
      </c>
      <c r="O250" s="29">
        <v>0.22899999999999998</v>
      </c>
      <c r="P250" s="29" t="s">
        <v>256</v>
      </c>
      <c r="Q250" s="29">
        <v>0.23100000000000001</v>
      </c>
      <c r="R250" s="29">
        <v>0.20800000000000002</v>
      </c>
      <c r="S250" s="29" t="s">
        <v>256</v>
      </c>
      <c r="T250" s="29" t="s">
        <v>208</v>
      </c>
      <c r="U250" s="29" t="s">
        <v>208</v>
      </c>
      <c r="V250" s="29" t="s">
        <v>190</v>
      </c>
      <c r="W250" s="117" t="s">
        <v>344</v>
      </c>
      <c r="X250" s="117" t="s">
        <v>344</v>
      </c>
    </row>
    <row r="251" spans="1:24" x14ac:dyDescent="0.2">
      <c r="A251" s="30" t="s">
        <v>207</v>
      </c>
      <c r="B251" s="91" t="s">
        <v>270</v>
      </c>
      <c r="C251" s="92" t="s">
        <v>279</v>
      </c>
      <c r="D251" s="18" t="s">
        <v>190</v>
      </c>
      <c r="E251" s="18" t="s">
        <v>190</v>
      </c>
      <c r="F251" s="18" t="s">
        <v>190</v>
      </c>
      <c r="G251" s="18" t="s">
        <v>190</v>
      </c>
      <c r="H251" s="18" t="s">
        <v>190</v>
      </c>
      <c r="I251" s="18" t="s">
        <v>190</v>
      </c>
      <c r="J251" s="18" t="s">
        <v>190</v>
      </c>
      <c r="K251" s="18" t="s">
        <v>190</v>
      </c>
      <c r="L251" s="29">
        <v>0.125</v>
      </c>
      <c r="M251" s="29">
        <v>0.11199999999999999</v>
      </c>
      <c r="N251" s="29">
        <v>0.14599999999999999</v>
      </c>
      <c r="O251" s="29">
        <v>0.124</v>
      </c>
      <c r="P251" s="29">
        <v>0.14400000000000002</v>
      </c>
      <c r="Q251" s="29">
        <v>0.125</v>
      </c>
      <c r="R251" s="29">
        <v>0.114</v>
      </c>
      <c r="S251" s="29">
        <v>9.6000000000000002E-2</v>
      </c>
      <c r="T251" s="29">
        <v>9.4E-2</v>
      </c>
      <c r="U251" s="29">
        <v>0.13400000000000001</v>
      </c>
      <c r="V251" s="29">
        <v>8.6999999999999994E-2</v>
      </c>
      <c r="W251" s="117" t="s">
        <v>344</v>
      </c>
      <c r="X251" s="117" t="s">
        <v>344</v>
      </c>
    </row>
    <row r="252" spans="1:24" ht="36" customHeight="1" x14ac:dyDescent="0.2">
      <c r="A252" s="30" t="s">
        <v>207</v>
      </c>
      <c r="B252" s="17" t="s">
        <v>263</v>
      </c>
      <c r="C252" s="9" t="s">
        <v>280</v>
      </c>
      <c r="D252" s="29" t="s">
        <v>190</v>
      </c>
      <c r="E252" s="29" t="s">
        <v>190</v>
      </c>
      <c r="F252" s="29" t="s">
        <v>190</v>
      </c>
      <c r="G252" s="29" t="s">
        <v>190</v>
      </c>
      <c r="H252" s="29" t="s">
        <v>190</v>
      </c>
      <c r="I252" s="29" t="s">
        <v>190</v>
      </c>
      <c r="J252" s="29" t="s">
        <v>190</v>
      </c>
      <c r="K252" s="29" t="s">
        <v>190</v>
      </c>
      <c r="L252" s="29">
        <v>1.4999999999999999E-2</v>
      </c>
      <c r="M252" s="29">
        <v>1.4999999999999999E-2</v>
      </c>
      <c r="N252" s="29">
        <v>1.4999999999999999E-2</v>
      </c>
      <c r="O252" s="29">
        <v>1.4999999999999999E-2</v>
      </c>
      <c r="P252" s="29">
        <v>1.6E-2</v>
      </c>
      <c r="Q252" s="29">
        <v>1.6E-2</v>
      </c>
      <c r="R252" s="29">
        <v>1.6E-2</v>
      </c>
      <c r="S252" s="29">
        <v>1.6E-2</v>
      </c>
      <c r="T252" s="29">
        <v>2.1000000000000001E-2</v>
      </c>
      <c r="U252" s="29">
        <v>2.3E-2</v>
      </c>
      <c r="V252" s="29">
        <v>2.2000000000000002E-2</v>
      </c>
      <c r="W252" s="117" t="s">
        <v>344</v>
      </c>
      <c r="X252" s="117" t="s">
        <v>344</v>
      </c>
    </row>
    <row r="253" spans="1:24" x14ac:dyDescent="0.2">
      <c r="A253" s="30" t="s">
        <v>207</v>
      </c>
      <c r="B253" s="17" t="s">
        <v>263</v>
      </c>
      <c r="C253" s="92" t="s">
        <v>264</v>
      </c>
      <c r="D253" s="33" t="s">
        <v>190</v>
      </c>
      <c r="E253" s="33" t="s">
        <v>190</v>
      </c>
      <c r="F253" s="33" t="s">
        <v>190</v>
      </c>
      <c r="G253" s="33" t="s">
        <v>190</v>
      </c>
      <c r="H253" s="33" t="s">
        <v>190</v>
      </c>
      <c r="I253" s="33" t="s">
        <v>190</v>
      </c>
      <c r="J253" s="29" t="s">
        <v>190</v>
      </c>
      <c r="K253" s="29" t="s">
        <v>190</v>
      </c>
      <c r="L253" s="29">
        <v>1.3000000000000001E-2</v>
      </c>
      <c r="M253" s="29">
        <v>1.3000000000000001E-2</v>
      </c>
      <c r="N253" s="29">
        <v>1.3000000000000001E-2</v>
      </c>
      <c r="O253" s="29">
        <v>1.3000000000000001E-2</v>
      </c>
      <c r="P253" s="29">
        <v>1.3999999999999999E-2</v>
      </c>
      <c r="Q253" s="29">
        <v>1.3999999999999999E-2</v>
      </c>
      <c r="R253" s="29">
        <v>1.3999999999999999E-2</v>
      </c>
      <c r="S253" s="29">
        <v>1.3999999999999999E-2</v>
      </c>
      <c r="T253" s="29">
        <v>1.8000000000000002E-2</v>
      </c>
      <c r="U253" s="29">
        <v>1.9E-2</v>
      </c>
      <c r="V253" s="29">
        <v>1.9E-2</v>
      </c>
      <c r="W253" s="117" t="s">
        <v>344</v>
      </c>
      <c r="X253" s="117" t="s">
        <v>344</v>
      </c>
    </row>
    <row r="254" spans="1:24" x14ac:dyDescent="0.2">
      <c r="A254" s="30" t="s">
        <v>207</v>
      </c>
      <c r="B254" s="17" t="s">
        <v>263</v>
      </c>
      <c r="C254" s="92" t="s">
        <v>265</v>
      </c>
      <c r="D254" s="33" t="s">
        <v>190</v>
      </c>
      <c r="E254" s="33" t="s">
        <v>190</v>
      </c>
      <c r="F254" s="33" t="s">
        <v>190</v>
      </c>
      <c r="G254" s="33" t="s">
        <v>190</v>
      </c>
      <c r="H254" s="33" t="s">
        <v>190</v>
      </c>
      <c r="I254" s="33" t="s">
        <v>190</v>
      </c>
      <c r="J254" s="29" t="s">
        <v>190</v>
      </c>
      <c r="K254" s="29" t="s">
        <v>190</v>
      </c>
      <c r="L254" s="29">
        <v>1.2E-2</v>
      </c>
      <c r="M254" s="29">
        <v>1.2E-2</v>
      </c>
      <c r="N254" s="29">
        <v>1.2E-2</v>
      </c>
      <c r="O254" s="29">
        <v>1.2E-2</v>
      </c>
      <c r="P254" s="29">
        <v>1.3000000000000001E-2</v>
      </c>
      <c r="Q254" s="29">
        <v>1.2E-2</v>
      </c>
      <c r="R254" s="29">
        <v>1.3000000000000001E-2</v>
      </c>
      <c r="S254" s="29">
        <v>1.3000000000000001E-2</v>
      </c>
      <c r="T254" s="29">
        <v>1.4999999999999999E-2</v>
      </c>
      <c r="U254" s="29">
        <v>1.6E-2</v>
      </c>
      <c r="V254" s="29">
        <v>1.7000000000000001E-2</v>
      </c>
      <c r="W254" s="117" t="s">
        <v>344</v>
      </c>
      <c r="X254" s="117" t="s">
        <v>344</v>
      </c>
    </row>
    <row r="255" spans="1:24" x14ac:dyDescent="0.2">
      <c r="A255" s="30" t="s">
        <v>207</v>
      </c>
      <c r="B255" s="17" t="s">
        <v>263</v>
      </c>
      <c r="C255" s="92" t="s">
        <v>266</v>
      </c>
      <c r="D255" s="33" t="s">
        <v>190</v>
      </c>
      <c r="E255" s="33" t="s">
        <v>190</v>
      </c>
      <c r="F255" s="33" t="s">
        <v>190</v>
      </c>
      <c r="G255" s="33" t="s">
        <v>190</v>
      </c>
      <c r="H255" s="33" t="s">
        <v>190</v>
      </c>
      <c r="I255" s="33" t="s">
        <v>190</v>
      </c>
      <c r="J255" s="29" t="s">
        <v>190</v>
      </c>
      <c r="K255" s="29" t="s">
        <v>190</v>
      </c>
      <c r="L255" s="29">
        <v>1.1000000000000001E-2</v>
      </c>
      <c r="M255" s="29">
        <v>1.1000000000000001E-2</v>
      </c>
      <c r="N255" s="29">
        <v>1.1000000000000001E-2</v>
      </c>
      <c r="O255" s="29">
        <v>1.1000000000000001E-2</v>
      </c>
      <c r="P255" s="29">
        <v>1.1000000000000001E-2</v>
      </c>
      <c r="Q255" s="29">
        <v>1.2E-2</v>
      </c>
      <c r="R255" s="29">
        <v>1.2E-2</v>
      </c>
      <c r="S255" s="29">
        <v>1.2E-2</v>
      </c>
      <c r="T255" s="29">
        <v>1.3999999999999999E-2</v>
      </c>
      <c r="U255" s="29">
        <v>1.4999999999999999E-2</v>
      </c>
      <c r="V255" s="29">
        <v>1.4999999999999999E-2</v>
      </c>
      <c r="W255" s="117" t="s">
        <v>344</v>
      </c>
      <c r="X255" s="117" t="s">
        <v>344</v>
      </c>
    </row>
    <row r="256" spans="1:24" x14ac:dyDescent="0.2">
      <c r="A256" s="30" t="s">
        <v>207</v>
      </c>
      <c r="B256" s="17" t="s">
        <v>263</v>
      </c>
      <c r="C256" s="92" t="s">
        <v>281</v>
      </c>
      <c r="D256" s="33" t="s">
        <v>190</v>
      </c>
      <c r="E256" s="33" t="s">
        <v>190</v>
      </c>
      <c r="F256" s="33" t="s">
        <v>190</v>
      </c>
      <c r="G256" s="33" t="s">
        <v>190</v>
      </c>
      <c r="H256" s="33" t="s">
        <v>190</v>
      </c>
      <c r="I256" s="33" t="s">
        <v>190</v>
      </c>
      <c r="J256" s="29" t="s">
        <v>190</v>
      </c>
      <c r="K256" s="29" t="s">
        <v>190</v>
      </c>
      <c r="L256" s="29">
        <v>1.1000000000000001E-2</v>
      </c>
      <c r="M256" s="29">
        <v>1.1000000000000001E-2</v>
      </c>
      <c r="N256" s="29">
        <v>1.1000000000000001E-2</v>
      </c>
      <c r="O256" s="29">
        <v>1.2E-2</v>
      </c>
      <c r="P256" s="29">
        <v>1.3000000000000001E-2</v>
      </c>
      <c r="Q256" s="29">
        <v>1.2E-2</v>
      </c>
      <c r="R256" s="29">
        <v>1.2E-2</v>
      </c>
      <c r="S256" s="29">
        <v>1.3000000000000001E-2</v>
      </c>
      <c r="T256" s="29">
        <v>1.4999999999999999E-2</v>
      </c>
      <c r="U256" s="29">
        <v>1.6E-2</v>
      </c>
      <c r="V256" s="29">
        <v>1.6E-2</v>
      </c>
      <c r="W256" s="117" t="s">
        <v>344</v>
      </c>
      <c r="X256" s="117" t="s">
        <v>344</v>
      </c>
    </row>
  </sheetData>
  <phoneticPr fontId="44" type="noConversion"/>
  <hyperlinks>
    <hyperlink ref="A11" location="Contents!A1" display="This cell contains a hyperlink to the Table of Contents" xr:uid="{00000000-0004-0000-0C00-000000000000}"/>
    <hyperlink ref="A8" r:id="rId1" xr:uid="{A708DA96-6BC9-4AC0-9ACE-00A3730F561F}"/>
    <hyperlink ref="A9" r:id="rId2" xr:uid="{53449C83-238B-467A-A3E9-018E011FE646}"/>
  </hyperlinks>
  <pageMargins left="0.7" right="0.7" top="0.75" bottom="0.75" header="0.3" footer="0.3"/>
  <pageSetup paperSize="9" scale="17" orientation="portrait" r:id="rId3"/>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X256"/>
  <sheetViews>
    <sheetView showGridLines="0" zoomScaleNormal="100" workbookViewId="0"/>
  </sheetViews>
  <sheetFormatPr defaultColWidth="9.140625" defaultRowHeight="15" x14ac:dyDescent="0.2"/>
  <cols>
    <col min="1" max="1" width="39.28515625" style="13" customWidth="1"/>
    <col min="2" max="2" width="56" style="9" bestFit="1" customWidth="1"/>
    <col min="3" max="3" width="49.85546875" style="14" bestFit="1" customWidth="1"/>
    <col min="4" max="18" width="11.42578125" style="14" customWidth="1"/>
    <col min="19" max="22" width="11.42578125" style="13" customWidth="1"/>
    <col min="23" max="23" width="17.42578125" style="13" bestFit="1" customWidth="1"/>
    <col min="24" max="24" width="17.42578125" style="13" customWidth="1"/>
    <col min="25" max="16384" width="9.140625" style="13"/>
  </cols>
  <sheetData>
    <row r="1" spans="1:24" ht="20.25" x14ac:dyDescent="0.3">
      <c r="A1" s="22" t="s">
        <v>330</v>
      </c>
      <c r="B1" s="13"/>
    </row>
    <row r="2" spans="1:24" x14ac:dyDescent="0.2">
      <c r="A2" s="9" t="s">
        <v>152</v>
      </c>
      <c r="B2" s="13"/>
    </row>
    <row r="3" spans="1:24" x14ac:dyDescent="0.2">
      <c r="A3" s="9" t="s">
        <v>259</v>
      </c>
      <c r="B3" s="13"/>
    </row>
    <row r="4" spans="1:24" x14ac:dyDescent="0.2">
      <c r="A4" s="9" t="s">
        <v>297</v>
      </c>
      <c r="B4" s="13"/>
    </row>
    <row r="5" spans="1:24" x14ac:dyDescent="0.2">
      <c r="A5" s="9" t="s">
        <v>302</v>
      </c>
      <c r="B5" s="13"/>
    </row>
    <row r="6" spans="1:24" x14ac:dyDescent="0.2">
      <c r="A6" s="9" t="s">
        <v>323</v>
      </c>
      <c r="B6" s="13"/>
      <c r="S6" s="14"/>
    </row>
    <row r="7" spans="1:24" ht="15" customHeight="1" x14ac:dyDescent="0.2">
      <c r="A7" s="9" t="s">
        <v>204</v>
      </c>
      <c r="B7" s="13"/>
      <c r="D7" s="133"/>
      <c r="E7" s="133"/>
      <c r="F7" s="133"/>
      <c r="G7" s="133"/>
      <c r="H7" s="133"/>
      <c r="I7" s="133"/>
      <c r="J7" s="133"/>
      <c r="K7" s="133"/>
      <c r="L7" s="133"/>
      <c r="M7" s="133"/>
      <c r="N7" s="133"/>
      <c r="O7" s="133"/>
      <c r="P7" s="133"/>
      <c r="Q7" s="133"/>
      <c r="R7" s="133"/>
      <c r="S7" s="133"/>
      <c r="T7" s="133"/>
      <c r="U7" s="133"/>
      <c r="V7" s="133"/>
      <c r="W7" s="133"/>
    </row>
    <row r="8" spans="1:24" x14ac:dyDescent="0.2">
      <c r="A8" s="3" t="s">
        <v>310</v>
      </c>
      <c r="B8" s="13"/>
      <c r="D8" s="133"/>
      <c r="E8" s="133"/>
      <c r="F8" s="133"/>
      <c r="G8" s="133"/>
      <c r="H8" s="133"/>
      <c r="I8" s="133"/>
      <c r="J8" s="133"/>
      <c r="K8" s="133"/>
      <c r="L8" s="133"/>
      <c r="M8" s="133"/>
      <c r="N8" s="133"/>
      <c r="O8" s="133"/>
      <c r="P8" s="133"/>
      <c r="Q8" s="133"/>
      <c r="R8" s="133"/>
      <c r="S8" s="133"/>
      <c r="T8" s="133"/>
      <c r="U8" s="133"/>
      <c r="V8" s="133"/>
      <c r="W8" s="133"/>
    </row>
    <row r="9" spans="1:24" x14ac:dyDescent="0.2">
      <c r="A9" s="111" t="s">
        <v>313</v>
      </c>
      <c r="B9" s="13"/>
    </row>
    <row r="10" spans="1:24" s="27" customFormat="1" x14ac:dyDescent="0.25">
      <c r="A10" s="26" t="s">
        <v>154</v>
      </c>
      <c r="C10" s="28"/>
      <c r="D10" s="132"/>
      <c r="E10" s="132"/>
      <c r="F10" s="132"/>
      <c r="G10" s="132"/>
      <c r="H10" s="132"/>
      <c r="I10" s="132"/>
      <c r="J10" s="132"/>
      <c r="K10" s="132"/>
      <c r="L10" s="132"/>
      <c r="M10" s="132"/>
      <c r="N10" s="132"/>
      <c r="O10" s="132"/>
      <c r="P10" s="132"/>
      <c r="Q10" s="132"/>
      <c r="R10" s="132"/>
      <c r="S10" s="132"/>
      <c r="T10" s="132"/>
      <c r="U10" s="132"/>
      <c r="V10" s="132"/>
      <c r="W10" s="132"/>
    </row>
    <row r="11" spans="1:24" s="27" customFormat="1" ht="30" customHeight="1" x14ac:dyDescent="0.25">
      <c r="A11" s="35" t="s">
        <v>232</v>
      </c>
      <c r="C11" s="28"/>
      <c r="D11" s="132"/>
      <c r="E11" s="132"/>
      <c r="F11" s="132"/>
      <c r="G11" s="132"/>
      <c r="H11" s="132"/>
      <c r="I11" s="132"/>
      <c r="J11" s="132"/>
      <c r="K11" s="132"/>
      <c r="L11" s="132"/>
      <c r="M11" s="132"/>
      <c r="N11" s="132"/>
      <c r="O11" s="132"/>
      <c r="P11" s="132"/>
      <c r="Q11" s="132"/>
      <c r="R11" s="132"/>
      <c r="S11" s="132"/>
      <c r="T11" s="132"/>
      <c r="U11" s="132"/>
      <c r="V11" s="132"/>
      <c r="W11" s="132"/>
    </row>
    <row r="12" spans="1:24" ht="15.75" customHeight="1" x14ac:dyDescent="0.25">
      <c r="A12" s="23" t="s">
        <v>193</v>
      </c>
      <c r="B12" s="23" t="s">
        <v>156</v>
      </c>
      <c r="C12" s="23" t="s">
        <v>157</v>
      </c>
      <c r="D12" s="24" t="s">
        <v>164</v>
      </c>
      <c r="E12" s="24" t="s">
        <v>165</v>
      </c>
      <c r="F12" s="24" t="s">
        <v>166</v>
      </c>
      <c r="G12" s="24" t="s">
        <v>167</v>
      </c>
      <c r="H12" s="24" t="s">
        <v>168</v>
      </c>
      <c r="I12" s="24" t="s">
        <v>169</v>
      </c>
      <c r="J12" s="24" t="s">
        <v>170</v>
      </c>
      <c r="K12" s="24" t="s">
        <v>171</v>
      </c>
      <c r="L12" s="24" t="s">
        <v>172</v>
      </c>
      <c r="M12" s="24" t="s">
        <v>173</v>
      </c>
      <c r="N12" s="24" t="s">
        <v>174</v>
      </c>
      <c r="O12" s="24" t="s">
        <v>175</v>
      </c>
      <c r="P12" s="24" t="s">
        <v>176</v>
      </c>
      <c r="Q12" s="24" t="s">
        <v>177</v>
      </c>
      <c r="R12" s="24" t="s">
        <v>123</v>
      </c>
      <c r="S12" s="25" t="s">
        <v>150</v>
      </c>
      <c r="T12" s="24" t="s">
        <v>187</v>
      </c>
      <c r="U12" s="24" t="s">
        <v>189</v>
      </c>
      <c r="V12" s="24" t="s">
        <v>257</v>
      </c>
      <c r="W12" s="24" t="s">
        <v>316</v>
      </c>
      <c r="X12" s="24" t="s">
        <v>337</v>
      </c>
    </row>
    <row r="13" spans="1:24" ht="15.75" customHeight="1" x14ac:dyDescent="0.2">
      <c r="A13" s="30" t="s">
        <v>211</v>
      </c>
      <c r="B13" s="17" t="s">
        <v>178</v>
      </c>
      <c r="C13" s="17" t="s">
        <v>48</v>
      </c>
      <c r="D13" s="29">
        <v>0.59399999999999997</v>
      </c>
      <c r="E13" s="29">
        <v>0.58599999999999997</v>
      </c>
      <c r="F13" s="29">
        <v>0.57700000000000007</v>
      </c>
      <c r="G13" s="29">
        <v>0.57299999999999995</v>
      </c>
      <c r="H13" s="29">
        <v>0.55899999999999994</v>
      </c>
      <c r="I13" s="29">
        <v>0.52300000000000002</v>
      </c>
      <c r="J13" s="29">
        <v>0.5</v>
      </c>
      <c r="K13" s="29">
        <v>0.49299999999999999</v>
      </c>
      <c r="L13" s="29">
        <v>0.49299999999999999</v>
      </c>
      <c r="M13" s="29">
        <v>0.495</v>
      </c>
      <c r="N13" s="29">
        <v>0.505</v>
      </c>
      <c r="O13" s="29">
        <v>0.53500000000000003</v>
      </c>
      <c r="P13" s="29">
        <v>0.53400000000000003</v>
      </c>
      <c r="Q13" s="29">
        <v>0.54</v>
      </c>
      <c r="R13" s="29">
        <v>0.53700000000000003</v>
      </c>
      <c r="S13" s="29">
        <v>0.54100000000000004</v>
      </c>
      <c r="T13" s="29">
        <v>0.52300000000000002</v>
      </c>
      <c r="U13" s="29">
        <v>0.51300000000000001</v>
      </c>
      <c r="V13" s="29">
        <v>0.53700000000000003</v>
      </c>
      <c r="W13" s="65">
        <v>0.54</v>
      </c>
      <c r="X13" s="65">
        <v>0.51300000000000001</v>
      </c>
    </row>
    <row r="14" spans="1:24" ht="15.75" customHeight="1" x14ac:dyDescent="0.2">
      <c r="A14" s="30" t="s">
        <v>211</v>
      </c>
      <c r="B14" s="17" t="s">
        <v>178</v>
      </c>
      <c r="C14" s="17" t="s">
        <v>1</v>
      </c>
      <c r="D14" s="29">
        <v>0.63400000000000001</v>
      </c>
      <c r="E14" s="29">
        <v>0.63900000000000001</v>
      </c>
      <c r="F14" s="29">
        <v>0.63100000000000001</v>
      </c>
      <c r="G14" s="29">
        <v>0.626</v>
      </c>
      <c r="H14" s="29">
        <v>0.60699999999999998</v>
      </c>
      <c r="I14" s="29">
        <v>0.57600000000000007</v>
      </c>
      <c r="J14" s="29">
        <v>0.55500000000000005</v>
      </c>
      <c r="K14" s="29">
        <v>0.54200000000000004</v>
      </c>
      <c r="L14" s="29">
        <v>0.53200000000000003</v>
      </c>
      <c r="M14" s="29">
        <v>0.52700000000000002</v>
      </c>
      <c r="N14" s="29">
        <v>0.53299999999999992</v>
      </c>
      <c r="O14" s="29">
        <v>0.56399999999999995</v>
      </c>
      <c r="P14" s="29">
        <v>0.55899999999999994</v>
      </c>
      <c r="Q14" s="29">
        <v>0.59299999999999997</v>
      </c>
      <c r="R14" s="29">
        <v>0.57200000000000006</v>
      </c>
      <c r="S14" s="29">
        <v>0.57899999999999996</v>
      </c>
      <c r="T14" s="29">
        <v>0.52200000000000002</v>
      </c>
      <c r="U14" s="29">
        <v>0.54</v>
      </c>
      <c r="V14" s="29">
        <v>0.57899999999999996</v>
      </c>
      <c r="W14" s="65">
        <v>0.55899999999999994</v>
      </c>
      <c r="X14" s="65">
        <v>0.54799999999999993</v>
      </c>
    </row>
    <row r="15" spans="1:24" ht="31.5" customHeight="1" x14ac:dyDescent="0.2">
      <c r="A15" s="30" t="s">
        <v>211</v>
      </c>
      <c r="B15" s="17" t="s">
        <v>179</v>
      </c>
      <c r="C15" s="17" t="s">
        <v>35</v>
      </c>
      <c r="D15" s="29">
        <v>0.66299999999999992</v>
      </c>
      <c r="E15" s="29">
        <v>0.67500000000000004</v>
      </c>
      <c r="F15" s="29">
        <v>0.70599999999999996</v>
      </c>
      <c r="G15" s="29">
        <v>0.73499999999999999</v>
      </c>
      <c r="H15" s="29">
        <v>0.70099999999999996</v>
      </c>
      <c r="I15" s="29">
        <v>0.71099999999999997</v>
      </c>
      <c r="J15" s="29">
        <v>0.72799999999999998</v>
      </c>
      <c r="K15" s="29">
        <v>0.67900000000000005</v>
      </c>
      <c r="L15" s="29">
        <v>0.69</v>
      </c>
      <c r="M15" s="29">
        <v>0.68500000000000005</v>
      </c>
      <c r="N15" s="29">
        <v>0.65500000000000003</v>
      </c>
      <c r="O15" s="29">
        <v>0.66</v>
      </c>
      <c r="P15" s="29">
        <v>0.54200000000000004</v>
      </c>
      <c r="Q15" s="29">
        <v>0.65700000000000003</v>
      </c>
      <c r="R15" s="29">
        <v>0.59399999999999997</v>
      </c>
      <c r="S15" s="29">
        <v>0.71299999999999997</v>
      </c>
      <c r="T15" s="29">
        <v>0.49299999999999999</v>
      </c>
      <c r="U15" s="29">
        <v>0.49399999999999999</v>
      </c>
      <c r="V15" s="29">
        <v>0.56100000000000005</v>
      </c>
      <c r="W15" s="117" t="s">
        <v>344</v>
      </c>
      <c r="X15" s="117" t="s">
        <v>344</v>
      </c>
    </row>
    <row r="16" spans="1:24" ht="15.75" customHeight="1" x14ac:dyDescent="0.2">
      <c r="A16" s="30" t="s">
        <v>211</v>
      </c>
      <c r="B16" s="17" t="s">
        <v>179</v>
      </c>
      <c r="C16" s="17" t="s">
        <v>36</v>
      </c>
      <c r="D16" s="29">
        <v>0.61599999999999999</v>
      </c>
      <c r="E16" s="29">
        <v>0.61899999999999999</v>
      </c>
      <c r="F16" s="29">
        <v>0.59699999999999998</v>
      </c>
      <c r="G16" s="29">
        <v>0.60099999999999998</v>
      </c>
      <c r="H16" s="29">
        <v>0.57999999999999996</v>
      </c>
      <c r="I16" s="29">
        <v>0.53799999999999992</v>
      </c>
      <c r="J16" s="29">
        <v>0.51900000000000002</v>
      </c>
      <c r="K16" s="29">
        <v>0.505</v>
      </c>
      <c r="L16" s="29">
        <v>0.47100000000000003</v>
      </c>
      <c r="M16" s="29">
        <v>0.502</v>
      </c>
      <c r="N16" s="29">
        <v>0.46899999999999997</v>
      </c>
      <c r="O16" s="29">
        <v>0.54600000000000004</v>
      </c>
      <c r="P16" s="29">
        <v>0.58299999999999996</v>
      </c>
      <c r="Q16" s="29">
        <v>0.53799999999999992</v>
      </c>
      <c r="R16" s="29">
        <v>0.51600000000000001</v>
      </c>
      <c r="S16" s="29">
        <v>0.51900000000000002</v>
      </c>
      <c r="T16" s="29">
        <v>0.55799999999999994</v>
      </c>
      <c r="U16" s="29">
        <v>0.56700000000000006</v>
      </c>
      <c r="V16" s="29">
        <v>0.59</v>
      </c>
      <c r="W16" s="117" t="s">
        <v>344</v>
      </c>
      <c r="X16" s="117" t="s">
        <v>344</v>
      </c>
    </row>
    <row r="17" spans="1:24" ht="15.75" customHeight="1" x14ac:dyDescent="0.2">
      <c r="A17" s="30" t="s">
        <v>211</v>
      </c>
      <c r="B17" s="17" t="s">
        <v>179</v>
      </c>
      <c r="C17" s="17" t="s">
        <v>37</v>
      </c>
      <c r="D17" s="29">
        <v>0.626</v>
      </c>
      <c r="E17" s="29">
        <v>0.625</v>
      </c>
      <c r="F17" s="29">
        <v>0.622</v>
      </c>
      <c r="G17" s="29">
        <v>0.60299999999999998</v>
      </c>
      <c r="H17" s="29">
        <v>0.58599999999999997</v>
      </c>
      <c r="I17" s="29">
        <v>0.56299999999999994</v>
      </c>
      <c r="J17" s="29">
        <v>0.53200000000000003</v>
      </c>
      <c r="K17" s="29">
        <v>0.54</v>
      </c>
      <c r="L17" s="29">
        <v>0.53900000000000003</v>
      </c>
      <c r="M17" s="29">
        <v>0.46</v>
      </c>
      <c r="N17" s="29">
        <v>0.54100000000000004</v>
      </c>
      <c r="O17" s="29">
        <v>0.54799999999999993</v>
      </c>
      <c r="P17" s="29">
        <v>0.498</v>
      </c>
      <c r="Q17" s="29">
        <v>0.60399999999999998</v>
      </c>
      <c r="R17" s="29">
        <v>0.61299999999999999</v>
      </c>
      <c r="S17" s="29">
        <v>0.56299999999999994</v>
      </c>
      <c r="T17" s="29">
        <v>0.442</v>
      </c>
      <c r="U17" s="29">
        <v>0.52600000000000002</v>
      </c>
      <c r="V17" s="29">
        <v>0.57899999999999996</v>
      </c>
      <c r="W17" s="117" t="s">
        <v>344</v>
      </c>
      <c r="X17" s="117" t="s">
        <v>344</v>
      </c>
    </row>
    <row r="18" spans="1:24" ht="15.75" customHeight="1" x14ac:dyDescent="0.2">
      <c r="A18" s="30" t="s">
        <v>211</v>
      </c>
      <c r="B18" s="17" t="s">
        <v>179</v>
      </c>
      <c r="C18" s="17" t="s">
        <v>236</v>
      </c>
      <c r="D18" s="29">
        <v>0.71299999999999997</v>
      </c>
      <c r="E18" s="29">
        <v>0.67299999999999993</v>
      </c>
      <c r="F18" s="29">
        <v>0.69</v>
      </c>
      <c r="G18" s="29">
        <v>0.628</v>
      </c>
      <c r="H18" s="29">
        <v>0.63700000000000001</v>
      </c>
      <c r="I18" s="29">
        <v>0.56999999999999995</v>
      </c>
      <c r="J18" s="29">
        <v>0.53400000000000003</v>
      </c>
      <c r="K18" s="29">
        <v>0.55399999999999994</v>
      </c>
      <c r="L18" s="29">
        <v>0.53799999999999992</v>
      </c>
      <c r="M18" s="29">
        <v>0.59200000000000008</v>
      </c>
      <c r="N18" s="29">
        <v>0.52</v>
      </c>
      <c r="O18" s="29">
        <v>0.53500000000000003</v>
      </c>
      <c r="P18" s="29">
        <v>0.56899999999999995</v>
      </c>
      <c r="Q18" s="29">
        <v>0.61399999999999999</v>
      </c>
      <c r="R18" s="29">
        <v>0.61399999999999999</v>
      </c>
      <c r="S18" s="29">
        <v>0.60299999999999998</v>
      </c>
      <c r="T18" s="29">
        <v>0.57100000000000006</v>
      </c>
      <c r="U18" s="29">
        <v>0.52100000000000002</v>
      </c>
      <c r="V18" s="29">
        <v>0.621</v>
      </c>
      <c r="W18" s="117" t="s">
        <v>344</v>
      </c>
      <c r="X18" s="117" t="s">
        <v>344</v>
      </c>
    </row>
    <row r="19" spans="1:24" ht="15.75" customHeight="1" x14ac:dyDescent="0.2">
      <c r="A19" s="30" t="s">
        <v>211</v>
      </c>
      <c r="B19" s="17" t="s">
        <v>179</v>
      </c>
      <c r="C19" s="17" t="s">
        <v>38</v>
      </c>
      <c r="D19" s="29">
        <v>0.63800000000000001</v>
      </c>
      <c r="E19" s="29">
        <v>0.64200000000000002</v>
      </c>
      <c r="F19" s="29">
        <v>0.63100000000000001</v>
      </c>
      <c r="G19" s="29">
        <v>0.59699999999999998</v>
      </c>
      <c r="H19" s="29">
        <v>0.59499999999999997</v>
      </c>
      <c r="I19" s="29">
        <v>0.55200000000000005</v>
      </c>
      <c r="J19" s="29">
        <v>0.57999999999999996</v>
      </c>
      <c r="K19" s="29">
        <v>0.53700000000000003</v>
      </c>
      <c r="L19" s="29">
        <v>0.54500000000000004</v>
      </c>
      <c r="M19" s="29">
        <v>0.51900000000000002</v>
      </c>
      <c r="N19" s="29">
        <v>0.53200000000000003</v>
      </c>
      <c r="O19" s="29">
        <v>0.54799999999999993</v>
      </c>
      <c r="P19" s="29">
        <v>0.55399999999999994</v>
      </c>
      <c r="Q19" s="29">
        <v>0.63100000000000001</v>
      </c>
      <c r="R19" s="29">
        <v>0.57299999999999995</v>
      </c>
      <c r="S19" s="29">
        <v>0.59200000000000008</v>
      </c>
      <c r="T19" s="29">
        <v>0.47499999999999998</v>
      </c>
      <c r="U19" s="29">
        <v>0.43200000000000005</v>
      </c>
      <c r="V19" s="29">
        <v>0.57399999999999995</v>
      </c>
      <c r="W19" s="117" t="s">
        <v>344</v>
      </c>
      <c r="X19" s="117" t="s">
        <v>344</v>
      </c>
    </row>
    <row r="20" spans="1:24" ht="15.75" customHeight="1" x14ac:dyDescent="0.2">
      <c r="A20" s="30" t="s">
        <v>211</v>
      </c>
      <c r="B20" s="17" t="s">
        <v>179</v>
      </c>
      <c r="C20" s="17" t="s">
        <v>121</v>
      </c>
      <c r="D20" s="29">
        <v>0.72400000000000009</v>
      </c>
      <c r="E20" s="29">
        <v>0.71</v>
      </c>
      <c r="F20" s="29">
        <v>0.67700000000000005</v>
      </c>
      <c r="G20" s="29">
        <v>0.70299999999999996</v>
      </c>
      <c r="H20" s="29">
        <v>0.65700000000000003</v>
      </c>
      <c r="I20" s="29">
        <v>0.63600000000000001</v>
      </c>
      <c r="J20" s="29">
        <v>0.61799999999999999</v>
      </c>
      <c r="K20" s="29">
        <v>0.61899999999999999</v>
      </c>
      <c r="L20" s="29">
        <v>0.62</v>
      </c>
      <c r="M20" s="29">
        <v>0.57499999999999996</v>
      </c>
      <c r="N20" s="29">
        <v>0.64300000000000002</v>
      </c>
      <c r="O20" s="29">
        <v>0.65300000000000002</v>
      </c>
      <c r="P20" s="29">
        <v>0.63700000000000001</v>
      </c>
      <c r="Q20" s="29">
        <v>0.68500000000000005</v>
      </c>
      <c r="R20" s="29">
        <v>0.67099999999999993</v>
      </c>
      <c r="S20" s="29">
        <v>0.67200000000000004</v>
      </c>
      <c r="T20" s="29">
        <v>0.64400000000000002</v>
      </c>
      <c r="U20" s="29">
        <v>0.59899999999999998</v>
      </c>
      <c r="V20" s="29">
        <v>0.57499999999999996</v>
      </c>
      <c r="W20" s="117" t="s">
        <v>344</v>
      </c>
      <c r="X20" s="117" t="s">
        <v>344</v>
      </c>
    </row>
    <row r="21" spans="1:24" ht="15.75" customHeight="1" x14ac:dyDescent="0.2">
      <c r="A21" s="30" t="s">
        <v>211</v>
      </c>
      <c r="B21" s="17" t="s">
        <v>179</v>
      </c>
      <c r="C21" s="17" t="s">
        <v>39</v>
      </c>
      <c r="D21" s="29">
        <v>0.57999999999999996</v>
      </c>
      <c r="E21" s="29">
        <v>0.61699999999999999</v>
      </c>
      <c r="F21" s="29">
        <v>0.624</v>
      </c>
      <c r="G21" s="29">
        <v>0.60499999999999998</v>
      </c>
      <c r="H21" s="29">
        <v>0.61499999999999999</v>
      </c>
      <c r="I21" s="29">
        <v>0.56999999999999995</v>
      </c>
      <c r="J21" s="29">
        <v>0.51900000000000002</v>
      </c>
      <c r="K21" s="29">
        <v>0.47200000000000003</v>
      </c>
      <c r="L21" s="29">
        <v>0.47499999999999998</v>
      </c>
      <c r="M21" s="29">
        <v>0.51100000000000001</v>
      </c>
      <c r="N21" s="29">
        <v>0.56299999999999994</v>
      </c>
      <c r="O21" s="29">
        <v>0.52500000000000002</v>
      </c>
      <c r="P21" s="29">
        <v>0.52200000000000002</v>
      </c>
      <c r="Q21" s="29">
        <v>0.57899999999999996</v>
      </c>
      <c r="R21" s="29">
        <v>0.51900000000000002</v>
      </c>
      <c r="S21" s="29">
        <v>0.621</v>
      </c>
      <c r="T21" s="29">
        <v>0.52</v>
      </c>
      <c r="U21" s="29">
        <v>0.501</v>
      </c>
      <c r="V21" s="29">
        <v>0.57600000000000007</v>
      </c>
      <c r="W21" s="117" t="s">
        <v>344</v>
      </c>
      <c r="X21" s="117" t="s">
        <v>344</v>
      </c>
    </row>
    <row r="22" spans="1:24" ht="15.75" customHeight="1" x14ac:dyDescent="0.2">
      <c r="A22" s="30" t="s">
        <v>211</v>
      </c>
      <c r="B22" s="17" t="s">
        <v>179</v>
      </c>
      <c r="C22" s="17" t="s">
        <v>40</v>
      </c>
      <c r="D22" s="29">
        <v>0.69200000000000006</v>
      </c>
      <c r="E22" s="29">
        <v>0.66200000000000003</v>
      </c>
      <c r="F22" s="29">
        <v>0.68700000000000006</v>
      </c>
      <c r="G22" s="29">
        <v>0.65599999999999992</v>
      </c>
      <c r="H22" s="29">
        <v>0.626</v>
      </c>
      <c r="I22" s="29">
        <v>0.60699999999999998</v>
      </c>
      <c r="J22" s="29">
        <v>0.52100000000000002</v>
      </c>
      <c r="K22" s="29">
        <v>0.55500000000000005</v>
      </c>
      <c r="L22" s="29">
        <v>0.52700000000000002</v>
      </c>
      <c r="M22" s="29">
        <v>0.59799999999999998</v>
      </c>
      <c r="N22" s="29">
        <v>0.60199999999999998</v>
      </c>
      <c r="O22" s="29">
        <v>0.63700000000000001</v>
      </c>
      <c r="P22" s="29">
        <v>0.61399999999999999</v>
      </c>
      <c r="Q22" s="29">
        <v>0.61699999999999999</v>
      </c>
      <c r="R22" s="29">
        <v>0.55000000000000004</v>
      </c>
      <c r="S22" s="29">
        <v>0.55799999999999994</v>
      </c>
      <c r="T22" s="29">
        <v>0.51500000000000001</v>
      </c>
      <c r="U22" s="29">
        <v>0.49399999999999999</v>
      </c>
      <c r="V22" s="29">
        <v>0.498</v>
      </c>
      <c r="W22" s="117" t="s">
        <v>344</v>
      </c>
      <c r="X22" s="117" t="s">
        <v>344</v>
      </c>
    </row>
    <row r="23" spans="1:24" ht="31.5" customHeight="1" x14ac:dyDescent="0.2">
      <c r="A23" s="30" t="s">
        <v>211</v>
      </c>
      <c r="B23" s="17" t="s">
        <v>180</v>
      </c>
      <c r="C23" s="17" t="s">
        <v>41</v>
      </c>
      <c r="D23" s="29">
        <v>0.71700000000000008</v>
      </c>
      <c r="E23" s="29">
        <v>0.69599999999999995</v>
      </c>
      <c r="F23" s="29">
        <v>0.68599999999999994</v>
      </c>
      <c r="G23" s="29">
        <v>0.71200000000000008</v>
      </c>
      <c r="H23" s="29">
        <v>0.65400000000000003</v>
      </c>
      <c r="I23" s="29">
        <v>0.60099999999999998</v>
      </c>
      <c r="J23" s="29">
        <v>0.58799999999999997</v>
      </c>
      <c r="K23" s="29">
        <v>0.52400000000000002</v>
      </c>
      <c r="L23" s="29">
        <v>0.56399999999999995</v>
      </c>
      <c r="M23" s="29">
        <v>0.58099999999999996</v>
      </c>
      <c r="N23" s="29">
        <v>0.66200000000000003</v>
      </c>
      <c r="O23" s="29">
        <v>0.64200000000000002</v>
      </c>
      <c r="P23" s="29">
        <v>0.64500000000000002</v>
      </c>
      <c r="Q23" s="29">
        <v>0.70599999999999996</v>
      </c>
      <c r="R23" s="29">
        <v>0.66799999999999993</v>
      </c>
      <c r="S23" s="29">
        <v>0.70900000000000007</v>
      </c>
      <c r="T23" s="29">
        <v>0.56799999999999995</v>
      </c>
      <c r="U23" s="29">
        <v>0.54899999999999993</v>
      </c>
      <c r="V23" s="29">
        <v>0.623</v>
      </c>
      <c r="W23" s="117" t="s">
        <v>344</v>
      </c>
      <c r="X23" s="117" t="s">
        <v>344</v>
      </c>
    </row>
    <row r="24" spans="1:24" ht="15.75" customHeight="1" x14ac:dyDescent="0.2">
      <c r="A24" s="30" t="s">
        <v>211</v>
      </c>
      <c r="B24" s="17" t="s">
        <v>180</v>
      </c>
      <c r="C24" s="17" t="s">
        <v>42</v>
      </c>
      <c r="D24" s="29">
        <v>0.67599999999999993</v>
      </c>
      <c r="E24" s="29">
        <v>0.67</v>
      </c>
      <c r="F24" s="29">
        <v>0.67400000000000004</v>
      </c>
      <c r="G24" s="29">
        <v>0.66299999999999992</v>
      </c>
      <c r="H24" s="29">
        <v>0.64700000000000002</v>
      </c>
      <c r="I24" s="29">
        <v>0.63400000000000001</v>
      </c>
      <c r="J24" s="29">
        <v>0.59</v>
      </c>
      <c r="K24" s="29">
        <v>0.58399999999999996</v>
      </c>
      <c r="L24" s="29">
        <v>0.59499999999999997</v>
      </c>
      <c r="M24" s="29">
        <v>0.58499999999999996</v>
      </c>
      <c r="N24" s="29">
        <v>0.59</v>
      </c>
      <c r="O24" s="29">
        <v>0.621</v>
      </c>
      <c r="P24" s="29">
        <v>0.60399999999999998</v>
      </c>
      <c r="Q24" s="29">
        <v>0.64700000000000002</v>
      </c>
      <c r="R24" s="29">
        <v>0.60499999999999998</v>
      </c>
      <c r="S24" s="29">
        <v>0.64500000000000002</v>
      </c>
      <c r="T24" s="29">
        <v>0.56399999999999995</v>
      </c>
      <c r="U24" s="29">
        <v>0.53900000000000003</v>
      </c>
      <c r="V24" s="29">
        <v>0.56399999999999995</v>
      </c>
      <c r="W24" s="117" t="s">
        <v>344</v>
      </c>
      <c r="X24" s="117" t="s">
        <v>344</v>
      </c>
    </row>
    <row r="25" spans="1:24" ht="15.75" customHeight="1" x14ac:dyDescent="0.2">
      <c r="A25" s="30" t="s">
        <v>211</v>
      </c>
      <c r="B25" s="17" t="s">
        <v>180</v>
      </c>
      <c r="C25" s="17" t="s">
        <v>43</v>
      </c>
      <c r="D25" s="29">
        <v>0.67099999999999993</v>
      </c>
      <c r="E25" s="29">
        <v>0.64800000000000002</v>
      </c>
      <c r="F25" s="29">
        <v>0.66099999999999992</v>
      </c>
      <c r="G25" s="29">
        <v>0.63300000000000001</v>
      </c>
      <c r="H25" s="29">
        <v>0.624</v>
      </c>
      <c r="I25" s="29">
        <v>0.57200000000000006</v>
      </c>
      <c r="J25" s="29">
        <v>0.54899999999999993</v>
      </c>
      <c r="K25" s="29">
        <v>0.53700000000000003</v>
      </c>
      <c r="L25" s="29">
        <v>0.55600000000000005</v>
      </c>
      <c r="M25" s="29">
        <v>0.54200000000000004</v>
      </c>
      <c r="N25" s="29">
        <v>0.55799999999999994</v>
      </c>
      <c r="O25" s="29">
        <v>0.55899999999999994</v>
      </c>
      <c r="P25" s="29">
        <v>0.61299999999999999</v>
      </c>
      <c r="Q25" s="29">
        <v>0.61199999999999999</v>
      </c>
      <c r="R25" s="29">
        <v>0.59399999999999997</v>
      </c>
      <c r="S25" s="29">
        <v>0.56799999999999995</v>
      </c>
      <c r="T25" s="29">
        <v>0.53400000000000003</v>
      </c>
      <c r="U25" s="29">
        <v>0.56299999999999994</v>
      </c>
      <c r="V25" s="29">
        <v>0.61399999999999999</v>
      </c>
      <c r="W25" s="117" t="s">
        <v>344</v>
      </c>
      <c r="X25" s="117" t="s">
        <v>344</v>
      </c>
    </row>
    <row r="26" spans="1:24" ht="15.75" customHeight="1" x14ac:dyDescent="0.2">
      <c r="A26" s="30" t="s">
        <v>211</v>
      </c>
      <c r="B26" s="17" t="s">
        <v>180</v>
      </c>
      <c r="C26" s="17" t="s">
        <v>44</v>
      </c>
      <c r="D26" s="29">
        <v>0.55399999999999994</v>
      </c>
      <c r="E26" s="29">
        <v>0.60199999999999998</v>
      </c>
      <c r="F26" s="29">
        <v>0.56299999999999994</v>
      </c>
      <c r="G26" s="29">
        <v>0.58499999999999996</v>
      </c>
      <c r="H26" s="29">
        <v>0.55600000000000005</v>
      </c>
      <c r="I26" s="29">
        <v>0.53799999999999992</v>
      </c>
      <c r="J26" s="29">
        <v>0.53600000000000003</v>
      </c>
      <c r="K26" s="29">
        <v>0.51900000000000002</v>
      </c>
      <c r="L26" s="29">
        <v>0.46</v>
      </c>
      <c r="M26" s="29">
        <v>0.46600000000000003</v>
      </c>
      <c r="N26" s="29">
        <v>0.45200000000000001</v>
      </c>
      <c r="O26" s="29">
        <v>0.52400000000000002</v>
      </c>
      <c r="P26" s="29">
        <v>0.45500000000000002</v>
      </c>
      <c r="Q26" s="29">
        <v>0.52</v>
      </c>
      <c r="R26" s="29">
        <v>0.51400000000000001</v>
      </c>
      <c r="S26" s="29">
        <v>0.53400000000000003</v>
      </c>
      <c r="T26" s="29">
        <v>0.46899999999999997</v>
      </c>
      <c r="U26" s="29">
        <v>0.50900000000000001</v>
      </c>
      <c r="V26" s="29">
        <v>0.54400000000000004</v>
      </c>
      <c r="W26" s="117" t="s">
        <v>344</v>
      </c>
      <c r="X26" s="117" t="s">
        <v>344</v>
      </c>
    </row>
    <row r="27" spans="1:24" ht="31.5" customHeight="1" x14ac:dyDescent="0.2">
      <c r="A27" s="30" t="s">
        <v>211</v>
      </c>
      <c r="B27" s="17" t="s">
        <v>181</v>
      </c>
      <c r="C27" s="17" t="s">
        <v>45</v>
      </c>
      <c r="D27" s="29">
        <f>D20</f>
        <v>0.72400000000000009</v>
      </c>
      <c r="E27" s="29">
        <f t="shared" ref="E27:U27" si="0">E20</f>
        <v>0.71</v>
      </c>
      <c r="F27" s="29">
        <f t="shared" si="0"/>
        <v>0.67700000000000005</v>
      </c>
      <c r="G27" s="29">
        <f t="shared" si="0"/>
        <v>0.70299999999999996</v>
      </c>
      <c r="H27" s="29">
        <f t="shared" si="0"/>
        <v>0.65700000000000003</v>
      </c>
      <c r="I27" s="29">
        <f t="shared" si="0"/>
        <v>0.63600000000000001</v>
      </c>
      <c r="J27" s="29">
        <f t="shared" si="0"/>
        <v>0.61799999999999999</v>
      </c>
      <c r="K27" s="29">
        <f t="shared" si="0"/>
        <v>0.61899999999999999</v>
      </c>
      <c r="L27" s="29">
        <f t="shared" si="0"/>
        <v>0.62</v>
      </c>
      <c r="M27" s="29">
        <f t="shared" si="0"/>
        <v>0.57499999999999996</v>
      </c>
      <c r="N27" s="29">
        <f t="shared" si="0"/>
        <v>0.64300000000000002</v>
      </c>
      <c r="O27" s="29">
        <f t="shared" si="0"/>
        <v>0.65300000000000002</v>
      </c>
      <c r="P27" s="29">
        <f t="shared" si="0"/>
        <v>0.63700000000000001</v>
      </c>
      <c r="Q27" s="29">
        <f t="shared" si="0"/>
        <v>0.68500000000000005</v>
      </c>
      <c r="R27" s="29">
        <f t="shared" si="0"/>
        <v>0.67099999999999993</v>
      </c>
      <c r="S27" s="29">
        <f t="shared" si="0"/>
        <v>0.67200000000000004</v>
      </c>
      <c r="T27" s="29">
        <f t="shared" si="0"/>
        <v>0.64400000000000002</v>
      </c>
      <c r="U27" s="29">
        <f t="shared" si="0"/>
        <v>0.59899999999999998</v>
      </c>
      <c r="V27" s="29">
        <f t="shared" ref="V27" si="1">V20</f>
        <v>0.57499999999999996</v>
      </c>
      <c r="W27" s="117" t="s">
        <v>344</v>
      </c>
      <c r="X27" s="117" t="s">
        <v>344</v>
      </c>
    </row>
    <row r="28" spans="1:24" ht="15.75" customHeight="1" x14ac:dyDescent="0.2">
      <c r="A28" s="30" t="s">
        <v>211</v>
      </c>
      <c r="B28" s="17" t="s">
        <v>181</v>
      </c>
      <c r="C28" s="17" t="s">
        <v>120</v>
      </c>
      <c r="D28" s="29">
        <f>D22</f>
        <v>0.69200000000000006</v>
      </c>
      <c r="E28" s="29">
        <f t="shared" ref="E28:U28" si="2">E22</f>
        <v>0.66200000000000003</v>
      </c>
      <c r="F28" s="29">
        <f t="shared" si="2"/>
        <v>0.68700000000000006</v>
      </c>
      <c r="G28" s="29">
        <f t="shared" si="2"/>
        <v>0.65599999999999992</v>
      </c>
      <c r="H28" s="29">
        <f t="shared" si="2"/>
        <v>0.626</v>
      </c>
      <c r="I28" s="29">
        <f t="shared" si="2"/>
        <v>0.60699999999999998</v>
      </c>
      <c r="J28" s="29">
        <f t="shared" si="2"/>
        <v>0.52100000000000002</v>
      </c>
      <c r="K28" s="29">
        <f t="shared" si="2"/>
        <v>0.55500000000000005</v>
      </c>
      <c r="L28" s="29">
        <f t="shared" si="2"/>
        <v>0.52700000000000002</v>
      </c>
      <c r="M28" s="29">
        <f t="shared" si="2"/>
        <v>0.59799999999999998</v>
      </c>
      <c r="N28" s="29">
        <f t="shared" si="2"/>
        <v>0.60199999999999998</v>
      </c>
      <c r="O28" s="29">
        <f t="shared" si="2"/>
        <v>0.63700000000000001</v>
      </c>
      <c r="P28" s="29">
        <f t="shared" si="2"/>
        <v>0.61399999999999999</v>
      </c>
      <c r="Q28" s="29">
        <f t="shared" si="2"/>
        <v>0.61699999999999999</v>
      </c>
      <c r="R28" s="29">
        <f t="shared" si="2"/>
        <v>0.55000000000000004</v>
      </c>
      <c r="S28" s="29">
        <f t="shared" si="2"/>
        <v>0.55799999999999994</v>
      </c>
      <c r="T28" s="29">
        <f t="shared" si="2"/>
        <v>0.51500000000000001</v>
      </c>
      <c r="U28" s="29">
        <f t="shared" si="2"/>
        <v>0.49399999999999999</v>
      </c>
      <c r="V28" s="29">
        <f t="shared" ref="V28" si="3">V22</f>
        <v>0.498</v>
      </c>
      <c r="W28" s="117" t="s">
        <v>344</v>
      </c>
      <c r="X28" s="117" t="s">
        <v>344</v>
      </c>
    </row>
    <row r="29" spans="1:24" ht="15.75" customHeight="1" x14ac:dyDescent="0.2">
      <c r="A29" s="30" t="s">
        <v>211</v>
      </c>
      <c r="B29" s="17" t="s">
        <v>181</v>
      </c>
      <c r="C29" s="17" t="s">
        <v>46</v>
      </c>
      <c r="D29" s="29">
        <v>0.624</v>
      </c>
      <c r="E29" s="29">
        <v>0.63100000000000001</v>
      </c>
      <c r="F29" s="29">
        <v>0.625</v>
      </c>
      <c r="G29" s="29">
        <v>0.61799999999999999</v>
      </c>
      <c r="H29" s="29">
        <v>0.60199999999999998</v>
      </c>
      <c r="I29" s="29">
        <v>0.56899999999999995</v>
      </c>
      <c r="J29" s="29">
        <v>0.55100000000000005</v>
      </c>
      <c r="K29" s="29">
        <v>0.53400000000000003</v>
      </c>
      <c r="L29" s="29">
        <v>0.52500000000000002</v>
      </c>
      <c r="M29" s="29">
        <v>0.51900000000000002</v>
      </c>
      <c r="N29" s="29">
        <v>0.52</v>
      </c>
      <c r="O29" s="29">
        <v>0.55299999999999994</v>
      </c>
      <c r="P29" s="29">
        <v>0.54899999999999993</v>
      </c>
      <c r="Q29" s="29">
        <v>0.58299999999999996</v>
      </c>
      <c r="R29" s="29">
        <v>0.56399999999999995</v>
      </c>
      <c r="S29" s="29">
        <v>0.57100000000000006</v>
      </c>
      <c r="T29" s="29">
        <v>0.51200000000000001</v>
      </c>
      <c r="U29" s="29">
        <v>0.53600000000000003</v>
      </c>
      <c r="V29" s="29">
        <v>0.58299999999999996</v>
      </c>
      <c r="W29" s="117" t="s">
        <v>344</v>
      </c>
      <c r="X29" s="117" t="s">
        <v>344</v>
      </c>
    </row>
    <row r="30" spans="1:24" ht="31.5" customHeight="1" x14ac:dyDescent="0.2">
      <c r="A30" s="30" t="s">
        <v>211</v>
      </c>
      <c r="B30" s="17" t="s">
        <v>47</v>
      </c>
      <c r="C30" s="17" t="s">
        <v>22</v>
      </c>
      <c r="D30" s="29">
        <v>0.624</v>
      </c>
      <c r="E30" s="29">
        <v>0.66200000000000003</v>
      </c>
      <c r="F30" s="29">
        <v>0.70099999999999996</v>
      </c>
      <c r="G30" s="29">
        <v>0.745</v>
      </c>
      <c r="H30" s="29">
        <v>0.70599999999999996</v>
      </c>
      <c r="I30" s="29">
        <v>0.72599999999999998</v>
      </c>
      <c r="J30" s="29">
        <v>0.74299999999999999</v>
      </c>
      <c r="K30" s="29">
        <v>0.65</v>
      </c>
      <c r="L30" s="29">
        <v>0.66799999999999993</v>
      </c>
      <c r="M30" s="29">
        <v>0.70599999999999996</v>
      </c>
      <c r="N30" s="29">
        <v>0.61899999999999999</v>
      </c>
      <c r="O30" s="29">
        <v>0.64</v>
      </c>
      <c r="P30" s="29">
        <v>0.42899999999999999</v>
      </c>
      <c r="Q30" s="29">
        <v>0.61599999999999999</v>
      </c>
      <c r="R30" s="29">
        <v>0.56799999999999995</v>
      </c>
      <c r="S30" s="29">
        <v>0.73</v>
      </c>
      <c r="T30" s="29">
        <v>0.38400000000000001</v>
      </c>
      <c r="U30" s="29">
        <v>0.41499999999999998</v>
      </c>
      <c r="V30" s="29">
        <v>0.51200000000000001</v>
      </c>
      <c r="W30" s="117" t="s">
        <v>344</v>
      </c>
      <c r="X30" s="117" t="s">
        <v>344</v>
      </c>
    </row>
    <row r="31" spans="1:24" ht="15.75" customHeight="1" x14ac:dyDescent="0.2">
      <c r="A31" s="30" t="s">
        <v>211</v>
      </c>
      <c r="B31" s="17" t="s">
        <v>47</v>
      </c>
      <c r="C31" s="17" t="s">
        <v>23</v>
      </c>
      <c r="D31" s="29">
        <v>0.71599999999999997</v>
      </c>
      <c r="E31" s="29">
        <v>0.69200000000000006</v>
      </c>
      <c r="F31" s="29">
        <v>0.71400000000000008</v>
      </c>
      <c r="G31" s="29">
        <v>0.72099999999999997</v>
      </c>
      <c r="H31" s="29">
        <v>0.69400000000000006</v>
      </c>
      <c r="I31" s="29">
        <v>0.69099999999999995</v>
      </c>
      <c r="J31" s="29">
        <v>0.70599999999999996</v>
      </c>
      <c r="K31" s="29">
        <v>0.71900000000000008</v>
      </c>
      <c r="L31" s="29">
        <v>0.72199999999999998</v>
      </c>
      <c r="M31" s="29">
        <v>0.65599999999999992</v>
      </c>
      <c r="N31" s="29">
        <v>0.70200000000000007</v>
      </c>
      <c r="O31" s="29">
        <v>0.68599999999999994</v>
      </c>
      <c r="P31" s="29">
        <v>0.68299999999999994</v>
      </c>
      <c r="Q31" s="29">
        <v>0.70499999999999996</v>
      </c>
      <c r="R31" s="29">
        <v>0.625</v>
      </c>
      <c r="S31" s="29">
        <v>0.69200000000000006</v>
      </c>
      <c r="T31" s="29">
        <v>0.60799999999999998</v>
      </c>
      <c r="U31" s="29">
        <v>0.54600000000000004</v>
      </c>
      <c r="V31" s="29">
        <v>0.61199999999999999</v>
      </c>
      <c r="W31" s="117" t="s">
        <v>344</v>
      </c>
      <c r="X31" s="117" t="s">
        <v>344</v>
      </c>
    </row>
    <row r="32" spans="1:24" ht="15.75" customHeight="1" x14ac:dyDescent="0.2">
      <c r="A32" s="30" t="s">
        <v>211</v>
      </c>
      <c r="B32" s="17" t="s">
        <v>47</v>
      </c>
      <c r="C32" s="17" t="s">
        <v>29</v>
      </c>
      <c r="D32" s="29">
        <v>0.623</v>
      </c>
      <c r="E32" s="29">
        <v>0.69099999999999995</v>
      </c>
      <c r="F32" s="29">
        <v>0.69099999999999995</v>
      </c>
      <c r="G32" s="29">
        <v>0.65400000000000003</v>
      </c>
      <c r="H32" s="29">
        <v>0.69299999999999995</v>
      </c>
      <c r="I32" s="29">
        <v>0.65300000000000002</v>
      </c>
      <c r="J32" s="29">
        <v>0.51400000000000001</v>
      </c>
      <c r="K32" s="29">
        <v>0.46200000000000002</v>
      </c>
      <c r="L32" s="29">
        <v>0.60699999999999998</v>
      </c>
      <c r="M32" s="29">
        <v>0.59299999999999997</v>
      </c>
      <c r="N32" s="29">
        <v>0.51200000000000001</v>
      </c>
      <c r="O32" s="29">
        <v>0.57600000000000007</v>
      </c>
      <c r="P32" s="29">
        <v>0.63</v>
      </c>
      <c r="Q32" s="29">
        <v>0.61399999999999999</v>
      </c>
      <c r="R32" s="29">
        <v>0.61699999999999999</v>
      </c>
      <c r="S32" s="29">
        <v>0.59</v>
      </c>
      <c r="T32" s="29">
        <v>0.47899999999999998</v>
      </c>
      <c r="U32" s="29">
        <v>0.57200000000000006</v>
      </c>
      <c r="V32" s="29">
        <v>0.66</v>
      </c>
      <c r="W32" s="117" t="s">
        <v>344</v>
      </c>
      <c r="X32" s="117" t="s">
        <v>344</v>
      </c>
    </row>
    <row r="33" spans="1:24" ht="15.75" customHeight="1" x14ac:dyDescent="0.2">
      <c r="A33" s="30" t="s">
        <v>211</v>
      </c>
      <c r="B33" s="17" t="s">
        <v>47</v>
      </c>
      <c r="C33" s="17" t="s">
        <v>24</v>
      </c>
      <c r="D33" s="29">
        <v>0.72</v>
      </c>
      <c r="E33" s="29">
        <v>0.66400000000000003</v>
      </c>
      <c r="F33" s="29">
        <v>0.69400000000000006</v>
      </c>
      <c r="G33" s="29">
        <v>0.65500000000000003</v>
      </c>
      <c r="H33" s="29">
        <v>0.58899999999999997</v>
      </c>
      <c r="I33" s="29">
        <v>0.58799999999999997</v>
      </c>
      <c r="J33" s="29">
        <v>0.57200000000000006</v>
      </c>
      <c r="K33" s="29">
        <v>0.52100000000000002</v>
      </c>
      <c r="L33" s="29">
        <v>0.49299999999999999</v>
      </c>
      <c r="M33" s="29">
        <v>0.55399999999999994</v>
      </c>
      <c r="N33" s="29">
        <v>0.63800000000000001</v>
      </c>
      <c r="O33" s="29">
        <v>0.54100000000000004</v>
      </c>
      <c r="P33" s="29">
        <v>0.61199999999999999</v>
      </c>
      <c r="Q33" s="29">
        <v>0.64700000000000002</v>
      </c>
      <c r="R33" s="29">
        <v>0.629</v>
      </c>
      <c r="S33" s="29">
        <v>0.66799999999999993</v>
      </c>
      <c r="T33" s="29">
        <v>0.58099999999999996</v>
      </c>
      <c r="U33" s="29">
        <v>0.64500000000000002</v>
      </c>
      <c r="V33" s="29">
        <v>0.53400000000000003</v>
      </c>
      <c r="W33" s="117" t="s">
        <v>344</v>
      </c>
      <c r="X33" s="117" t="s">
        <v>344</v>
      </c>
    </row>
    <row r="34" spans="1:24" ht="15.75" customHeight="1" x14ac:dyDescent="0.2">
      <c r="A34" s="30" t="s">
        <v>211</v>
      </c>
      <c r="B34" s="17" t="s">
        <v>47</v>
      </c>
      <c r="C34" s="17" t="s">
        <v>25</v>
      </c>
      <c r="D34" s="29">
        <v>0.54700000000000004</v>
      </c>
      <c r="E34" s="29">
        <v>0.57799999999999996</v>
      </c>
      <c r="F34" s="29">
        <v>0.56899999999999995</v>
      </c>
      <c r="G34" s="29">
        <v>0.57499999999999996</v>
      </c>
      <c r="H34" s="29">
        <v>0.54</v>
      </c>
      <c r="I34" s="29">
        <v>0.56100000000000005</v>
      </c>
      <c r="J34" s="29">
        <v>0.496</v>
      </c>
      <c r="K34" s="29">
        <v>0.51100000000000001</v>
      </c>
      <c r="L34" s="29">
        <v>0.501</v>
      </c>
      <c r="M34" s="29">
        <v>0.37799999999999995</v>
      </c>
      <c r="N34" s="29">
        <v>0.498</v>
      </c>
      <c r="O34" s="29">
        <v>0.505</v>
      </c>
      <c r="P34" s="29">
        <v>0.40100000000000002</v>
      </c>
      <c r="Q34" s="29">
        <v>0.54299999999999993</v>
      </c>
      <c r="R34" s="29">
        <v>0.629</v>
      </c>
      <c r="S34" s="29">
        <v>0.51700000000000002</v>
      </c>
      <c r="T34" s="29">
        <v>0.40500000000000003</v>
      </c>
      <c r="U34" s="29">
        <v>0.57700000000000007</v>
      </c>
      <c r="V34" s="29">
        <v>0.53400000000000003</v>
      </c>
      <c r="W34" s="117" t="s">
        <v>344</v>
      </c>
      <c r="X34" s="117" t="s">
        <v>344</v>
      </c>
    </row>
    <row r="35" spans="1:24" ht="15.75" customHeight="1" x14ac:dyDescent="0.2">
      <c r="A35" s="30" t="s">
        <v>211</v>
      </c>
      <c r="B35" s="17" t="s">
        <v>47</v>
      </c>
      <c r="C35" s="17" t="s">
        <v>2</v>
      </c>
      <c r="D35" s="29">
        <v>0.63900000000000001</v>
      </c>
      <c r="E35" s="29">
        <v>0.69200000000000006</v>
      </c>
      <c r="F35" s="29">
        <v>0.622</v>
      </c>
      <c r="G35" s="29">
        <v>0.61199999999999999</v>
      </c>
      <c r="H35" s="29">
        <v>0.44799999999999995</v>
      </c>
      <c r="I35" s="29">
        <v>0.53600000000000003</v>
      </c>
      <c r="J35" s="29">
        <v>0.69799999999999995</v>
      </c>
      <c r="K35" s="29">
        <v>0.38100000000000001</v>
      </c>
      <c r="L35" s="29">
        <v>0.435</v>
      </c>
      <c r="M35" s="29">
        <v>0.41499999999999998</v>
      </c>
      <c r="N35" s="29">
        <v>0.40500000000000003</v>
      </c>
      <c r="O35" s="29">
        <v>0.5</v>
      </c>
      <c r="P35" s="29">
        <v>0.35499999999999998</v>
      </c>
      <c r="Q35" s="29">
        <v>0.69200000000000006</v>
      </c>
      <c r="R35" s="29">
        <v>0.63600000000000001</v>
      </c>
      <c r="S35" s="29">
        <v>0.67900000000000005</v>
      </c>
      <c r="T35" s="29">
        <v>0.73199999999999998</v>
      </c>
      <c r="U35" s="29">
        <v>0.41600000000000004</v>
      </c>
      <c r="V35" s="29">
        <v>0.59699999999999998</v>
      </c>
      <c r="W35" s="117" t="s">
        <v>344</v>
      </c>
      <c r="X35" s="117" t="s">
        <v>344</v>
      </c>
    </row>
    <row r="36" spans="1:24" ht="15.75" customHeight="1" x14ac:dyDescent="0.2">
      <c r="A36" s="30" t="s">
        <v>211</v>
      </c>
      <c r="B36" s="17" t="s">
        <v>47</v>
      </c>
      <c r="C36" s="17" t="s">
        <v>3</v>
      </c>
      <c r="D36" s="29">
        <v>0.70599999999999996</v>
      </c>
      <c r="E36" s="29">
        <v>0.71200000000000008</v>
      </c>
      <c r="F36" s="29">
        <v>0.67</v>
      </c>
      <c r="G36" s="29">
        <v>0.65099999999999991</v>
      </c>
      <c r="H36" s="29">
        <v>0.622</v>
      </c>
      <c r="I36" s="29">
        <v>0.628</v>
      </c>
      <c r="J36" s="29">
        <v>0.57399999999999995</v>
      </c>
      <c r="K36" s="29">
        <v>0.58700000000000008</v>
      </c>
      <c r="L36" s="29">
        <v>0.52900000000000003</v>
      </c>
      <c r="M36" s="29">
        <v>0.57799999999999996</v>
      </c>
      <c r="N36" s="29">
        <v>0.59399999999999997</v>
      </c>
      <c r="O36" s="29">
        <v>0.64800000000000002</v>
      </c>
      <c r="P36" s="29">
        <v>0.67900000000000005</v>
      </c>
      <c r="Q36" s="29">
        <v>0.626</v>
      </c>
      <c r="R36" s="29">
        <v>0.56399999999999995</v>
      </c>
      <c r="S36" s="29">
        <v>0.54600000000000004</v>
      </c>
      <c r="T36" s="29">
        <v>0.41499999999999998</v>
      </c>
      <c r="U36" s="29">
        <v>0.59499999999999997</v>
      </c>
      <c r="V36" s="29">
        <v>0.46500000000000002</v>
      </c>
      <c r="W36" s="117" t="s">
        <v>344</v>
      </c>
      <c r="X36" s="117" t="s">
        <v>344</v>
      </c>
    </row>
    <row r="37" spans="1:24" ht="15.75" customHeight="1" x14ac:dyDescent="0.2">
      <c r="A37" s="30" t="s">
        <v>211</v>
      </c>
      <c r="B37" s="17" t="s">
        <v>47</v>
      </c>
      <c r="C37" s="17" t="s">
        <v>30</v>
      </c>
      <c r="D37" s="29">
        <v>0.53400000000000003</v>
      </c>
      <c r="E37" s="29">
        <v>0.60399999999999998</v>
      </c>
      <c r="F37" s="29">
        <v>0.61099999999999999</v>
      </c>
      <c r="G37" s="29">
        <v>0.60399999999999998</v>
      </c>
      <c r="H37" s="29">
        <v>0.57100000000000006</v>
      </c>
      <c r="I37" s="29">
        <v>0.47600000000000003</v>
      </c>
      <c r="J37" s="29">
        <v>0.58799999999999997</v>
      </c>
      <c r="K37" s="29">
        <v>0.48599999999999999</v>
      </c>
      <c r="L37" s="29">
        <v>0.49200000000000005</v>
      </c>
      <c r="M37" s="29">
        <v>0.55399999999999994</v>
      </c>
      <c r="N37" s="29">
        <v>0.45799999999999996</v>
      </c>
      <c r="O37" s="29">
        <v>0.43200000000000005</v>
      </c>
      <c r="P37" s="29">
        <v>0.53600000000000003</v>
      </c>
      <c r="Q37" s="29">
        <v>0.58299999999999996</v>
      </c>
      <c r="R37" s="29">
        <v>0.502</v>
      </c>
      <c r="S37" s="29">
        <v>0.53100000000000003</v>
      </c>
      <c r="T37" s="29">
        <v>0.51900000000000002</v>
      </c>
      <c r="U37" s="29">
        <v>0.47399999999999998</v>
      </c>
      <c r="V37" s="29">
        <v>0.51600000000000001</v>
      </c>
      <c r="W37" s="117" t="s">
        <v>344</v>
      </c>
      <c r="X37" s="117" t="s">
        <v>344</v>
      </c>
    </row>
    <row r="38" spans="1:24" ht="15.75" customHeight="1" x14ac:dyDescent="0.2">
      <c r="A38" s="30" t="s">
        <v>211</v>
      </c>
      <c r="B38" s="17" t="s">
        <v>47</v>
      </c>
      <c r="C38" s="17" t="s">
        <v>4</v>
      </c>
      <c r="D38" s="29">
        <v>0.60799999999999998</v>
      </c>
      <c r="E38" s="29">
        <v>0.63</v>
      </c>
      <c r="F38" s="29">
        <v>0.67099999999999993</v>
      </c>
      <c r="G38" s="29">
        <v>0.57100000000000006</v>
      </c>
      <c r="H38" s="29">
        <v>0.65500000000000003</v>
      </c>
      <c r="I38" s="29">
        <v>0.58499999999999996</v>
      </c>
      <c r="J38" s="29">
        <v>0.57899999999999996</v>
      </c>
      <c r="K38" s="29">
        <v>0.505</v>
      </c>
      <c r="L38" s="29">
        <v>0.47299999999999998</v>
      </c>
      <c r="M38" s="29">
        <v>0.51400000000000001</v>
      </c>
      <c r="N38" s="29">
        <v>0.53100000000000003</v>
      </c>
      <c r="O38" s="29">
        <v>0.54500000000000004</v>
      </c>
      <c r="P38" s="29">
        <v>0.44900000000000001</v>
      </c>
      <c r="Q38" s="29">
        <v>0.56100000000000005</v>
      </c>
      <c r="R38" s="29">
        <v>0.47100000000000003</v>
      </c>
      <c r="S38" s="29">
        <v>0.66299999999999992</v>
      </c>
      <c r="T38" s="29">
        <v>0.501</v>
      </c>
      <c r="U38" s="29">
        <v>0.59599999999999997</v>
      </c>
      <c r="V38" s="29">
        <v>0.57899999999999996</v>
      </c>
      <c r="W38" s="117" t="s">
        <v>344</v>
      </c>
      <c r="X38" s="117" t="s">
        <v>344</v>
      </c>
    </row>
    <row r="39" spans="1:24" ht="15.75" customHeight="1" x14ac:dyDescent="0.2">
      <c r="A39" s="30" t="s">
        <v>211</v>
      </c>
      <c r="B39" s="17" t="s">
        <v>47</v>
      </c>
      <c r="C39" s="17" t="s">
        <v>32</v>
      </c>
      <c r="D39" s="29">
        <v>0.6409999999999999</v>
      </c>
      <c r="E39" s="29">
        <v>0.627</v>
      </c>
      <c r="F39" s="29">
        <v>0.71200000000000008</v>
      </c>
      <c r="G39" s="29">
        <v>0.57399999999999995</v>
      </c>
      <c r="H39" s="29">
        <v>0.505</v>
      </c>
      <c r="I39" s="29">
        <v>0.52800000000000002</v>
      </c>
      <c r="J39" s="29">
        <v>0.51900000000000002</v>
      </c>
      <c r="K39" s="29">
        <v>0.51300000000000001</v>
      </c>
      <c r="L39" s="29">
        <v>0.45899999999999996</v>
      </c>
      <c r="M39" s="29">
        <v>0.52500000000000002</v>
      </c>
      <c r="N39" s="29">
        <v>0.46600000000000003</v>
      </c>
      <c r="O39" s="29">
        <v>0.48599999999999999</v>
      </c>
      <c r="P39" s="29">
        <v>0.51500000000000001</v>
      </c>
      <c r="Q39" s="29">
        <v>0.50700000000000001</v>
      </c>
      <c r="R39" s="29">
        <v>0.59399999999999997</v>
      </c>
      <c r="S39" s="29">
        <v>0.57999999999999996</v>
      </c>
      <c r="T39" s="29">
        <v>0.6</v>
      </c>
      <c r="U39" s="29">
        <v>0.58499999999999996</v>
      </c>
      <c r="V39" s="29">
        <v>0.55200000000000005</v>
      </c>
      <c r="W39" s="117" t="s">
        <v>344</v>
      </c>
      <c r="X39" s="117" t="s">
        <v>344</v>
      </c>
    </row>
    <row r="40" spans="1:24" ht="15.75" customHeight="1" x14ac:dyDescent="0.2">
      <c r="A40" s="30" t="s">
        <v>211</v>
      </c>
      <c r="B40" s="17" t="s">
        <v>47</v>
      </c>
      <c r="C40" s="17" t="s">
        <v>5</v>
      </c>
      <c r="D40" s="29">
        <v>0.65200000000000002</v>
      </c>
      <c r="E40" s="29">
        <v>0.623</v>
      </c>
      <c r="F40" s="29">
        <v>0.66299999999999992</v>
      </c>
      <c r="G40" s="29">
        <v>0.67299999999999993</v>
      </c>
      <c r="H40" s="29">
        <v>0.69499999999999995</v>
      </c>
      <c r="I40" s="29">
        <v>0.63300000000000001</v>
      </c>
      <c r="J40" s="29">
        <v>0.49200000000000005</v>
      </c>
      <c r="K40" s="29">
        <v>0.503</v>
      </c>
      <c r="L40" s="29">
        <v>0.60899999999999999</v>
      </c>
      <c r="M40" s="29">
        <v>0.57499999999999996</v>
      </c>
      <c r="N40" s="29">
        <v>0.48299999999999998</v>
      </c>
      <c r="O40" s="29">
        <v>0.51500000000000001</v>
      </c>
      <c r="P40" s="29">
        <v>0.53600000000000003</v>
      </c>
      <c r="Q40" s="29">
        <v>0.64800000000000002</v>
      </c>
      <c r="R40" s="29">
        <v>0.63700000000000001</v>
      </c>
      <c r="S40" s="29">
        <v>0.65099999999999991</v>
      </c>
      <c r="T40" s="29">
        <v>0.48499999999999999</v>
      </c>
      <c r="U40" s="29">
        <v>0.623</v>
      </c>
      <c r="V40" s="29">
        <v>0.6</v>
      </c>
      <c r="W40" s="117" t="s">
        <v>344</v>
      </c>
      <c r="X40" s="117" t="s">
        <v>344</v>
      </c>
    </row>
    <row r="41" spans="1:24" ht="15.75" customHeight="1" x14ac:dyDescent="0.2">
      <c r="A41" s="30" t="s">
        <v>211</v>
      </c>
      <c r="B41" s="17" t="s">
        <v>47</v>
      </c>
      <c r="C41" s="17" t="s">
        <v>6</v>
      </c>
      <c r="D41" s="29">
        <v>0.58799999999999997</v>
      </c>
      <c r="E41" s="29">
        <v>0.68099999999999994</v>
      </c>
      <c r="F41" s="29">
        <v>0.69200000000000006</v>
      </c>
      <c r="G41" s="29">
        <v>0.59</v>
      </c>
      <c r="H41" s="29">
        <v>0.54299999999999993</v>
      </c>
      <c r="I41" s="29">
        <v>0.49200000000000005</v>
      </c>
      <c r="J41" s="29">
        <v>0.47700000000000004</v>
      </c>
      <c r="K41" s="29">
        <v>0.501</v>
      </c>
      <c r="L41" s="29">
        <v>0.44299999999999995</v>
      </c>
      <c r="M41" s="29">
        <v>0.56600000000000006</v>
      </c>
      <c r="N41" s="29">
        <v>0.51800000000000002</v>
      </c>
      <c r="O41" s="29">
        <v>0.48700000000000004</v>
      </c>
      <c r="P41" s="29">
        <v>0.621</v>
      </c>
      <c r="Q41" s="29">
        <v>0.53700000000000003</v>
      </c>
      <c r="R41" s="29">
        <v>0.373</v>
      </c>
      <c r="S41" s="29">
        <v>0.38500000000000001</v>
      </c>
      <c r="T41" s="29">
        <v>0.53799999999999992</v>
      </c>
      <c r="U41" s="29">
        <v>0.39600000000000002</v>
      </c>
      <c r="V41" s="29">
        <v>0.56600000000000006</v>
      </c>
      <c r="W41" s="117" t="s">
        <v>344</v>
      </c>
      <c r="X41" s="117" t="s">
        <v>344</v>
      </c>
    </row>
    <row r="42" spans="1:24" ht="15.75" customHeight="1" x14ac:dyDescent="0.2">
      <c r="A42" s="30" t="s">
        <v>211</v>
      </c>
      <c r="B42" s="17" t="s">
        <v>47</v>
      </c>
      <c r="C42" s="17" t="s">
        <v>8</v>
      </c>
      <c r="D42" s="29">
        <v>0.76400000000000001</v>
      </c>
      <c r="E42" s="29">
        <v>0.66299999999999992</v>
      </c>
      <c r="F42" s="29">
        <v>0.76300000000000001</v>
      </c>
      <c r="G42" s="29">
        <v>0.63500000000000001</v>
      </c>
      <c r="H42" s="29">
        <v>0.74</v>
      </c>
      <c r="I42" s="29">
        <v>0.57899999999999996</v>
      </c>
      <c r="J42" s="29">
        <v>0.55700000000000005</v>
      </c>
      <c r="K42" s="29">
        <v>0.58799999999999997</v>
      </c>
      <c r="L42" s="29">
        <v>0.63800000000000001</v>
      </c>
      <c r="M42" s="29">
        <v>0.64800000000000002</v>
      </c>
      <c r="N42" s="29">
        <v>0.52700000000000002</v>
      </c>
      <c r="O42" s="29">
        <v>0.60499999999999998</v>
      </c>
      <c r="P42" s="29">
        <v>0.64400000000000002</v>
      </c>
      <c r="Q42" s="29">
        <v>0.69</v>
      </c>
      <c r="R42" s="29">
        <v>0.626</v>
      </c>
      <c r="S42" s="29">
        <v>0.60399999999999998</v>
      </c>
      <c r="T42" s="29">
        <v>0.56399999999999995</v>
      </c>
      <c r="U42" s="29">
        <v>0.57100000000000006</v>
      </c>
      <c r="V42" s="29">
        <v>0.64500000000000002</v>
      </c>
      <c r="W42" s="117" t="s">
        <v>344</v>
      </c>
      <c r="X42" s="117" t="s">
        <v>344</v>
      </c>
    </row>
    <row r="43" spans="1:24" ht="15.75" customHeight="1" x14ac:dyDescent="0.2">
      <c r="A43" s="30" t="s">
        <v>211</v>
      </c>
      <c r="B43" s="17" t="s">
        <v>47</v>
      </c>
      <c r="C43" s="17" t="s">
        <v>9</v>
      </c>
      <c r="D43" s="29">
        <v>0.69200000000000006</v>
      </c>
      <c r="E43" s="29">
        <v>0.64900000000000002</v>
      </c>
      <c r="F43" s="29">
        <v>0.622</v>
      </c>
      <c r="G43" s="29">
        <v>0.57799999999999996</v>
      </c>
      <c r="H43" s="29">
        <v>0.57999999999999996</v>
      </c>
      <c r="I43" s="29">
        <v>0.54500000000000004</v>
      </c>
      <c r="J43" s="29">
        <v>0.60399999999999998</v>
      </c>
      <c r="K43" s="29">
        <v>0.58200000000000007</v>
      </c>
      <c r="L43" s="29">
        <v>0.54500000000000004</v>
      </c>
      <c r="M43" s="29">
        <v>0.46299999999999997</v>
      </c>
      <c r="N43" s="29">
        <v>0.57299999999999995</v>
      </c>
      <c r="O43" s="29">
        <v>0.57600000000000007</v>
      </c>
      <c r="P43" s="29">
        <v>0.52200000000000002</v>
      </c>
      <c r="Q43" s="29">
        <v>0.64900000000000002</v>
      </c>
      <c r="R43" s="29">
        <v>0.57799999999999996</v>
      </c>
      <c r="S43" s="29">
        <v>0.57700000000000007</v>
      </c>
      <c r="T43" s="29">
        <v>0.41200000000000003</v>
      </c>
      <c r="U43" s="29">
        <v>0.4</v>
      </c>
      <c r="V43" s="29">
        <v>0.60099999999999998</v>
      </c>
      <c r="W43" s="117" t="s">
        <v>344</v>
      </c>
      <c r="X43" s="117" t="s">
        <v>344</v>
      </c>
    </row>
    <row r="44" spans="1:24" ht="15.75" customHeight="1" x14ac:dyDescent="0.2">
      <c r="A44" s="30" t="s">
        <v>211</v>
      </c>
      <c r="B44" s="17" t="s">
        <v>47</v>
      </c>
      <c r="C44" s="17" t="s">
        <v>33</v>
      </c>
      <c r="D44" s="29">
        <v>0.53900000000000003</v>
      </c>
      <c r="E44" s="29">
        <v>0.59799999999999998</v>
      </c>
      <c r="F44" s="29">
        <v>0.496</v>
      </c>
      <c r="G44" s="29">
        <v>0.52800000000000002</v>
      </c>
      <c r="H44" s="29">
        <v>0.50800000000000001</v>
      </c>
      <c r="I44" s="29">
        <v>0.46500000000000002</v>
      </c>
      <c r="J44" s="29">
        <v>0.47399999999999998</v>
      </c>
      <c r="K44" s="29">
        <v>0.48399999999999999</v>
      </c>
      <c r="L44" s="29">
        <v>0.33700000000000002</v>
      </c>
      <c r="M44" s="29">
        <v>0.41499999999999998</v>
      </c>
      <c r="N44" s="29">
        <v>0.34499999999999997</v>
      </c>
      <c r="O44" s="29">
        <v>0.51800000000000002</v>
      </c>
      <c r="P44" s="29">
        <v>0.48700000000000004</v>
      </c>
      <c r="Q44" s="29">
        <v>0.45100000000000001</v>
      </c>
      <c r="R44" s="29">
        <v>0.40200000000000002</v>
      </c>
      <c r="S44" s="29">
        <v>0.47499999999999998</v>
      </c>
      <c r="T44" s="29">
        <v>0.53299999999999992</v>
      </c>
      <c r="U44" s="29">
        <v>0.49099999999999999</v>
      </c>
      <c r="V44" s="29">
        <v>0.56600000000000006</v>
      </c>
      <c r="W44" s="117" t="s">
        <v>344</v>
      </c>
      <c r="X44" s="117" t="s">
        <v>344</v>
      </c>
    </row>
    <row r="45" spans="1:24" ht="15.75" customHeight="1" x14ac:dyDescent="0.2">
      <c r="A45" s="30" t="s">
        <v>211</v>
      </c>
      <c r="B45" s="17" t="s">
        <v>47</v>
      </c>
      <c r="C45" s="17" t="s">
        <v>10</v>
      </c>
      <c r="D45" s="29">
        <v>0.72900000000000009</v>
      </c>
      <c r="E45" s="29">
        <v>0.75599999999999989</v>
      </c>
      <c r="F45" s="29">
        <v>0.67</v>
      </c>
      <c r="G45" s="29">
        <v>0.69700000000000006</v>
      </c>
      <c r="H45" s="29">
        <v>0.66200000000000003</v>
      </c>
      <c r="I45" s="29">
        <v>0.66799999999999993</v>
      </c>
      <c r="J45" s="29">
        <v>0.60599999999999998</v>
      </c>
      <c r="K45" s="29">
        <v>0.64800000000000002</v>
      </c>
      <c r="L45" s="29">
        <v>0.64700000000000002</v>
      </c>
      <c r="M45" s="29">
        <v>0.55399999999999994</v>
      </c>
      <c r="N45" s="29">
        <v>0.6409999999999999</v>
      </c>
      <c r="O45" s="29">
        <v>0.71499999999999997</v>
      </c>
      <c r="P45" s="29">
        <v>0.63300000000000001</v>
      </c>
      <c r="Q45" s="29">
        <v>0.68599999999999994</v>
      </c>
      <c r="R45" s="29">
        <v>0.70400000000000007</v>
      </c>
      <c r="S45" s="29">
        <v>0.66900000000000004</v>
      </c>
      <c r="T45" s="29">
        <v>0.68200000000000005</v>
      </c>
      <c r="U45" s="29">
        <v>0.65599999999999992</v>
      </c>
      <c r="V45" s="29">
        <v>0.54100000000000004</v>
      </c>
      <c r="W45" s="117" t="s">
        <v>344</v>
      </c>
      <c r="X45" s="117" t="s">
        <v>344</v>
      </c>
    </row>
    <row r="46" spans="1:24" ht="15.75" customHeight="1" x14ac:dyDescent="0.2">
      <c r="A46" s="30" t="s">
        <v>211</v>
      </c>
      <c r="B46" s="17" t="s">
        <v>47</v>
      </c>
      <c r="C46" s="17" t="s">
        <v>11</v>
      </c>
      <c r="D46" s="29">
        <v>0.56999999999999995</v>
      </c>
      <c r="E46" s="29">
        <v>0.55000000000000004</v>
      </c>
      <c r="F46" s="29">
        <v>0.63600000000000001</v>
      </c>
      <c r="G46" s="29">
        <v>0.503</v>
      </c>
      <c r="H46" s="29">
        <v>0.6</v>
      </c>
      <c r="I46" s="29">
        <v>0.46100000000000002</v>
      </c>
      <c r="J46" s="29">
        <v>0.55000000000000004</v>
      </c>
      <c r="K46" s="29">
        <v>0.51700000000000002</v>
      </c>
      <c r="L46" s="29">
        <v>0.502</v>
      </c>
      <c r="M46" s="29">
        <v>0.628</v>
      </c>
      <c r="N46" s="29">
        <v>0.51100000000000001</v>
      </c>
      <c r="O46" s="29">
        <v>0.51500000000000001</v>
      </c>
      <c r="P46" s="29">
        <v>0.58799999999999997</v>
      </c>
      <c r="Q46" s="29">
        <v>0.55100000000000005</v>
      </c>
      <c r="R46" s="29">
        <v>0.60299999999999998</v>
      </c>
      <c r="S46" s="29">
        <v>0.498</v>
      </c>
      <c r="T46" s="29">
        <v>0.52400000000000002</v>
      </c>
      <c r="U46" s="29">
        <v>0.54</v>
      </c>
      <c r="V46" s="29">
        <v>0.58700000000000008</v>
      </c>
      <c r="W46" s="117" t="s">
        <v>344</v>
      </c>
      <c r="X46" s="117" t="s">
        <v>344</v>
      </c>
    </row>
    <row r="47" spans="1:24" ht="15.75" customHeight="1" x14ac:dyDescent="0.2">
      <c r="A47" s="30" t="s">
        <v>211</v>
      </c>
      <c r="B47" s="17" t="s">
        <v>47</v>
      </c>
      <c r="C47" s="17" t="s">
        <v>12</v>
      </c>
      <c r="D47" s="29">
        <v>0.67299999999999993</v>
      </c>
      <c r="E47" s="29">
        <v>0.71900000000000008</v>
      </c>
      <c r="F47" s="29">
        <v>0.72400000000000009</v>
      </c>
      <c r="G47" s="29">
        <v>0.629</v>
      </c>
      <c r="H47" s="29">
        <v>0.63400000000000001</v>
      </c>
      <c r="I47" s="29">
        <v>0.57200000000000006</v>
      </c>
      <c r="J47" s="29">
        <v>0.56600000000000006</v>
      </c>
      <c r="K47" s="29">
        <v>0.61</v>
      </c>
      <c r="L47" s="29">
        <v>0.60599999999999998</v>
      </c>
      <c r="M47" s="29">
        <v>0.55000000000000004</v>
      </c>
      <c r="N47" s="29">
        <v>0.50700000000000001</v>
      </c>
      <c r="O47" s="29">
        <v>0.57200000000000006</v>
      </c>
      <c r="P47" s="29">
        <v>0.76900000000000002</v>
      </c>
      <c r="Q47" s="29">
        <v>0.80299999999999994</v>
      </c>
      <c r="R47" s="29">
        <v>0.58099999999999996</v>
      </c>
      <c r="S47" s="29">
        <v>0.67</v>
      </c>
      <c r="T47" s="29">
        <v>0.51400000000000001</v>
      </c>
      <c r="U47" s="29">
        <v>0.622</v>
      </c>
      <c r="V47" s="29">
        <v>0.61</v>
      </c>
      <c r="W47" s="117" t="s">
        <v>344</v>
      </c>
      <c r="X47" s="117" t="s">
        <v>344</v>
      </c>
    </row>
    <row r="48" spans="1:24" ht="15.75" customHeight="1" x14ac:dyDescent="0.2">
      <c r="A48" s="30" t="s">
        <v>211</v>
      </c>
      <c r="B48" s="17" t="s">
        <v>47</v>
      </c>
      <c r="C48" s="17" t="s">
        <v>13</v>
      </c>
      <c r="D48" s="29">
        <v>0.72400000000000009</v>
      </c>
      <c r="E48" s="29">
        <v>0.63100000000000001</v>
      </c>
      <c r="F48" s="29">
        <v>0.67700000000000005</v>
      </c>
      <c r="G48" s="29">
        <v>0.70299999999999996</v>
      </c>
      <c r="H48" s="29">
        <v>0.65200000000000002</v>
      </c>
      <c r="I48" s="29">
        <v>0.623</v>
      </c>
      <c r="J48" s="29">
        <v>0.69400000000000006</v>
      </c>
      <c r="K48" s="29">
        <v>0.72299999999999998</v>
      </c>
      <c r="L48" s="29">
        <v>0.65300000000000002</v>
      </c>
      <c r="M48" s="29">
        <v>0.61099999999999999</v>
      </c>
      <c r="N48" s="29">
        <v>0.61299999999999999</v>
      </c>
      <c r="O48" s="29">
        <v>0.53200000000000003</v>
      </c>
      <c r="P48" s="29">
        <v>0.63</v>
      </c>
      <c r="Q48" s="29">
        <v>0.64900000000000002</v>
      </c>
      <c r="R48" s="29">
        <v>0.60099999999999998</v>
      </c>
      <c r="S48" s="29">
        <v>0.61799999999999999</v>
      </c>
      <c r="T48" s="29">
        <v>0.67</v>
      </c>
      <c r="U48" s="29">
        <v>0.53700000000000003</v>
      </c>
      <c r="V48" s="29">
        <v>0.56600000000000006</v>
      </c>
      <c r="W48" s="117" t="s">
        <v>344</v>
      </c>
      <c r="X48" s="117" t="s">
        <v>344</v>
      </c>
    </row>
    <row r="49" spans="1:24" ht="15.75" customHeight="1" x14ac:dyDescent="0.2">
      <c r="A49" s="30" t="s">
        <v>211</v>
      </c>
      <c r="B49" s="17" t="s">
        <v>47</v>
      </c>
      <c r="C49" s="17" t="s">
        <v>7</v>
      </c>
      <c r="D49" s="29">
        <v>0.63400000000000001</v>
      </c>
      <c r="E49" s="29">
        <v>0.67200000000000004</v>
      </c>
      <c r="F49" s="29">
        <v>0.61799999999999999</v>
      </c>
      <c r="G49" s="29">
        <v>0.68200000000000005</v>
      </c>
      <c r="H49" s="29">
        <v>0.63</v>
      </c>
      <c r="I49" s="29">
        <v>0.34</v>
      </c>
      <c r="J49" s="29">
        <v>0.40399999999999997</v>
      </c>
      <c r="K49" s="29">
        <v>0.35700000000000004</v>
      </c>
      <c r="L49" s="29">
        <v>0.57299999999999995</v>
      </c>
      <c r="M49" s="29">
        <v>0.45799999999999996</v>
      </c>
      <c r="N49" s="29">
        <v>0.53100000000000003</v>
      </c>
      <c r="O49" s="29">
        <v>0.57399999999999995</v>
      </c>
      <c r="P49" s="29">
        <v>0.58499999999999996</v>
      </c>
      <c r="Q49" s="29">
        <v>0.73499999999999999</v>
      </c>
      <c r="R49" s="29">
        <v>0.72900000000000009</v>
      </c>
      <c r="S49" s="29">
        <v>0.75900000000000001</v>
      </c>
      <c r="T49" s="29">
        <v>0.57999999999999996</v>
      </c>
      <c r="U49" s="29">
        <v>0.51200000000000001</v>
      </c>
      <c r="V49" s="29">
        <v>0.74</v>
      </c>
      <c r="W49" s="117" t="s">
        <v>344</v>
      </c>
      <c r="X49" s="117" t="s">
        <v>344</v>
      </c>
    </row>
    <row r="50" spans="1:24" ht="15.75" customHeight="1" x14ac:dyDescent="0.2">
      <c r="A50" s="30" t="s">
        <v>211</v>
      </c>
      <c r="B50" s="17" t="s">
        <v>47</v>
      </c>
      <c r="C50" s="17" t="s">
        <v>14</v>
      </c>
      <c r="D50" s="29">
        <v>0.53900000000000003</v>
      </c>
      <c r="E50" s="29">
        <v>0.621</v>
      </c>
      <c r="F50" s="29">
        <v>0.59799999999999998</v>
      </c>
      <c r="G50" s="29">
        <v>0.59099999999999997</v>
      </c>
      <c r="H50" s="29">
        <v>0.58599999999999997</v>
      </c>
      <c r="I50" s="29">
        <v>0.52900000000000003</v>
      </c>
      <c r="J50" s="29">
        <v>0.44700000000000001</v>
      </c>
      <c r="K50" s="29">
        <v>0.42200000000000004</v>
      </c>
      <c r="L50" s="29">
        <v>0.44700000000000001</v>
      </c>
      <c r="M50" s="29">
        <v>0.44900000000000001</v>
      </c>
      <c r="N50" s="29">
        <v>0.58599999999999997</v>
      </c>
      <c r="O50" s="29">
        <v>0.44</v>
      </c>
      <c r="P50" s="29">
        <v>0.499</v>
      </c>
      <c r="Q50" s="29">
        <v>0.57899999999999996</v>
      </c>
      <c r="R50" s="29">
        <v>0.53600000000000003</v>
      </c>
      <c r="S50" s="29">
        <v>0.58899999999999997</v>
      </c>
      <c r="T50" s="29">
        <v>0.55299999999999994</v>
      </c>
      <c r="U50" s="29">
        <v>0.42200000000000004</v>
      </c>
      <c r="V50" s="29">
        <v>0.66099999999999992</v>
      </c>
      <c r="W50" s="117" t="s">
        <v>344</v>
      </c>
      <c r="X50" s="117" t="s">
        <v>344</v>
      </c>
    </row>
    <row r="51" spans="1:24" ht="15.75" customHeight="1" x14ac:dyDescent="0.2">
      <c r="A51" s="30" t="s">
        <v>211</v>
      </c>
      <c r="B51" s="17" t="s">
        <v>47</v>
      </c>
      <c r="C51" s="17" t="s">
        <v>31</v>
      </c>
      <c r="D51" s="29">
        <v>0.67</v>
      </c>
      <c r="E51" s="29">
        <v>0.622</v>
      </c>
      <c r="F51" s="29">
        <v>0.61899999999999999</v>
      </c>
      <c r="G51" s="29">
        <v>0.67599999999999993</v>
      </c>
      <c r="H51" s="29">
        <v>0.64300000000000002</v>
      </c>
      <c r="I51" s="29">
        <v>0.70299999999999996</v>
      </c>
      <c r="J51" s="29">
        <v>0.6</v>
      </c>
      <c r="K51" s="29">
        <v>0.53100000000000003</v>
      </c>
      <c r="L51" s="29">
        <v>0.57799999999999996</v>
      </c>
      <c r="M51" s="29">
        <v>0.53299999999999992</v>
      </c>
      <c r="N51" s="29">
        <v>0.56700000000000006</v>
      </c>
      <c r="O51" s="29">
        <v>0.56799999999999995</v>
      </c>
      <c r="P51" s="29">
        <v>0.70299999999999996</v>
      </c>
      <c r="Q51" s="29">
        <v>0.60399999999999998</v>
      </c>
      <c r="R51" s="29">
        <v>0.58099999999999996</v>
      </c>
      <c r="S51" s="29">
        <v>0.58700000000000008</v>
      </c>
      <c r="T51" s="29">
        <v>0.55600000000000005</v>
      </c>
      <c r="U51" s="29">
        <v>0.7</v>
      </c>
      <c r="V51" s="29">
        <v>0.56899999999999995</v>
      </c>
      <c r="W51" s="117" t="s">
        <v>344</v>
      </c>
      <c r="X51" s="117" t="s">
        <v>344</v>
      </c>
    </row>
    <row r="52" spans="1:24" ht="15.75" customHeight="1" x14ac:dyDescent="0.2">
      <c r="A52" s="30" t="s">
        <v>211</v>
      </c>
      <c r="B52" s="17" t="s">
        <v>47</v>
      </c>
      <c r="C52" s="17" t="s">
        <v>15</v>
      </c>
      <c r="D52" s="29">
        <v>0.755</v>
      </c>
      <c r="E52" s="29">
        <v>0.83700000000000008</v>
      </c>
      <c r="F52" s="29">
        <v>0.68599999999999994</v>
      </c>
      <c r="G52" s="29">
        <v>0.83499999999999996</v>
      </c>
      <c r="H52" s="29">
        <v>0.77900000000000003</v>
      </c>
      <c r="I52" s="29">
        <v>0.86</v>
      </c>
      <c r="J52" s="29">
        <v>0.63100000000000001</v>
      </c>
      <c r="K52" s="29">
        <v>0.66099999999999992</v>
      </c>
      <c r="L52" s="29">
        <v>0.63100000000000001</v>
      </c>
      <c r="M52" s="29">
        <v>0.72599999999999998</v>
      </c>
      <c r="N52" s="29">
        <v>0.84799999999999998</v>
      </c>
      <c r="O52" s="29">
        <v>0.80900000000000005</v>
      </c>
      <c r="P52" s="29">
        <v>0.78299999999999992</v>
      </c>
      <c r="Q52" s="29">
        <v>0.88500000000000001</v>
      </c>
      <c r="R52" s="29">
        <v>0.89900000000000002</v>
      </c>
      <c r="S52" s="29">
        <v>0.82</v>
      </c>
      <c r="T52" s="29">
        <v>0.51800000000000002</v>
      </c>
      <c r="U52" s="29">
        <v>0.45899999999999996</v>
      </c>
      <c r="V52" s="29">
        <v>1</v>
      </c>
      <c r="W52" s="117" t="s">
        <v>344</v>
      </c>
      <c r="X52" s="117" t="s">
        <v>344</v>
      </c>
    </row>
    <row r="53" spans="1:24" ht="15.75" customHeight="1" x14ac:dyDescent="0.2">
      <c r="A53" s="30" t="s">
        <v>211</v>
      </c>
      <c r="B53" s="17" t="s">
        <v>47</v>
      </c>
      <c r="C53" s="17" t="s">
        <v>16</v>
      </c>
      <c r="D53" s="29">
        <v>0.65900000000000003</v>
      </c>
      <c r="E53" s="29">
        <v>0.6409999999999999</v>
      </c>
      <c r="F53" s="29">
        <v>0.64800000000000002</v>
      </c>
      <c r="G53" s="29">
        <v>0.59499999999999997</v>
      </c>
      <c r="H53" s="29">
        <v>0.6</v>
      </c>
      <c r="I53" s="29">
        <v>0.61699999999999999</v>
      </c>
      <c r="J53" s="29">
        <v>0.55100000000000005</v>
      </c>
      <c r="K53" s="29">
        <v>0.55299999999999994</v>
      </c>
      <c r="L53" s="29">
        <v>0.58299999999999996</v>
      </c>
      <c r="M53" s="29">
        <v>0.56799999999999995</v>
      </c>
      <c r="N53" s="29">
        <v>0.54600000000000004</v>
      </c>
      <c r="O53" s="29">
        <v>0.622</v>
      </c>
      <c r="P53" s="29">
        <v>0.60799999999999998</v>
      </c>
      <c r="Q53" s="29">
        <v>0.66200000000000003</v>
      </c>
      <c r="R53" s="29">
        <v>0.629</v>
      </c>
      <c r="S53" s="29">
        <v>0.72299999999999998</v>
      </c>
      <c r="T53" s="29">
        <v>0.53799999999999992</v>
      </c>
      <c r="U53" s="29">
        <v>0.36200000000000004</v>
      </c>
      <c r="V53" s="29">
        <v>0.51300000000000001</v>
      </c>
      <c r="W53" s="117" t="s">
        <v>344</v>
      </c>
      <c r="X53" s="117" t="s">
        <v>344</v>
      </c>
    </row>
    <row r="54" spans="1:24" ht="15.75" customHeight="1" x14ac:dyDescent="0.2">
      <c r="A54" s="30" t="s">
        <v>211</v>
      </c>
      <c r="B54" s="17" t="s">
        <v>47</v>
      </c>
      <c r="C54" s="17" t="s">
        <v>26</v>
      </c>
      <c r="D54" s="29">
        <v>0.68200000000000005</v>
      </c>
      <c r="E54" s="29">
        <v>0.61499999999999999</v>
      </c>
      <c r="F54" s="29">
        <v>0.67200000000000004</v>
      </c>
      <c r="G54" s="29">
        <v>0.621</v>
      </c>
      <c r="H54" s="29">
        <v>0.63700000000000001</v>
      </c>
      <c r="I54" s="29">
        <v>0.60099999999999998</v>
      </c>
      <c r="J54" s="29">
        <v>0.5</v>
      </c>
      <c r="K54" s="29">
        <v>0.46200000000000002</v>
      </c>
      <c r="L54" s="29">
        <v>0.57999999999999996</v>
      </c>
      <c r="M54" s="29">
        <v>0.59499999999999997</v>
      </c>
      <c r="N54" s="29">
        <v>0.59200000000000008</v>
      </c>
      <c r="O54" s="29">
        <v>0.61499999999999999</v>
      </c>
      <c r="P54" s="29">
        <v>0.71900000000000008</v>
      </c>
      <c r="Q54" s="29">
        <v>0.65300000000000002</v>
      </c>
      <c r="R54" s="29">
        <v>0.64500000000000002</v>
      </c>
      <c r="S54" s="29">
        <v>0.57200000000000006</v>
      </c>
      <c r="T54" s="29">
        <v>0.59599999999999997</v>
      </c>
      <c r="U54" s="29">
        <v>0.67400000000000004</v>
      </c>
      <c r="V54" s="29">
        <v>0.53400000000000003</v>
      </c>
      <c r="W54" s="117" t="s">
        <v>344</v>
      </c>
      <c r="X54" s="117" t="s">
        <v>344</v>
      </c>
    </row>
    <row r="55" spans="1:24" ht="15.75" customHeight="1" x14ac:dyDescent="0.2">
      <c r="A55" s="30" t="s">
        <v>211</v>
      </c>
      <c r="B55" s="17" t="s">
        <v>47</v>
      </c>
      <c r="C55" s="17" t="s">
        <v>17</v>
      </c>
      <c r="D55" s="29">
        <v>0.67299999999999993</v>
      </c>
      <c r="E55" s="29">
        <v>0.59099999999999997</v>
      </c>
      <c r="F55" s="29">
        <v>0.71099999999999997</v>
      </c>
      <c r="G55" s="29">
        <v>0.66299999999999992</v>
      </c>
      <c r="H55" s="29">
        <v>0.63100000000000001</v>
      </c>
      <c r="I55" s="29">
        <v>0.57799999999999996</v>
      </c>
      <c r="J55" s="29">
        <v>0.44799999999999995</v>
      </c>
      <c r="K55" s="29">
        <v>0.51</v>
      </c>
      <c r="L55" s="29">
        <v>0.52300000000000002</v>
      </c>
      <c r="M55" s="29">
        <v>0.626</v>
      </c>
      <c r="N55" s="29">
        <v>0.61399999999999999</v>
      </c>
      <c r="O55" s="29">
        <v>0.622</v>
      </c>
      <c r="P55" s="29">
        <v>0.52800000000000002</v>
      </c>
      <c r="Q55" s="29">
        <v>0.60499999999999998</v>
      </c>
      <c r="R55" s="29">
        <v>0.53200000000000003</v>
      </c>
      <c r="S55" s="29">
        <v>0.57299999999999995</v>
      </c>
      <c r="T55" s="29">
        <v>0.61199999999999999</v>
      </c>
      <c r="U55" s="29">
        <v>0.39600000000000002</v>
      </c>
      <c r="V55" s="29">
        <v>0.53900000000000003</v>
      </c>
      <c r="W55" s="117" t="s">
        <v>344</v>
      </c>
      <c r="X55" s="117" t="s">
        <v>344</v>
      </c>
    </row>
    <row r="56" spans="1:24" ht="15.6" customHeight="1" x14ac:dyDescent="0.2">
      <c r="A56" s="30" t="s">
        <v>211</v>
      </c>
      <c r="B56" s="17" t="s">
        <v>47</v>
      </c>
      <c r="C56" s="17" t="s">
        <v>18</v>
      </c>
      <c r="D56" s="29">
        <v>0.77700000000000002</v>
      </c>
      <c r="E56" s="29">
        <v>0.73099999999999998</v>
      </c>
      <c r="F56" s="29">
        <v>0.74099999999999999</v>
      </c>
      <c r="G56" s="29">
        <v>0.875</v>
      </c>
      <c r="H56" s="29">
        <v>0.80700000000000005</v>
      </c>
      <c r="I56" s="29">
        <v>0.72499999999999998</v>
      </c>
      <c r="J56" s="29">
        <v>0.75800000000000001</v>
      </c>
      <c r="K56" s="29">
        <v>0.63600000000000001</v>
      </c>
      <c r="L56" s="29">
        <v>0.72199999999999998</v>
      </c>
      <c r="M56" s="29">
        <v>0.63800000000000001</v>
      </c>
      <c r="N56" s="29">
        <v>0.71</v>
      </c>
      <c r="O56" s="29">
        <v>0.85699999999999998</v>
      </c>
      <c r="P56" s="29">
        <v>0.69299999999999995</v>
      </c>
      <c r="Q56" s="29">
        <v>0.71599999999999997</v>
      </c>
      <c r="R56" s="29">
        <v>0.58399999999999996</v>
      </c>
      <c r="S56" s="29">
        <v>0.68599999999999994</v>
      </c>
      <c r="T56" s="29">
        <v>0.56200000000000006</v>
      </c>
      <c r="U56" s="29" t="s">
        <v>208</v>
      </c>
      <c r="V56" s="29" t="s">
        <v>208</v>
      </c>
      <c r="W56" s="117" t="s">
        <v>344</v>
      </c>
      <c r="X56" s="117" t="s">
        <v>344</v>
      </c>
    </row>
    <row r="57" spans="1:24" ht="15.75" customHeight="1" x14ac:dyDescent="0.2">
      <c r="A57" s="30" t="s">
        <v>211</v>
      </c>
      <c r="B57" s="17" t="s">
        <v>47</v>
      </c>
      <c r="C57" s="17" t="s">
        <v>19</v>
      </c>
      <c r="D57" s="29">
        <v>0.60299999999999998</v>
      </c>
      <c r="E57" s="29">
        <v>0.59499999999999997</v>
      </c>
      <c r="F57" s="29">
        <v>0.60499999999999998</v>
      </c>
      <c r="G57" s="29">
        <v>0.66299999999999992</v>
      </c>
      <c r="H57" s="29">
        <v>0.60399999999999998</v>
      </c>
      <c r="I57" s="29">
        <v>0.60799999999999998</v>
      </c>
      <c r="J57" s="29">
        <v>0.54</v>
      </c>
      <c r="K57" s="29">
        <v>0.498</v>
      </c>
      <c r="L57" s="29">
        <v>0.51300000000000001</v>
      </c>
      <c r="M57" s="29">
        <v>0.59</v>
      </c>
      <c r="N57" s="29">
        <v>0.57100000000000006</v>
      </c>
      <c r="O57" s="29">
        <v>0.61199999999999999</v>
      </c>
      <c r="P57" s="29">
        <v>0.63600000000000001</v>
      </c>
      <c r="Q57" s="29">
        <v>0.59899999999999998</v>
      </c>
      <c r="R57" s="29">
        <v>0.55100000000000005</v>
      </c>
      <c r="S57" s="29">
        <v>0.61599999999999999</v>
      </c>
      <c r="T57" s="29">
        <v>0.51400000000000001</v>
      </c>
      <c r="U57" s="29">
        <v>0.46299999999999997</v>
      </c>
      <c r="V57" s="29">
        <v>0.46600000000000003</v>
      </c>
      <c r="W57" s="117" t="s">
        <v>344</v>
      </c>
      <c r="X57" s="117" t="s">
        <v>344</v>
      </c>
    </row>
    <row r="58" spans="1:24" ht="15.75" customHeight="1" x14ac:dyDescent="0.2">
      <c r="A58" s="30" t="s">
        <v>211</v>
      </c>
      <c r="B58" s="17" t="s">
        <v>47</v>
      </c>
      <c r="C58" s="17" t="s">
        <v>20</v>
      </c>
      <c r="D58" s="29">
        <v>0.71400000000000008</v>
      </c>
      <c r="E58" s="29">
        <v>0.68</v>
      </c>
      <c r="F58" s="29">
        <v>0.70799999999999996</v>
      </c>
      <c r="G58" s="29">
        <v>0.73199999999999998</v>
      </c>
      <c r="H58" s="29">
        <v>0.68500000000000005</v>
      </c>
      <c r="I58" s="29">
        <v>0.54899999999999993</v>
      </c>
      <c r="J58" s="29">
        <v>0.56299999999999994</v>
      </c>
      <c r="K58" s="29">
        <v>0.54500000000000004</v>
      </c>
      <c r="L58" s="29">
        <v>0.63500000000000001</v>
      </c>
      <c r="M58" s="29">
        <v>0.56799999999999995</v>
      </c>
      <c r="N58" s="29">
        <v>0.55500000000000005</v>
      </c>
      <c r="O58" s="29">
        <v>0.58200000000000007</v>
      </c>
      <c r="P58" s="29">
        <v>0.64400000000000002</v>
      </c>
      <c r="Q58" s="29">
        <v>0.63100000000000001</v>
      </c>
      <c r="R58" s="29">
        <v>0.63</v>
      </c>
      <c r="S58" s="29">
        <v>0.53</v>
      </c>
      <c r="T58" s="29">
        <v>0.61</v>
      </c>
      <c r="U58" s="29">
        <v>0.59699999999999998</v>
      </c>
      <c r="V58" s="29">
        <v>0.71700000000000008</v>
      </c>
      <c r="W58" s="117" t="s">
        <v>344</v>
      </c>
      <c r="X58" s="117" t="s">
        <v>344</v>
      </c>
    </row>
    <row r="59" spans="1:24" ht="15.75" customHeight="1" x14ac:dyDescent="0.2">
      <c r="A59" s="30" t="s">
        <v>211</v>
      </c>
      <c r="B59" s="17" t="s">
        <v>47</v>
      </c>
      <c r="C59" s="17" t="s">
        <v>21</v>
      </c>
      <c r="D59" s="29">
        <v>0.67299999999999993</v>
      </c>
      <c r="E59" s="29">
        <v>0.67900000000000005</v>
      </c>
      <c r="F59" s="29">
        <v>0.61299999999999999</v>
      </c>
      <c r="G59" s="29">
        <v>0.625</v>
      </c>
      <c r="H59" s="29">
        <v>0.56999999999999995</v>
      </c>
      <c r="I59" s="29">
        <v>0.57299999999999995</v>
      </c>
      <c r="J59" s="29">
        <v>0.43799999999999994</v>
      </c>
      <c r="K59" s="29">
        <v>0.55899999999999994</v>
      </c>
      <c r="L59" s="29">
        <v>0.44500000000000001</v>
      </c>
      <c r="M59" s="29">
        <v>0.57399999999999995</v>
      </c>
      <c r="N59" s="29">
        <v>0.54799999999999993</v>
      </c>
      <c r="O59" s="29">
        <v>0.45899999999999996</v>
      </c>
      <c r="P59" s="29">
        <v>0.55299999999999994</v>
      </c>
      <c r="Q59" s="29">
        <v>0.495</v>
      </c>
      <c r="R59" s="29">
        <v>0.59</v>
      </c>
      <c r="S59" s="29">
        <v>0.58200000000000007</v>
      </c>
      <c r="T59" s="29">
        <v>0.50800000000000001</v>
      </c>
      <c r="U59" s="29">
        <v>0.48299999999999998</v>
      </c>
      <c r="V59" s="29">
        <v>0.59399999999999997</v>
      </c>
      <c r="W59" s="117" t="s">
        <v>344</v>
      </c>
      <c r="X59" s="117" t="s">
        <v>344</v>
      </c>
    </row>
    <row r="60" spans="1:24" ht="15.75" customHeight="1" x14ac:dyDescent="0.2">
      <c r="A60" s="30" t="s">
        <v>211</v>
      </c>
      <c r="B60" s="17" t="s">
        <v>47</v>
      </c>
      <c r="C60" s="17" t="s">
        <v>27</v>
      </c>
      <c r="D60" s="29">
        <v>0.621</v>
      </c>
      <c r="E60" s="29">
        <v>0.59499999999999997</v>
      </c>
      <c r="F60" s="29">
        <v>0.60199999999999998</v>
      </c>
      <c r="G60" s="29">
        <v>0.59799999999999998</v>
      </c>
      <c r="H60" s="29">
        <v>0.60199999999999998</v>
      </c>
      <c r="I60" s="29">
        <v>0.5</v>
      </c>
      <c r="J60" s="29">
        <v>0.496</v>
      </c>
      <c r="K60" s="29">
        <v>0.52900000000000003</v>
      </c>
      <c r="L60" s="29">
        <v>0.50700000000000001</v>
      </c>
      <c r="M60" s="29">
        <v>0.53400000000000003</v>
      </c>
      <c r="N60" s="29">
        <v>0.52500000000000002</v>
      </c>
      <c r="O60" s="29">
        <v>0.59099999999999997</v>
      </c>
      <c r="P60" s="29">
        <v>0.51900000000000002</v>
      </c>
      <c r="Q60" s="29">
        <v>0.51400000000000001</v>
      </c>
      <c r="R60" s="29">
        <v>0.59399999999999997</v>
      </c>
      <c r="S60" s="29">
        <v>0.57799999999999996</v>
      </c>
      <c r="T60" s="29">
        <v>0.52900000000000003</v>
      </c>
      <c r="U60" s="29">
        <v>0.52600000000000002</v>
      </c>
      <c r="V60" s="29">
        <v>0.63500000000000001</v>
      </c>
      <c r="W60" s="117" t="s">
        <v>344</v>
      </c>
      <c r="X60" s="117" t="s">
        <v>344</v>
      </c>
    </row>
    <row r="61" spans="1:24" ht="15.75" customHeight="1" x14ac:dyDescent="0.2">
      <c r="A61" s="30" t="s">
        <v>211</v>
      </c>
      <c r="B61" s="17" t="s">
        <v>47</v>
      </c>
      <c r="C61" s="17" t="s">
        <v>28</v>
      </c>
      <c r="D61" s="29">
        <v>0.69700000000000006</v>
      </c>
      <c r="E61" s="29">
        <v>0.71400000000000008</v>
      </c>
      <c r="F61" s="29">
        <v>0.70400000000000007</v>
      </c>
      <c r="G61" s="29">
        <v>0.68299999999999994</v>
      </c>
      <c r="H61" s="29">
        <v>0.65700000000000003</v>
      </c>
      <c r="I61" s="29">
        <v>0.55899999999999994</v>
      </c>
      <c r="J61" s="29">
        <v>0.56399999999999995</v>
      </c>
      <c r="K61" s="29">
        <v>0.55899999999999994</v>
      </c>
      <c r="L61" s="29">
        <v>0.60799999999999998</v>
      </c>
      <c r="M61" s="29">
        <v>0.55100000000000005</v>
      </c>
      <c r="N61" s="29">
        <v>0.63300000000000001</v>
      </c>
      <c r="O61" s="29">
        <v>0.60399999999999998</v>
      </c>
      <c r="P61" s="29">
        <v>0.624</v>
      </c>
      <c r="Q61" s="29">
        <v>0.60399999999999998</v>
      </c>
      <c r="R61" s="29">
        <v>0.68299999999999994</v>
      </c>
      <c r="S61" s="29">
        <v>0.58299999999999996</v>
      </c>
      <c r="T61" s="29">
        <v>0.46399999999999997</v>
      </c>
      <c r="U61" s="29">
        <v>0.56899999999999995</v>
      </c>
      <c r="V61" s="29">
        <v>0.65099999999999991</v>
      </c>
      <c r="W61" s="117" t="s">
        <v>344</v>
      </c>
      <c r="X61" s="117" t="s">
        <v>344</v>
      </c>
    </row>
    <row r="62" spans="1:24" ht="31.5" customHeight="1" x14ac:dyDescent="0.2">
      <c r="A62" s="30" t="s">
        <v>211</v>
      </c>
      <c r="B62" s="17" t="s">
        <v>182</v>
      </c>
      <c r="C62" s="17" t="s">
        <v>54</v>
      </c>
      <c r="D62" s="29" t="s">
        <v>190</v>
      </c>
      <c r="E62" s="29" t="s">
        <v>190</v>
      </c>
      <c r="F62" s="29" t="s">
        <v>190</v>
      </c>
      <c r="G62" s="29" t="s">
        <v>190</v>
      </c>
      <c r="H62" s="29" t="s">
        <v>190</v>
      </c>
      <c r="I62" s="29" t="s">
        <v>190</v>
      </c>
      <c r="J62" s="29" t="s">
        <v>190</v>
      </c>
      <c r="K62" s="29" t="s">
        <v>190</v>
      </c>
      <c r="L62" s="29">
        <v>0.67900000000000005</v>
      </c>
      <c r="M62" s="29">
        <v>0.68500000000000005</v>
      </c>
      <c r="N62" s="29">
        <v>0.63900000000000001</v>
      </c>
      <c r="O62" s="29">
        <v>0.64</v>
      </c>
      <c r="P62" s="29">
        <v>0.53900000000000003</v>
      </c>
      <c r="Q62" s="29">
        <v>0.66099999999999992</v>
      </c>
      <c r="R62" s="29">
        <v>0.56799999999999995</v>
      </c>
      <c r="S62" s="29">
        <v>0.70299999999999996</v>
      </c>
      <c r="T62" s="29">
        <v>0.47100000000000003</v>
      </c>
      <c r="U62" s="29">
        <v>0.44600000000000001</v>
      </c>
      <c r="V62" s="65">
        <v>0.55299999999999994</v>
      </c>
      <c r="W62" s="117" t="s">
        <v>344</v>
      </c>
      <c r="X62" s="117" t="s">
        <v>344</v>
      </c>
    </row>
    <row r="63" spans="1:24" ht="15.75" customHeight="1" x14ac:dyDescent="0.2">
      <c r="A63" s="30" t="s">
        <v>211</v>
      </c>
      <c r="B63" s="17" t="s">
        <v>182</v>
      </c>
      <c r="C63" s="17" t="s">
        <v>55</v>
      </c>
      <c r="D63" s="29" t="s">
        <v>190</v>
      </c>
      <c r="E63" s="29" t="s">
        <v>190</v>
      </c>
      <c r="F63" s="29" t="s">
        <v>190</v>
      </c>
      <c r="G63" s="29" t="s">
        <v>190</v>
      </c>
      <c r="H63" s="29" t="s">
        <v>190</v>
      </c>
      <c r="I63" s="29" t="s">
        <v>190</v>
      </c>
      <c r="J63" s="29" t="s">
        <v>190</v>
      </c>
      <c r="K63" s="29" t="s">
        <v>190</v>
      </c>
      <c r="L63" s="29">
        <v>0.65500000000000003</v>
      </c>
      <c r="M63" s="29">
        <v>0.47600000000000003</v>
      </c>
      <c r="N63" s="29">
        <v>0.7659999999999999</v>
      </c>
      <c r="O63" s="29">
        <v>0.373</v>
      </c>
      <c r="P63" s="29" t="s">
        <v>208</v>
      </c>
      <c r="Q63" s="29">
        <v>0.8909999999999999</v>
      </c>
      <c r="R63" s="29">
        <v>0.76400000000000001</v>
      </c>
      <c r="S63" s="29" t="s">
        <v>208</v>
      </c>
      <c r="T63" s="29" t="s">
        <v>208</v>
      </c>
      <c r="U63" s="29" t="s">
        <v>208</v>
      </c>
      <c r="V63" s="29" t="s">
        <v>208</v>
      </c>
      <c r="W63" s="117" t="s">
        <v>344</v>
      </c>
      <c r="X63" s="117" t="s">
        <v>344</v>
      </c>
    </row>
    <row r="64" spans="1:24" ht="15.75" customHeight="1" x14ac:dyDescent="0.2">
      <c r="A64" s="30" t="s">
        <v>211</v>
      </c>
      <c r="B64" s="17" t="s">
        <v>182</v>
      </c>
      <c r="C64" s="17" t="s">
        <v>56</v>
      </c>
      <c r="D64" s="29" t="s">
        <v>190</v>
      </c>
      <c r="E64" s="29" t="s">
        <v>190</v>
      </c>
      <c r="F64" s="29" t="s">
        <v>190</v>
      </c>
      <c r="G64" s="29" t="s">
        <v>190</v>
      </c>
      <c r="H64" s="29" t="s">
        <v>190</v>
      </c>
      <c r="I64" s="29" t="s">
        <v>190</v>
      </c>
      <c r="J64" s="29" t="s">
        <v>190</v>
      </c>
      <c r="K64" s="29" t="s">
        <v>190</v>
      </c>
      <c r="L64" s="29">
        <v>0.65400000000000003</v>
      </c>
      <c r="M64" s="29">
        <v>0.54100000000000004</v>
      </c>
      <c r="N64" s="29">
        <v>0.39899999999999997</v>
      </c>
      <c r="O64" s="29">
        <v>0.66900000000000004</v>
      </c>
      <c r="P64" s="29">
        <v>0.66099999999999992</v>
      </c>
      <c r="Q64" s="29">
        <v>0.59499999999999997</v>
      </c>
      <c r="R64" s="29">
        <v>0.44299999999999995</v>
      </c>
      <c r="S64" s="29">
        <v>0.504</v>
      </c>
      <c r="T64" s="29">
        <v>0.36799999999999999</v>
      </c>
      <c r="U64" s="29">
        <v>0.66900000000000004</v>
      </c>
      <c r="V64" s="65">
        <v>0.56399999999999995</v>
      </c>
      <c r="W64" s="117" t="s">
        <v>344</v>
      </c>
      <c r="X64" s="117" t="s">
        <v>344</v>
      </c>
    </row>
    <row r="65" spans="1:24" ht="15.75" customHeight="1" x14ac:dyDescent="0.2">
      <c r="A65" s="30" t="s">
        <v>211</v>
      </c>
      <c r="B65" s="17" t="s">
        <v>182</v>
      </c>
      <c r="C65" s="17" t="s">
        <v>57</v>
      </c>
      <c r="D65" s="29" t="s">
        <v>190</v>
      </c>
      <c r="E65" s="29" t="s">
        <v>190</v>
      </c>
      <c r="F65" s="29" t="s">
        <v>190</v>
      </c>
      <c r="G65" s="29" t="s">
        <v>190</v>
      </c>
      <c r="H65" s="29" t="s">
        <v>190</v>
      </c>
      <c r="I65" s="29" t="s">
        <v>190</v>
      </c>
      <c r="J65" s="29" t="s">
        <v>190</v>
      </c>
      <c r="K65" s="29" t="s">
        <v>190</v>
      </c>
      <c r="L65" s="29" t="s">
        <v>208</v>
      </c>
      <c r="M65" s="29" t="s">
        <v>208</v>
      </c>
      <c r="N65" s="29">
        <v>0.77599999999999991</v>
      </c>
      <c r="O65" s="29">
        <v>1</v>
      </c>
      <c r="P65" s="29" t="s">
        <v>208</v>
      </c>
      <c r="Q65" s="29" t="s">
        <v>208</v>
      </c>
      <c r="R65" s="29">
        <v>0.60499999999999998</v>
      </c>
      <c r="S65" s="29" t="s">
        <v>208</v>
      </c>
      <c r="T65" s="29" t="s">
        <v>208</v>
      </c>
      <c r="U65" s="29" t="s">
        <v>208</v>
      </c>
      <c r="V65" s="29" t="s">
        <v>208</v>
      </c>
      <c r="W65" s="117" t="s">
        <v>344</v>
      </c>
      <c r="X65" s="117" t="s">
        <v>344</v>
      </c>
    </row>
    <row r="66" spans="1:24" ht="15.75" customHeight="1" x14ac:dyDescent="0.2">
      <c r="A66" s="30" t="s">
        <v>211</v>
      </c>
      <c r="B66" s="17" t="s">
        <v>182</v>
      </c>
      <c r="C66" s="17" t="s">
        <v>58</v>
      </c>
      <c r="D66" s="29" t="s">
        <v>190</v>
      </c>
      <c r="E66" s="29" t="s">
        <v>190</v>
      </c>
      <c r="F66" s="29" t="s">
        <v>190</v>
      </c>
      <c r="G66" s="29" t="s">
        <v>190</v>
      </c>
      <c r="H66" s="29" t="s">
        <v>190</v>
      </c>
      <c r="I66" s="29" t="s">
        <v>190</v>
      </c>
      <c r="J66" s="29" t="s">
        <v>190</v>
      </c>
      <c r="K66" s="29" t="s">
        <v>190</v>
      </c>
      <c r="L66" s="29">
        <v>0.503</v>
      </c>
      <c r="M66" s="29">
        <v>0.55000000000000004</v>
      </c>
      <c r="N66" s="29">
        <v>0.56499999999999995</v>
      </c>
      <c r="O66" s="29">
        <v>0.56799999999999995</v>
      </c>
      <c r="P66" s="29">
        <v>0.61399999999999999</v>
      </c>
      <c r="Q66" s="29">
        <v>0.624</v>
      </c>
      <c r="R66" s="29">
        <v>0.496</v>
      </c>
      <c r="S66" s="29">
        <v>0.60599999999999998</v>
      </c>
      <c r="T66" s="29">
        <v>0.53700000000000003</v>
      </c>
      <c r="U66" s="29">
        <v>0.54500000000000004</v>
      </c>
      <c r="V66" s="65">
        <v>0.56799999999999995</v>
      </c>
      <c r="W66" s="117" t="s">
        <v>344</v>
      </c>
      <c r="X66" s="117" t="s">
        <v>344</v>
      </c>
    </row>
    <row r="67" spans="1:24" ht="15.75" customHeight="1" x14ac:dyDescent="0.2">
      <c r="A67" s="30" t="s">
        <v>211</v>
      </c>
      <c r="B67" s="17" t="s">
        <v>182</v>
      </c>
      <c r="C67" s="17" t="s">
        <v>96</v>
      </c>
      <c r="D67" s="29" t="s">
        <v>190</v>
      </c>
      <c r="E67" s="29" t="s">
        <v>190</v>
      </c>
      <c r="F67" s="29" t="s">
        <v>190</v>
      </c>
      <c r="G67" s="29" t="s">
        <v>190</v>
      </c>
      <c r="H67" s="29" t="s">
        <v>190</v>
      </c>
      <c r="I67" s="29" t="s">
        <v>190</v>
      </c>
      <c r="J67" s="29" t="s">
        <v>190</v>
      </c>
      <c r="K67" s="29" t="s">
        <v>190</v>
      </c>
      <c r="L67" s="29">
        <v>0.45100000000000001</v>
      </c>
      <c r="M67" s="29">
        <v>0.64900000000000002</v>
      </c>
      <c r="N67" s="29">
        <v>0.66200000000000003</v>
      </c>
      <c r="O67" s="29">
        <v>0.67400000000000004</v>
      </c>
      <c r="P67" s="29">
        <v>0.72699999999999998</v>
      </c>
      <c r="Q67" s="29">
        <v>0.50900000000000001</v>
      </c>
      <c r="R67" s="29">
        <v>0.61699999999999999</v>
      </c>
      <c r="S67" s="29">
        <v>0.72900000000000009</v>
      </c>
      <c r="T67" s="29" t="s">
        <v>208</v>
      </c>
      <c r="U67" s="29">
        <v>0.57100000000000006</v>
      </c>
      <c r="V67" s="65">
        <v>0.60099999999999998</v>
      </c>
      <c r="W67" s="117" t="s">
        <v>344</v>
      </c>
      <c r="X67" s="117" t="s">
        <v>344</v>
      </c>
    </row>
    <row r="68" spans="1:24" ht="15.75" customHeight="1" x14ac:dyDescent="0.2">
      <c r="A68" s="30" t="s">
        <v>211</v>
      </c>
      <c r="B68" s="17" t="s">
        <v>182</v>
      </c>
      <c r="C68" s="17" t="s">
        <v>59</v>
      </c>
      <c r="D68" s="29" t="s">
        <v>190</v>
      </c>
      <c r="E68" s="29" t="s">
        <v>190</v>
      </c>
      <c r="F68" s="29" t="s">
        <v>190</v>
      </c>
      <c r="G68" s="29" t="s">
        <v>190</v>
      </c>
      <c r="H68" s="29" t="s">
        <v>190</v>
      </c>
      <c r="I68" s="29" t="s">
        <v>190</v>
      </c>
      <c r="J68" s="29" t="s">
        <v>190</v>
      </c>
      <c r="K68" s="29" t="s">
        <v>190</v>
      </c>
      <c r="L68" s="29" t="s">
        <v>208</v>
      </c>
      <c r="M68" s="29" t="s">
        <v>208</v>
      </c>
      <c r="N68" s="29" t="s">
        <v>208</v>
      </c>
      <c r="O68" s="29" t="s">
        <v>208</v>
      </c>
      <c r="P68" s="29">
        <v>0.748</v>
      </c>
      <c r="Q68" s="29" t="s">
        <v>208</v>
      </c>
      <c r="R68" s="29" t="s">
        <v>208</v>
      </c>
      <c r="S68" s="29" t="s">
        <v>208</v>
      </c>
      <c r="T68" s="29" t="s">
        <v>208</v>
      </c>
      <c r="U68" s="29" t="s">
        <v>208</v>
      </c>
      <c r="V68" s="29" t="s">
        <v>208</v>
      </c>
      <c r="W68" s="117" t="s">
        <v>344</v>
      </c>
      <c r="X68" s="117" t="s">
        <v>344</v>
      </c>
    </row>
    <row r="69" spans="1:24" ht="15.75" customHeight="1" x14ac:dyDescent="0.2">
      <c r="A69" s="30" t="s">
        <v>211</v>
      </c>
      <c r="B69" s="17" t="s">
        <v>182</v>
      </c>
      <c r="C69" s="17" t="s">
        <v>60</v>
      </c>
      <c r="D69" s="29" t="s">
        <v>190</v>
      </c>
      <c r="E69" s="29" t="s">
        <v>190</v>
      </c>
      <c r="F69" s="29" t="s">
        <v>190</v>
      </c>
      <c r="G69" s="29" t="s">
        <v>190</v>
      </c>
      <c r="H69" s="29" t="s">
        <v>190</v>
      </c>
      <c r="I69" s="29" t="s">
        <v>190</v>
      </c>
      <c r="J69" s="29" t="s">
        <v>190</v>
      </c>
      <c r="K69" s="29" t="s">
        <v>190</v>
      </c>
      <c r="L69" s="29">
        <v>1</v>
      </c>
      <c r="M69" s="29">
        <v>0.77400000000000002</v>
      </c>
      <c r="N69" s="29" t="s">
        <v>208</v>
      </c>
      <c r="O69" s="29" t="s">
        <v>208</v>
      </c>
      <c r="P69" s="29" t="s">
        <v>208</v>
      </c>
      <c r="Q69" s="29">
        <v>0.75</v>
      </c>
      <c r="R69" s="29">
        <v>1</v>
      </c>
      <c r="S69" s="29">
        <v>0.76800000000000002</v>
      </c>
      <c r="T69" s="29" t="s">
        <v>208</v>
      </c>
      <c r="U69" s="29">
        <v>1</v>
      </c>
      <c r="V69" s="29" t="s">
        <v>208</v>
      </c>
      <c r="W69" s="117" t="s">
        <v>344</v>
      </c>
      <c r="X69" s="117" t="s">
        <v>344</v>
      </c>
    </row>
    <row r="70" spans="1:24" ht="15.75" customHeight="1" x14ac:dyDescent="0.2">
      <c r="A70" s="30" t="s">
        <v>211</v>
      </c>
      <c r="B70" s="17" t="s">
        <v>182</v>
      </c>
      <c r="C70" s="17" t="s">
        <v>97</v>
      </c>
      <c r="D70" s="29" t="s">
        <v>190</v>
      </c>
      <c r="E70" s="29" t="s">
        <v>190</v>
      </c>
      <c r="F70" s="29" t="s">
        <v>190</v>
      </c>
      <c r="G70" s="29" t="s">
        <v>190</v>
      </c>
      <c r="H70" s="29" t="s">
        <v>190</v>
      </c>
      <c r="I70" s="29" t="s">
        <v>190</v>
      </c>
      <c r="J70" s="29" t="s">
        <v>190</v>
      </c>
      <c r="K70" s="29" t="s">
        <v>190</v>
      </c>
      <c r="L70" s="29">
        <v>0.59099999999999997</v>
      </c>
      <c r="M70" s="29" t="s">
        <v>208</v>
      </c>
      <c r="N70" s="29" t="s">
        <v>208</v>
      </c>
      <c r="O70" s="29">
        <v>0.56799999999999995</v>
      </c>
      <c r="P70" s="29" t="s">
        <v>208</v>
      </c>
      <c r="Q70" s="29">
        <v>1</v>
      </c>
      <c r="R70" s="29">
        <v>0.64400000000000002</v>
      </c>
      <c r="S70" s="29" t="s">
        <v>208</v>
      </c>
      <c r="T70" s="29" t="s">
        <v>208</v>
      </c>
      <c r="U70" s="29" t="s">
        <v>208</v>
      </c>
      <c r="V70" s="29" t="s">
        <v>208</v>
      </c>
      <c r="W70" s="117" t="s">
        <v>344</v>
      </c>
      <c r="X70" s="117" t="s">
        <v>344</v>
      </c>
    </row>
    <row r="71" spans="1:24" ht="15.75" customHeight="1" x14ac:dyDescent="0.2">
      <c r="A71" s="30" t="s">
        <v>211</v>
      </c>
      <c r="B71" s="17" t="s">
        <v>182</v>
      </c>
      <c r="C71" s="17" t="s">
        <v>61</v>
      </c>
      <c r="D71" s="29" t="s">
        <v>190</v>
      </c>
      <c r="E71" s="29" t="s">
        <v>190</v>
      </c>
      <c r="F71" s="29" t="s">
        <v>190</v>
      </c>
      <c r="G71" s="29" t="s">
        <v>190</v>
      </c>
      <c r="H71" s="29" t="s">
        <v>190</v>
      </c>
      <c r="I71" s="29" t="s">
        <v>190</v>
      </c>
      <c r="J71" s="29" t="s">
        <v>190</v>
      </c>
      <c r="K71" s="29" t="s">
        <v>190</v>
      </c>
      <c r="L71" s="29">
        <v>0.58799999999999997</v>
      </c>
      <c r="M71" s="29">
        <v>0.76900000000000002</v>
      </c>
      <c r="N71" s="29">
        <v>0.66</v>
      </c>
      <c r="O71" s="29">
        <v>0.72</v>
      </c>
      <c r="P71" s="29">
        <v>1</v>
      </c>
      <c r="Q71" s="29">
        <v>0.77</v>
      </c>
      <c r="R71" s="29">
        <v>0.66</v>
      </c>
      <c r="S71" s="29">
        <v>0.6</v>
      </c>
      <c r="T71" s="29" t="s">
        <v>208</v>
      </c>
      <c r="U71" s="29">
        <v>0.79500000000000004</v>
      </c>
      <c r="V71" s="65">
        <v>0.54</v>
      </c>
      <c r="W71" s="117" t="s">
        <v>344</v>
      </c>
      <c r="X71" s="117" t="s">
        <v>344</v>
      </c>
    </row>
    <row r="72" spans="1:24" ht="15.75" customHeight="1" x14ac:dyDescent="0.2">
      <c r="A72" s="30" t="s">
        <v>211</v>
      </c>
      <c r="B72" s="17" t="s">
        <v>182</v>
      </c>
      <c r="C72" s="17" t="s">
        <v>62</v>
      </c>
      <c r="D72" s="29" t="s">
        <v>190</v>
      </c>
      <c r="E72" s="29" t="s">
        <v>190</v>
      </c>
      <c r="F72" s="29" t="s">
        <v>190</v>
      </c>
      <c r="G72" s="29" t="s">
        <v>190</v>
      </c>
      <c r="H72" s="29" t="s">
        <v>190</v>
      </c>
      <c r="I72" s="29" t="s">
        <v>190</v>
      </c>
      <c r="J72" s="29" t="s">
        <v>190</v>
      </c>
      <c r="K72" s="29" t="s">
        <v>190</v>
      </c>
      <c r="L72" s="29">
        <v>0.46600000000000003</v>
      </c>
      <c r="M72" s="29">
        <v>0.55399999999999994</v>
      </c>
      <c r="N72" s="29">
        <v>0.57299999999999995</v>
      </c>
      <c r="O72" s="29">
        <v>0.60499999999999998</v>
      </c>
      <c r="P72" s="29">
        <v>0.57899999999999996</v>
      </c>
      <c r="Q72" s="29">
        <v>0.46500000000000002</v>
      </c>
      <c r="R72" s="29">
        <v>0.64</v>
      </c>
      <c r="S72" s="29">
        <v>0.55600000000000005</v>
      </c>
      <c r="T72" s="29">
        <v>0.48799999999999999</v>
      </c>
      <c r="U72" s="29">
        <v>0.60799999999999998</v>
      </c>
      <c r="V72" s="65">
        <v>0.48799999999999999</v>
      </c>
      <c r="W72" s="117" t="s">
        <v>344</v>
      </c>
      <c r="X72" s="117" t="s">
        <v>344</v>
      </c>
    </row>
    <row r="73" spans="1:24" ht="15.75" customHeight="1" x14ac:dyDescent="0.2">
      <c r="A73" s="30" t="s">
        <v>211</v>
      </c>
      <c r="B73" s="17" t="s">
        <v>182</v>
      </c>
      <c r="C73" s="17" t="s">
        <v>63</v>
      </c>
      <c r="D73" s="29" t="s">
        <v>190</v>
      </c>
      <c r="E73" s="29" t="s">
        <v>190</v>
      </c>
      <c r="F73" s="29" t="s">
        <v>190</v>
      </c>
      <c r="G73" s="29" t="s">
        <v>190</v>
      </c>
      <c r="H73" s="29" t="s">
        <v>190</v>
      </c>
      <c r="I73" s="29" t="s">
        <v>190</v>
      </c>
      <c r="J73" s="29" t="s">
        <v>190</v>
      </c>
      <c r="K73" s="29" t="s">
        <v>190</v>
      </c>
      <c r="L73" s="29">
        <v>0.499</v>
      </c>
      <c r="M73" s="29">
        <v>0.58700000000000008</v>
      </c>
      <c r="N73" s="29">
        <v>0.58899999999999997</v>
      </c>
      <c r="O73" s="29">
        <v>0.69</v>
      </c>
      <c r="P73" s="29">
        <v>0.72499999999999998</v>
      </c>
      <c r="Q73" s="29">
        <v>0.56200000000000006</v>
      </c>
      <c r="R73" s="29">
        <v>0.56700000000000006</v>
      </c>
      <c r="S73" s="29">
        <v>0.61799999999999999</v>
      </c>
      <c r="T73" s="29">
        <v>0.39299999999999996</v>
      </c>
      <c r="U73" s="29">
        <v>0.69299999999999995</v>
      </c>
      <c r="V73" s="65">
        <v>0.48100000000000004</v>
      </c>
      <c r="W73" s="117" t="s">
        <v>344</v>
      </c>
      <c r="X73" s="117" t="s">
        <v>344</v>
      </c>
    </row>
    <row r="74" spans="1:24" ht="15.75" customHeight="1" x14ac:dyDescent="0.2">
      <c r="A74" s="30" t="s">
        <v>211</v>
      </c>
      <c r="B74" s="17" t="s">
        <v>182</v>
      </c>
      <c r="C74" s="17" t="s">
        <v>64</v>
      </c>
      <c r="D74" s="29" t="s">
        <v>190</v>
      </c>
      <c r="E74" s="29" t="s">
        <v>190</v>
      </c>
      <c r="F74" s="29" t="s">
        <v>190</v>
      </c>
      <c r="G74" s="29" t="s">
        <v>190</v>
      </c>
      <c r="H74" s="29" t="s">
        <v>190</v>
      </c>
      <c r="I74" s="29" t="s">
        <v>190</v>
      </c>
      <c r="J74" s="29" t="s">
        <v>190</v>
      </c>
      <c r="K74" s="29" t="s">
        <v>190</v>
      </c>
      <c r="L74" s="29">
        <v>0.503</v>
      </c>
      <c r="M74" s="29">
        <v>0.56399999999999995</v>
      </c>
      <c r="N74" s="29">
        <v>0.49</v>
      </c>
      <c r="O74" s="29">
        <v>0.46</v>
      </c>
      <c r="P74" s="29">
        <v>0.54500000000000004</v>
      </c>
      <c r="Q74" s="29">
        <v>0.61499999999999999</v>
      </c>
      <c r="R74" s="29">
        <v>0.57499999999999996</v>
      </c>
      <c r="S74" s="29">
        <v>0.57999999999999996</v>
      </c>
      <c r="T74" s="29">
        <v>0.52200000000000002</v>
      </c>
      <c r="U74" s="29">
        <v>0.46100000000000002</v>
      </c>
      <c r="V74" s="65">
        <v>0.53700000000000003</v>
      </c>
      <c r="W74" s="117" t="s">
        <v>344</v>
      </c>
      <c r="X74" s="117" t="s">
        <v>344</v>
      </c>
    </row>
    <row r="75" spans="1:24" ht="15.75" customHeight="1" x14ac:dyDescent="0.2">
      <c r="A75" s="30" t="s">
        <v>211</v>
      </c>
      <c r="B75" s="17" t="s">
        <v>182</v>
      </c>
      <c r="C75" s="17" t="s">
        <v>65</v>
      </c>
      <c r="D75" s="29" t="s">
        <v>190</v>
      </c>
      <c r="E75" s="29" t="s">
        <v>190</v>
      </c>
      <c r="F75" s="29" t="s">
        <v>190</v>
      </c>
      <c r="G75" s="29" t="s">
        <v>190</v>
      </c>
      <c r="H75" s="29" t="s">
        <v>190</v>
      </c>
      <c r="I75" s="29" t="s">
        <v>190</v>
      </c>
      <c r="J75" s="29" t="s">
        <v>190</v>
      </c>
      <c r="K75" s="29" t="s">
        <v>190</v>
      </c>
      <c r="L75" s="29">
        <v>0.55500000000000005</v>
      </c>
      <c r="M75" s="29">
        <v>0.50900000000000001</v>
      </c>
      <c r="N75" s="29">
        <v>0.55799999999999994</v>
      </c>
      <c r="O75" s="29">
        <v>0.56700000000000006</v>
      </c>
      <c r="P75" s="29">
        <v>0.60299999999999998</v>
      </c>
      <c r="Q75" s="29">
        <v>0.70099999999999996</v>
      </c>
      <c r="R75" s="29">
        <v>0.63400000000000001</v>
      </c>
      <c r="S75" s="29">
        <v>0.622</v>
      </c>
      <c r="T75" s="29">
        <v>0.45600000000000002</v>
      </c>
      <c r="U75" s="29">
        <v>0.42100000000000004</v>
      </c>
      <c r="V75" s="65">
        <v>0.57100000000000006</v>
      </c>
      <c r="W75" s="117" t="s">
        <v>344</v>
      </c>
      <c r="X75" s="117" t="s">
        <v>344</v>
      </c>
    </row>
    <row r="76" spans="1:24" ht="15.75" customHeight="1" x14ac:dyDescent="0.2">
      <c r="A76" s="30" t="s">
        <v>211</v>
      </c>
      <c r="B76" s="17" t="s">
        <v>182</v>
      </c>
      <c r="C76" s="17" t="s">
        <v>66</v>
      </c>
      <c r="D76" s="29" t="s">
        <v>190</v>
      </c>
      <c r="E76" s="29" t="s">
        <v>190</v>
      </c>
      <c r="F76" s="29" t="s">
        <v>190</v>
      </c>
      <c r="G76" s="29" t="s">
        <v>190</v>
      </c>
      <c r="H76" s="29" t="s">
        <v>190</v>
      </c>
      <c r="I76" s="29" t="s">
        <v>190</v>
      </c>
      <c r="J76" s="29" t="s">
        <v>190</v>
      </c>
      <c r="K76" s="29" t="s">
        <v>190</v>
      </c>
      <c r="L76" s="29">
        <v>0.38799999999999996</v>
      </c>
      <c r="M76" s="29">
        <v>0.441</v>
      </c>
      <c r="N76" s="29">
        <v>0.56899999999999995</v>
      </c>
      <c r="O76" s="29">
        <v>0.51600000000000001</v>
      </c>
      <c r="P76" s="29">
        <v>0.58499999999999996</v>
      </c>
      <c r="Q76" s="29">
        <v>0.76</v>
      </c>
      <c r="R76" s="29">
        <v>0.622</v>
      </c>
      <c r="S76" s="29">
        <v>0.71400000000000008</v>
      </c>
      <c r="T76" s="29">
        <v>0.60499999999999998</v>
      </c>
      <c r="U76" s="29">
        <v>0.40399999999999997</v>
      </c>
      <c r="V76" s="65">
        <v>0.73199999999999998</v>
      </c>
      <c r="W76" s="117" t="s">
        <v>344</v>
      </c>
      <c r="X76" s="117" t="s">
        <v>344</v>
      </c>
    </row>
    <row r="77" spans="1:24" ht="15.75" customHeight="1" x14ac:dyDescent="0.2">
      <c r="A77" s="30" t="s">
        <v>211</v>
      </c>
      <c r="B77" s="17" t="s">
        <v>182</v>
      </c>
      <c r="C77" s="17" t="s">
        <v>67</v>
      </c>
      <c r="D77" s="29" t="s">
        <v>190</v>
      </c>
      <c r="E77" s="29" t="s">
        <v>190</v>
      </c>
      <c r="F77" s="29" t="s">
        <v>190</v>
      </c>
      <c r="G77" s="29" t="s">
        <v>190</v>
      </c>
      <c r="H77" s="29" t="s">
        <v>190</v>
      </c>
      <c r="I77" s="29" t="s">
        <v>190</v>
      </c>
      <c r="J77" s="29" t="s">
        <v>190</v>
      </c>
      <c r="K77" s="29" t="s">
        <v>190</v>
      </c>
      <c r="L77" s="29">
        <v>0.52400000000000002</v>
      </c>
      <c r="M77" s="29">
        <v>0.41899999999999998</v>
      </c>
      <c r="N77" s="29">
        <v>0.496</v>
      </c>
      <c r="O77" s="29">
        <v>0.51100000000000001</v>
      </c>
      <c r="P77" s="29">
        <v>0.45799999999999996</v>
      </c>
      <c r="Q77" s="29">
        <v>0.58299999999999996</v>
      </c>
      <c r="R77" s="29">
        <v>0.624</v>
      </c>
      <c r="S77" s="29">
        <v>0.54899999999999993</v>
      </c>
      <c r="T77" s="29">
        <v>0.42100000000000004</v>
      </c>
      <c r="U77" s="29">
        <v>0.58099999999999996</v>
      </c>
      <c r="V77" s="65">
        <v>0.55000000000000004</v>
      </c>
      <c r="W77" s="117" t="s">
        <v>344</v>
      </c>
      <c r="X77" s="117" t="s">
        <v>344</v>
      </c>
    </row>
    <row r="78" spans="1:24" ht="15.75" customHeight="1" x14ac:dyDescent="0.2">
      <c r="A78" s="30" t="s">
        <v>211</v>
      </c>
      <c r="B78" s="17" t="s">
        <v>182</v>
      </c>
      <c r="C78" s="17" t="s">
        <v>68</v>
      </c>
      <c r="D78" s="29" t="s">
        <v>190</v>
      </c>
      <c r="E78" s="29" t="s">
        <v>190</v>
      </c>
      <c r="F78" s="29" t="s">
        <v>190</v>
      </c>
      <c r="G78" s="29" t="s">
        <v>190</v>
      </c>
      <c r="H78" s="29" t="s">
        <v>190</v>
      </c>
      <c r="I78" s="29" t="s">
        <v>190</v>
      </c>
      <c r="J78" s="29" t="s">
        <v>190</v>
      </c>
      <c r="K78" s="29" t="s">
        <v>190</v>
      </c>
      <c r="L78" s="29">
        <v>0.69599999999999995</v>
      </c>
      <c r="M78" s="29">
        <v>0.64200000000000002</v>
      </c>
      <c r="N78" s="29">
        <v>0.61</v>
      </c>
      <c r="O78" s="29">
        <v>0.56700000000000006</v>
      </c>
      <c r="P78" s="29">
        <v>0.63</v>
      </c>
      <c r="Q78" s="29">
        <v>0.64800000000000002</v>
      </c>
      <c r="R78" s="29">
        <v>0.61499999999999999</v>
      </c>
      <c r="S78" s="29">
        <v>0.61799999999999999</v>
      </c>
      <c r="T78" s="29">
        <v>0.67</v>
      </c>
      <c r="U78" s="29">
        <v>0.49099999999999999</v>
      </c>
      <c r="V78" s="65">
        <v>0.55399999999999994</v>
      </c>
      <c r="W78" s="117" t="s">
        <v>344</v>
      </c>
      <c r="X78" s="117" t="s">
        <v>344</v>
      </c>
    </row>
    <row r="79" spans="1:24" ht="15.75" customHeight="1" x14ac:dyDescent="0.2">
      <c r="A79" s="30" t="s">
        <v>211</v>
      </c>
      <c r="B79" s="17" t="s">
        <v>182</v>
      </c>
      <c r="C79" s="17" t="s">
        <v>69</v>
      </c>
      <c r="D79" s="29" t="s">
        <v>190</v>
      </c>
      <c r="E79" s="29" t="s">
        <v>190</v>
      </c>
      <c r="F79" s="29" t="s">
        <v>190</v>
      </c>
      <c r="G79" s="29" t="s">
        <v>190</v>
      </c>
      <c r="H79" s="29" t="s">
        <v>190</v>
      </c>
      <c r="I79" s="29" t="s">
        <v>190</v>
      </c>
      <c r="J79" s="29" t="s">
        <v>190</v>
      </c>
      <c r="K79" s="29" t="s">
        <v>190</v>
      </c>
      <c r="L79" s="29">
        <v>0.54</v>
      </c>
      <c r="M79" s="29">
        <v>0.59699999999999998</v>
      </c>
      <c r="N79" s="29">
        <v>0.52100000000000002</v>
      </c>
      <c r="O79" s="29">
        <v>0.55799999999999994</v>
      </c>
      <c r="P79" s="29">
        <v>0.55600000000000005</v>
      </c>
      <c r="Q79" s="29">
        <v>0.622</v>
      </c>
      <c r="R79" s="29">
        <v>0.61299999999999999</v>
      </c>
      <c r="S79" s="29">
        <v>0.59599999999999997</v>
      </c>
      <c r="T79" s="29">
        <v>0.58099999999999996</v>
      </c>
      <c r="U79" s="29">
        <v>0.504</v>
      </c>
      <c r="V79" s="65">
        <v>0.63100000000000001</v>
      </c>
      <c r="W79" s="117" t="s">
        <v>344</v>
      </c>
      <c r="X79" s="117" t="s">
        <v>344</v>
      </c>
    </row>
    <row r="80" spans="1:24" ht="15.75" customHeight="1" x14ac:dyDescent="0.2">
      <c r="A80" s="30" t="s">
        <v>211</v>
      </c>
      <c r="B80" s="17" t="s">
        <v>182</v>
      </c>
      <c r="C80" s="17" t="s">
        <v>70</v>
      </c>
      <c r="D80" s="29" t="s">
        <v>190</v>
      </c>
      <c r="E80" s="29" t="s">
        <v>190</v>
      </c>
      <c r="F80" s="29" t="s">
        <v>190</v>
      </c>
      <c r="G80" s="29" t="s">
        <v>190</v>
      </c>
      <c r="H80" s="29" t="s">
        <v>190</v>
      </c>
      <c r="I80" s="29" t="s">
        <v>190</v>
      </c>
      <c r="J80" s="29" t="s">
        <v>190</v>
      </c>
      <c r="K80" s="29" t="s">
        <v>190</v>
      </c>
      <c r="L80" s="29" t="s">
        <v>208</v>
      </c>
      <c r="M80" s="29" t="s">
        <v>208</v>
      </c>
      <c r="N80" s="29">
        <v>1</v>
      </c>
      <c r="O80" s="29">
        <v>1</v>
      </c>
      <c r="P80" s="29">
        <v>0.82099999999999995</v>
      </c>
      <c r="Q80" s="29">
        <v>0.83299999999999996</v>
      </c>
      <c r="R80" s="29" t="s">
        <v>208</v>
      </c>
      <c r="S80" s="29" t="s">
        <v>208</v>
      </c>
      <c r="T80" s="29" t="s">
        <v>208</v>
      </c>
      <c r="U80" s="29" t="s">
        <v>208</v>
      </c>
      <c r="V80" s="29" t="s">
        <v>208</v>
      </c>
      <c r="W80" s="117" t="s">
        <v>344</v>
      </c>
      <c r="X80" s="117" t="s">
        <v>344</v>
      </c>
    </row>
    <row r="81" spans="1:24" ht="15.75" customHeight="1" x14ac:dyDescent="0.2">
      <c r="A81" s="30" t="s">
        <v>211</v>
      </c>
      <c r="B81" s="17" t="s">
        <v>182</v>
      </c>
      <c r="C81" s="17" t="s">
        <v>71</v>
      </c>
      <c r="D81" s="29" t="s">
        <v>190</v>
      </c>
      <c r="E81" s="29" t="s">
        <v>190</v>
      </c>
      <c r="F81" s="29" t="s">
        <v>190</v>
      </c>
      <c r="G81" s="29" t="s">
        <v>190</v>
      </c>
      <c r="H81" s="29" t="s">
        <v>190</v>
      </c>
      <c r="I81" s="29" t="s">
        <v>190</v>
      </c>
      <c r="J81" s="29" t="s">
        <v>190</v>
      </c>
      <c r="K81" s="29" t="s">
        <v>190</v>
      </c>
      <c r="L81" s="29">
        <v>0.72400000000000009</v>
      </c>
      <c r="M81" s="29">
        <v>0.61399999999999999</v>
      </c>
      <c r="N81" s="29">
        <v>0.92400000000000004</v>
      </c>
      <c r="O81" s="29">
        <v>0.68400000000000005</v>
      </c>
      <c r="P81" s="29" t="s">
        <v>208</v>
      </c>
      <c r="Q81" s="29">
        <v>0.57999999999999996</v>
      </c>
      <c r="R81" s="29" t="s">
        <v>208</v>
      </c>
      <c r="S81" s="29">
        <v>0.86</v>
      </c>
      <c r="T81" s="29" t="s">
        <v>208</v>
      </c>
      <c r="U81" s="29" t="s">
        <v>208</v>
      </c>
      <c r="V81" s="29" t="s">
        <v>208</v>
      </c>
      <c r="W81" s="117" t="s">
        <v>344</v>
      </c>
      <c r="X81" s="117" t="s">
        <v>344</v>
      </c>
    </row>
    <row r="82" spans="1:24" ht="15.75" customHeight="1" x14ac:dyDescent="0.2">
      <c r="A82" s="30" t="s">
        <v>211</v>
      </c>
      <c r="B82" s="17" t="s">
        <v>182</v>
      </c>
      <c r="C82" s="17" t="s">
        <v>72</v>
      </c>
      <c r="D82" s="29" t="s">
        <v>190</v>
      </c>
      <c r="E82" s="29" t="s">
        <v>190</v>
      </c>
      <c r="F82" s="29" t="s">
        <v>190</v>
      </c>
      <c r="G82" s="29" t="s">
        <v>190</v>
      </c>
      <c r="H82" s="29" t="s">
        <v>190</v>
      </c>
      <c r="I82" s="29" t="s">
        <v>190</v>
      </c>
      <c r="J82" s="29" t="s">
        <v>190</v>
      </c>
      <c r="K82" s="29" t="s">
        <v>190</v>
      </c>
      <c r="L82" s="29">
        <v>0.48</v>
      </c>
      <c r="M82" s="29">
        <v>0.54100000000000004</v>
      </c>
      <c r="N82" s="29">
        <v>0.58899999999999997</v>
      </c>
      <c r="O82" s="29">
        <v>0.66</v>
      </c>
      <c r="P82" s="29">
        <v>0.498</v>
      </c>
      <c r="Q82" s="29">
        <v>0.67400000000000004</v>
      </c>
      <c r="R82" s="29">
        <v>0.51800000000000002</v>
      </c>
      <c r="S82" s="29">
        <v>0.48299999999999998</v>
      </c>
      <c r="T82" s="29">
        <v>0.62</v>
      </c>
      <c r="U82" s="29">
        <v>0.433</v>
      </c>
      <c r="V82" s="65">
        <v>0.748</v>
      </c>
      <c r="W82" s="117" t="s">
        <v>344</v>
      </c>
      <c r="X82" s="117" t="s">
        <v>344</v>
      </c>
    </row>
    <row r="83" spans="1:24" ht="15.75" customHeight="1" x14ac:dyDescent="0.2">
      <c r="A83" s="30" t="s">
        <v>211</v>
      </c>
      <c r="B83" s="17" t="s">
        <v>182</v>
      </c>
      <c r="C83" s="17" t="s">
        <v>73</v>
      </c>
      <c r="D83" s="29" t="s">
        <v>190</v>
      </c>
      <c r="E83" s="29" t="s">
        <v>190</v>
      </c>
      <c r="F83" s="29" t="s">
        <v>190</v>
      </c>
      <c r="G83" s="29" t="s">
        <v>190</v>
      </c>
      <c r="H83" s="29" t="s">
        <v>190</v>
      </c>
      <c r="I83" s="29" t="s">
        <v>190</v>
      </c>
      <c r="J83" s="29" t="s">
        <v>190</v>
      </c>
      <c r="K83" s="29" t="s">
        <v>190</v>
      </c>
      <c r="L83" s="29">
        <v>0.746</v>
      </c>
      <c r="M83" s="29" t="s">
        <v>208</v>
      </c>
      <c r="N83" s="29">
        <v>0.53200000000000003</v>
      </c>
      <c r="O83" s="29">
        <v>0.58399999999999996</v>
      </c>
      <c r="P83" s="29" t="s">
        <v>208</v>
      </c>
      <c r="Q83" s="29">
        <v>0.41399999999999998</v>
      </c>
      <c r="R83" s="29">
        <v>0.90099999999999991</v>
      </c>
      <c r="S83" s="29">
        <v>0.66400000000000003</v>
      </c>
      <c r="T83" s="29" t="s">
        <v>208</v>
      </c>
      <c r="U83" s="29" t="s">
        <v>208</v>
      </c>
      <c r="V83" s="29" t="s">
        <v>208</v>
      </c>
      <c r="W83" s="117" t="s">
        <v>344</v>
      </c>
      <c r="X83" s="117" t="s">
        <v>344</v>
      </c>
    </row>
    <row r="84" spans="1:24" ht="15.75" customHeight="1" x14ac:dyDescent="0.2">
      <c r="A84" s="30" t="s">
        <v>211</v>
      </c>
      <c r="B84" s="17" t="s">
        <v>182</v>
      </c>
      <c r="C84" s="17" t="s">
        <v>53</v>
      </c>
      <c r="D84" s="29" t="s">
        <v>190</v>
      </c>
      <c r="E84" s="29" t="s">
        <v>190</v>
      </c>
      <c r="F84" s="29" t="s">
        <v>190</v>
      </c>
      <c r="G84" s="29" t="s">
        <v>190</v>
      </c>
      <c r="H84" s="29" t="s">
        <v>190</v>
      </c>
      <c r="I84" s="29" t="s">
        <v>190</v>
      </c>
      <c r="J84" s="29" t="s">
        <v>190</v>
      </c>
      <c r="K84" s="29" t="s">
        <v>190</v>
      </c>
      <c r="L84" s="29">
        <v>0.435</v>
      </c>
      <c r="M84" s="29">
        <v>0.48799999999999999</v>
      </c>
      <c r="N84" s="29">
        <v>0.43799999999999994</v>
      </c>
      <c r="O84" s="29">
        <v>0.53500000000000003</v>
      </c>
      <c r="P84" s="29">
        <v>0.56100000000000005</v>
      </c>
      <c r="Q84" s="29">
        <v>0.52500000000000002</v>
      </c>
      <c r="R84" s="29">
        <v>0.46700000000000003</v>
      </c>
      <c r="S84" s="29">
        <v>0.50800000000000001</v>
      </c>
      <c r="T84" s="29">
        <v>0.52800000000000002</v>
      </c>
      <c r="U84" s="29">
        <v>0.52700000000000002</v>
      </c>
      <c r="V84" s="65">
        <v>0.57700000000000007</v>
      </c>
      <c r="W84" s="117" t="s">
        <v>344</v>
      </c>
      <c r="X84" s="117" t="s">
        <v>344</v>
      </c>
    </row>
    <row r="85" spans="1:24" ht="15.75" customHeight="1" x14ac:dyDescent="0.2">
      <c r="A85" s="30" t="s">
        <v>211</v>
      </c>
      <c r="B85" s="17" t="s">
        <v>182</v>
      </c>
      <c r="C85" s="17" t="s">
        <v>74</v>
      </c>
      <c r="D85" s="29" t="s">
        <v>190</v>
      </c>
      <c r="E85" s="29" t="s">
        <v>190</v>
      </c>
      <c r="F85" s="29" t="s">
        <v>190</v>
      </c>
      <c r="G85" s="29" t="s">
        <v>190</v>
      </c>
      <c r="H85" s="29" t="s">
        <v>190</v>
      </c>
      <c r="I85" s="29" t="s">
        <v>190</v>
      </c>
      <c r="J85" s="29" t="s">
        <v>190</v>
      </c>
      <c r="K85" s="29" t="s">
        <v>190</v>
      </c>
      <c r="L85" s="29" t="s">
        <v>208</v>
      </c>
      <c r="M85" s="29" t="s">
        <v>208</v>
      </c>
      <c r="N85" s="29" t="s">
        <v>208</v>
      </c>
      <c r="O85" s="29">
        <v>1</v>
      </c>
      <c r="P85" s="29" t="s">
        <v>208</v>
      </c>
      <c r="Q85" s="29" t="s">
        <v>208</v>
      </c>
      <c r="R85" s="29" t="s">
        <v>208</v>
      </c>
      <c r="S85" s="29" t="s">
        <v>208</v>
      </c>
      <c r="T85" s="29" t="s">
        <v>208</v>
      </c>
      <c r="U85" s="29" t="s">
        <v>208</v>
      </c>
      <c r="V85" s="29" t="s">
        <v>208</v>
      </c>
      <c r="W85" s="117" t="s">
        <v>344</v>
      </c>
      <c r="X85" s="117" t="s">
        <v>344</v>
      </c>
    </row>
    <row r="86" spans="1:24" ht="15.75" customHeight="1" x14ac:dyDescent="0.2">
      <c r="A86" s="30" t="s">
        <v>211</v>
      </c>
      <c r="B86" s="17" t="s">
        <v>182</v>
      </c>
      <c r="C86" s="17" t="s">
        <v>75</v>
      </c>
      <c r="D86" s="29" t="s">
        <v>190</v>
      </c>
      <c r="E86" s="29" t="s">
        <v>190</v>
      </c>
      <c r="F86" s="29" t="s">
        <v>190</v>
      </c>
      <c r="G86" s="29" t="s">
        <v>190</v>
      </c>
      <c r="H86" s="29" t="s">
        <v>190</v>
      </c>
      <c r="I86" s="29" t="s">
        <v>190</v>
      </c>
      <c r="J86" s="29" t="s">
        <v>190</v>
      </c>
      <c r="K86" s="29" t="s">
        <v>190</v>
      </c>
      <c r="L86" s="29">
        <v>0.50700000000000001</v>
      </c>
      <c r="M86" s="29">
        <v>0.622</v>
      </c>
      <c r="N86" s="29">
        <v>0.5</v>
      </c>
      <c r="O86" s="29">
        <v>0.49299999999999999</v>
      </c>
      <c r="P86" s="29">
        <v>0.57399999999999995</v>
      </c>
      <c r="Q86" s="29">
        <v>0.56299999999999994</v>
      </c>
      <c r="R86" s="29">
        <v>0.60299999999999998</v>
      </c>
      <c r="S86" s="29">
        <v>0.47600000000000003</v>
      </c>
      <c r="T86" s="29">
        <v>0.53600000000000003</v>
      </c>
      <c r="U86" s="29">
        <v>0.54</v>
      </c>
      <c r="V86" s="65">
        <v>0.58700000000000008</v>
      </c>
      <c r="W86" s="117" t="s">
        <v>344</v>
      </c>
      <c r="X86" s="117" t="s">
        <v>344</v>
      </c>
    </row>
    <row r="87" spans="1:24" ht="15.75" customHeight="1" x14ac:dyDescent="0.2">
      <c r="A87" s="30" t="s">
        <v>211</v>
      </c>
      <c r="B87" s="17" t="s">
        <v>182</v>
      </c>
      <c r="C87" s="17" t="s">
        <v>76</v>
      </c>
      <c r="D87" s="29" t="s">
        <v>190</v>
      </c>
      <c r="E87" s="29" t="s">
        <v>190</v>
      </c>
      <c r="F87" s="29" t="s">
        <v>190</v>
      </c>
      <c r="G87" s="29" t="s">
        <v>190</v>
      </c>
      <c r="H87" s="29" t="s">
        <v>190</v>
      </c>
      <c r="I87" s="29" t="s">
        <v>190</v>
      </c>
      <c r="J87" s="29" t="s">
        <v>190</v>
      </c>
      <c r="K87" s="29" t="s">
        <v>190</v>
      </c>
      <c r="L87" s="29">
        <v>0.63100000000000001</v>
      </c>
      <c r="M87" s="29">
        <v>0.72900000000000009</v>
      </c>
      <c r="N87" s="29">
        <v>0.68099999999999994</v>
      </c>
      <c r="O87" s="29">
        <v>0.60499999999999998</v>
      </c>
      <c r="P87" s="29">
        <v>0.48899999999999999</v>
      </c>
      <c r="Q87" s="29">
        <v>0.46299999999999997</v>
      </c>
      <c r="R87" s="29">
        <v>0.52800000000000002</v>
      </c>
      <c r="S87" s="29">
        <v>0.81299999999999994</v>
      </c>
      <c r="T87" s="29">
        <v>0.7390000000000001</v>
      </c>
      <c r="U87" s="29" t="s">
        <v>208</v>
      </c>
      <c r="V87" s="65">
        <v>0.35</v>
      </c>
      <c r="W87" s="117" t="s">
        <v>344</v>
      </c>
      <c r="X87" s="117" t="s">
        <v>344</v>
      </c>
    </row>
    <row r="88" spans="1:24" ht="15.75" customHeight="1" x14ac:dyDescent="0.2">
      <c r="A88" s="30" t="s">
        <v>211</v>
      </c>
      <c r="B88" s="17" t="s">
        <v>182</v>
      </c>
      <c r="C88" s="17" t="s">
        <v>77</v>
      </c>
      <c r="D88" s="29" t="s">
        <v>190</v>
      </c>
      <c r="E88" s="29" t="s">
        <v>190</v>
      </c>
      <c r="F88" s="29" t="s">
        <v>190</v>
      </c>
      <c r="G88" s="29" t="s">
        <v>190</v>
      </c>
      <c r="H88" s="29" t="s">
        <v>190</v>
      </c>
      <c r="I88" s="29" t="s">
        <v>190</v>
      </c>
      <c r="J88" s="29" t="s">
        <v>190</v>
      </c>
      <c r="K88" s="29" t="s">
        <v>190</v>
      </c>
      <c r="L88" s="29">
        <v>0.629</v>
      </c>
      <c r="M88" s="29">
        <v>0.60499999999999998</v>
      </c>
      <c r="N88" s="29">
        <v>0.59099999999999997</v>
      </c>
      <c r="O88" s="29">
        <v>0.68900000000000006</v>
      </c>
      <c r="P88" s="29">
        <v>0.57799999999999996</v>
      </c>
      <c r="Q88" s="29">
        <v>0.57999999999999996</v>
      </c>
      <c r="R88" s="29">
        <v>0.82299999999999995</v>
      </c>
      <c r="S88" s="29">
        <v>0.69299999999999995</v>
      </c>
      <c r="T88" s="29">
        <v>0.8</v>
      </c>
      <c r="U88" s="29">
        <v>0.748</v>
      </c>
      <c r="V88" s="65">
        <v>0.57899999999999996</v>
      </c>
      <c r="W88" s="117" t="s">
        <v>344</v>
      </c>
      <c r="X88" s="117" t="s">
        <v>344</v>
      </c>
    </row>
    <row r="89" spans="1:24" ht="15.75" customHeight="1" x14ac:dyDescent="0.2">
      <c r="A89" s="30" t="s">
        <v>211</v>
      </c>
      <c r="B89" s="17" t="s">
        <v>182</v>
      </c>
      <c r="C89" s="17" t="s">
        <v>78</v>
      </c>
      <c r="D89" s="29" t="s">
        <v>190</v>
      </c>
      <c r="E89" s="29" t="s">
        <v>190</v>
      </c>
      <c r="F89" s="29" t="s">
        <v>190</v>
      </c>
      <c r="G89" s="29" t="s">
        <v>190</v>
      </c>
      <c r="H89" s="29" t="s">
        <v>190</v>
      </c>
      <c r="I89" s="29" t="s">
        <v>190</v>
      </c>
      <c r="J89" s="29" t="s">
        <v>190</v>
      </c>
      <c r="K89" s="29" t="s">
        <v>190</v>
      </c>
      <c r="L89" s="29">
        <v>0.45</v>
      </c>
      <c r="M89" s="29">
        <v>0.501</v>
      </c>
      <c r="N89" s="29">
        <v>0.56200000000000006</v>
      </c>
      <c r="O89" s="29">
        <v>0.505</v>
      </c>
      <c r="P89" s="29">
        <v>0.46600000000000003</v>
      </c>
      <c r="Q89" s="29">
        <v>0.56200000000000006</v>
      </c>
      <c r="R89" s="29">
        <v>0.52900000000000003</v>
      </c>
      <c r="S89" s="29">
        <v>0.64</v>
      </c>
      <c r="T89" s="29">
        <v>0.53100000000000003</v>
      </c>
      <c r="U89" s="29">
        <v>0.47200000000000003</v>
      </c>
      <c r="V89" s="65">
        <v>0.60299999999999998</v>
      </c>
      <c r="W89" s="117" t="s">
        <v>344</v>
      </c>
      <c r="X89" s="117" t="s">
        <v>344</v>
      </c>
    </row>
    <row r="90" spans="1:24" ht="15.75" customHeight="1" x14ac:dyDescent="0.2">
      <c r="A90" s="30" t="s">
        <v>211</v>
      </c>
      <c r="B90" s="17" t="s">
        <v>182</v>
      </c>
      <c r="C90" s="17" t="s">
        <v>79</v>
      </c>
      <c r="D90" s="29" t="s">
        <v>190</v>
      </c>
      <c r="E90" s="29" t="s">
        <v>190</v>
      </c>
      <c r="F90" s="29" t="s">
        <v>190</v>
      </c>
      <c r="G90" s="29" t="s">
        <v>190</v>
      </c>
      <c r="H90" s="29" t="s">
        <v>190</v>
      </c>
      <c r="I90" s="29" t="s">
        <v>190</v>
      </c>
      <c r="J90" s="29" t="s">
        <v>190</v>
      </c>
      <c r="K90" s="29" t="s">
        <v>190</v>
      </c>
      <c r="L90" s="29">
        <v>0.61599999999999999</v>
      </c>
      <c r="M90" s="29">
        <v>0.56399999999999995</v>
      </c>
      <c r="N90" s="29">
        <v>0.64900000000000002</v>
      </c>
      <c r="O90" s="29">
        <v>0.60499999999999998</v>
      </c>
      <c r="P90" s="29">
        <v>0.63400000000000001</v>
      </c>
      <c r="Q90" s="29">
        <v>0.60799999999999998</v>
      </c>
      <c r="R90" s="29">
        <v>0.69099999999999995</v>
      </c>
      <c r="S90" s="29">
        <v>0.60599999999999998</v>
      </c>
      <c r="T90" s="29">
        <v>0.49200000000000005</v>
      </c>
      <c r="U90" s="29">
        <v>0.58700000000000008</v>
      </c>
      <c r="V90" s="65">
        <v>0.66599999999999993</v>
      </c>
      <c r="W90" s="117" t="s">
        <v>344</v>
      </c>
      <c r="X90" s="117" t="s">
        <v>344</v>
      </c>
    </row>
    <row r="91" spans="1:24" ht="15.75" customHeight="1" x14ac:dyDescent="0.2">
      <c r="A91" s="30" t="s">
        <v>211</v>
      </c>
      <c r="B91" s="17" t="s">
        <v>182</v>
      </c>
      <c r="C91" s="17" t="s">
        <v>80</v>
      </c>
      <c r="D91" s="29" t="s">
        <v>190</v>
      </c>
      <c r="E91" s="29" t="s">
        <v>190</v>
      </c>
      <c r="F91" s="29" t="s">
        <v>190</v>
      </c>
      <c r="G91" s="29" t="s">
        <v>190</v>
      </c>
      <c r="H91" s="29" t="s">
        <v>190</v>
      </c>
      <c r="I91" s="29" t="s">
        <v>190</v>
      </c>
      <c r="J91" s="29" t="s">
        <v>190</v>
      </c>
      <c r="K91" s="29" t="s">
        <v>190</v>
      </c>
      <c r="L91" s="29">
        <v>0.66799999999999993</v>
      </c>
      <c r="M91" s="29">
        <v>0.56000000000000005</v>
      </c>
      <c r="N91" s="29">
        <v>0.83</v>
      </c>
      <c r="O91" s="29">
        <v>0.59299999999999997</v>
      </c>
      <c r="P91" s="29">
        <v>0.54100000000000004</v>
      </c>
      <c r="Q91" s="29">
        <v>0.69400000000000006</v>
      </c>
      <c r="R91" s="29">
        <v>0.59899999999999998</v>
      </c>
      <c r="S91" s="29" t="s">
        <v>208</v>
      </c>
      <c r="T91" s="29">
        <v>1</v>
      </c>
      <c r="U91" s="29">
        <v>0.70499999999999996</v>
      </c>
      <c r="V91" s="29" t="s">
        <v>208</v>
      </c>
      <c r="W91" s="117" t="s">
        <v>344</v>
      </c>
      <c r="X91" s="117" t="s">
        <v>344</v>
      </c>
    </row>
    <row r="92" spans="1:24" ht="15.75" customHeight="1" x14ac:dyDescent="0.2">
      <c r="A92" s="30" t="s">
        <v>211</v>
      </c>
      <c r="B92" s="17" t="s">
        <v>182</v>
      </c>
      <c r="C92" s="17" t="s">
        <v>81</v>
      </c>
      <c r="D92" s="29" t="s">
        <v>190</v>
      </c>
      <c r="E92" s="29" t="s">
        <v>190</v>
      </c>
      <c r="F92" s="29" t="s">
        <v>190</v>
      </c>
      <c r="G92" s="29" t="s">
        <v>190</v>
      </c>
      <c r="H92" s="29" t="s">
        <v>190</v>
      </c>
      <c r="I92" s="29" t="s">
        <v>190</v>
      </c>
      <c r="J92" s="29" t="s">
        <v>190</v>
      </c>
      <c r="K92" s="29" t="s">
        <v>190</v>
      </c>
      <c r="L92" s="29">
        <v>0.57999999999999996</v>
      </c>
      <c r="M92" s="29">
        <v>0.51900000000000002</v>
      </c>
      <c r="N92" s="29">
        <v>0.54799999999999993</v>
      </c>
      <c r="O92" s="29">
        <v>0.57700000000000007</v>
      </c>
      <c r="P92" s="29">
        <v>0.66500000000000004</v>
      </c>
      <c r="Q92" s="29">
        <v>0.57899999999999996</v>
      </c>
      <c r="R92" s="29">
        <v>0.63400000000000001</v>
      </c>
      <c r="S92" s="29">
        <v>0.56000000000000005</v>
      </c>
      <c r="T92" s="29">
        <v>0.64200000000000002</v>
      </c>
      <c r="U92" s="29">
        <v>0.69</v>
      </c>
      <c r="V92" s="65">
        <v>0.623</v>
      </c>
      <c r="W92" s="117" t="s">
        <v>344</v>
      </c>
      <c r="X92" s="117" t="s">
        <v>344</v>
      </c>
    </row>
    <row r="93" spans="1:24" ht="15.75" customHeight="1" x14ac:dyDescent="0.2">
      <c r="A93" s="30" t="s">
        <v>211</v>
      </c>
      <c r="B93" s="17" t="s">
        <v>182</v>
      </c>
      <c r="C93" s="17" t="s">
        <v>82</v>
      </c>
      <c r="D93" s="29" t="s">
        <v>190</v>
      </c>
      <c r="E93" s="29" t="s">
        <v>190</v>
      </c>
      <c r="F93" s="29" t="s">
        <v>190</v>
      </c>
      <c r="G93" s="29" t="s">
        <v>190</v>
      </c>
      <c r="H93" s="29" t="s">
        <v>190</v>
      </c>
      <c r="I93" s="29" t="s">
        <v>190</v>
      </c>
      <c r="J93" s="29" t="s">
        <v>190</v>
      </c>
      <c r="K93" s="29" t="s">
        <v>190</v>
      </c>
      <c r="L93" s="29" t="s">
        <v>208</v>
      </c>
      <c r="M93" s="29" t="s">
        <v>208</v>
      </c>
      <c r="N93" s="29">
        <v>1</v>
      </c>
      <c r="O93" s="29">
        <v>0.56200000000000006</v>
      </c>
      <c r="P93" s="29">
        <v>0.442</v>
      </c>
      <c r="Q93" s="29" t="s">
        <v>208</v>
      </c>
      <c r="R93" s="29" t="s">
        <v>208</v>
      </c>
      <c r="S93" s="29" t="s">
        <v>208</v>
      </c>
      <c r="T93" s="29" t="s">
        <v>208</v>
      </c>
      <c r="U93" s="29" t="s">
        <v>208</v>
      </c>
      <c r="V93" s="29" t="s">
        <v>208</v>
      </c>
      <c r="W93" s="117" t="s">
        <v>344</v>
      </c>
      <c r="X93" s="117" t="s">
        <v>344</v>
      </c>
    </row>
    <row r="94" spans="1:24" ht="15.75" customHeight="1" x14ac:dyDescent="0.2">
      <c r="A94" s="30" t="s">
        <v>211</v>
      </c>
      <c r="B94" s="17" t="s">
        <v>182</v>
      </c>
      <c r="C94" s="17" t="s">
        <v>83</v>
      </c>
      <c r="D94" s="29" t="s">
        <v>190</v>
      </c>
      <c r="E94" s="29" t="s">
        <v>190</v>
      </c>
      <c r="F94" s="29" t="s">
        <v>190</v>
      </c>
      <c r="G94" s="29" t="s">
        <v>190</v>
      </c>
      <c r="H94" s="29" t="s">
        <v>190</v>
      </c>
      <c r="I94" s="29" t="s">
        <v>190</v>
      </c>
      <c r="J94" s="29" t="s">
        <v>190</v>
      </c>
      <c r="K94" s="29" t="s">
        <v>190</v>
      </c>
      <c r="L94" s="29">
        <v>0.59299999999999997</v>
      </c>
      <c r="M94" s="29" t="s">
        <v>208</v>
      </c>
      <c r="N94" s="29">
        <v>0.71</v>
      </c>
      <c r="O94" s="29">
        <v>0.38100000000000001</v>
      </c>
      <c r="P94" s="29" t="s">
        <v>208</v>
      </c>
      <c r="Q94" s="29">
        <v>0.53900000000000003</v>
      </c>
      <c r="R94" s="29">
        <v>0.51</v>
      </c>
      <c r="S94" s="29">
        <v>0.49099999999999999</v>
      </c>
      <c r="T94" s="29">
        <v>0.50800000000000001</v>
      </c>
      <c r="U94" s="29" t="s">
        <v>208</v>
      </c>
      <c r="V94" s="29" t="s">
        <v>208</v>
      </c>
      <c r="W94" s="117" t="s">
        <v>344</v>
      </c>
      <c r="X94" s="117" t="s">
        <v>344</v>
      </c>
    </row>
    <row r="95" spans="1:24" ht="15.75" customHeight="1" x14ac:dyDescent="0.2">
      <c r="A95" s="30" t="s">
        <v>211</v>
      </c>
      <c r="B95" s="17" t="s">
        <v>182</v>
      </c>
      <c r="C95" s="17" t="s">
        <v>84</v>
      </c>
      <c r="D95" s="29" t="s">
        <v>190</v>
      </c>
      <c r="E95" s="29" t="s">
        <v>190</v>
      </c>
      <c r="F95" s="29" t="s">
        <v>190</v>
      </c>
      <c r="G95" s="29" t="s">
        <v>190</v>
      </c>
      <c r="H95" s="29" t="s">
        <v>190</v>
      </c>
      <c r="I95" s="29" t="s">
        <v>190</v>
      </c>
      <c r="J95" s="29" t="s">
        <v>190</v>
      </c>
      <c r="K95" s="29" t="s">
        <v>190</v>
      </c>
      <c r="L95" s="29">
        <v>0.84</v>
      </c>
      <c r="M95" s="29">
        <v>0.59799999999999998</v>
      </c>
      <c r="N95" s="29">
        <v>0.79</v>
      </c>
      <c r="O95" s="29">
        <v>0.46799999999999997</v>
      </c>
      <c r="P95" s="29">
        <v>0.65300000000000002</v>
      </c>
      <c r="Q95" s="29">
        <v>0.81700000000000006</v>
      </c>
      <c r="R95" s="29">
        <v>0.57399999999999995</v>
      </c>
      <c r="S95" s="29">
        <v>0.90799999999999992</v>
      </c>
      <c r="T95" s="29">
        <v>0.90099999999999991</v>
      </c>
      <c r="U95" s="29">
        <v>0.8</v>
      </c>
      <c r="V95" s="29" t="s">
        <v>208</v>
      </c>
      <c r="W95" s="117" t="s">
        <v>344</v>
      </c>
      <c r="X95" s="117" t="s">
        <v>344</v>
      </c>
    </row>
    <row r="96" spans="1:24" ht="15.75" customHeight="1" x14ac:dyDescent="0.2">
      <c r="A96" s="30" t="s">
        <v>211</v>
      </c>
      <c r="B96" s="17" t="s">
        <v>182</v>
      </c>
      <c r="C96" s="17" t="s">
        <v>15</v>
      </c>
      <c r="D96" s="29" t="s">
        <v>190</v>
      </c>
      <c r="E96" s="29" t="s">
        <v>190</v>
      </c>
      <c r="F96" s="29" t="s">
        <v>190</v>
      </c>
      <c r="G96" s="29" t="s">
        <v>190</v>
      </c>
      <c r="H96" s="29" t="s">
        <v>190</v>
      </c>
      <c r="I96" s="29" t="s">
        <v>190</v>
      </c>
      <c r="J96" s="29" t="s">
        <v>190</v>
      </c>
      <c r="K96" s="29" t="s">
        <v>190</v>
      </c>
      <c r="L96" s="29">
        <v>0.63100000000000001</v>
      </c>
      <c r="M96" s="29">
        <v>0.72599999999999998</v>
      </c>
      <c r="N96" s="29">
        <v>0.84799999999999998</v>
      </c>
      <c r="O96" s="29">
        <v>0.80900000000000005</v>
      </c>
      <c r="P96" s="29">
        <v>0.78299999999999992</v>
      </c>
      <c r="Q96" s="29">
        <v>0.88500000000000001</v>
      </c>
      <c r="R96" s="29">
        <v>0.89900000000000002</v>
      </c>
      <c r="S96" s="29">
        <v>0.82</v>
      </c>
      <c r="T96" s="29">
        <v>0.51800000000000002</v>
      </c>
      <c r="U96" s="29">
        <v>0.45899999999999996</v>
      </c>
      <c r="V96" s="65">
        <v>1</v>
      </c>
      <c r="W96" s="117" t="s">
        <v>344</v>
      </c>
      <c r="X96" s="117" t="s">
        <v>344</v>
      </c>
    </row>
    <row r="97" spans="1:24" ht="15.75" customHeight="1" x14ac:dyDescent="0.2">
      <c r="A97" s="30" t="s">
        <v>211</v>
      </c>
      <c r="B97" s="17" t="s">
        <v>182</v>
      </c>
      <c r="C97" s="17" t="s">
        <v>85</v>
      </c>
      <c r="D97" s="29" t="s">
        <v>190</v>
      </c>
      <c r="E97" s="29" t="s">
        <v>190</v>
      </c>
      <c r="F97" s="29" t="s">
        <v>190</v>
      </c>
      <c r="G97" s="29" t="s">
        <v>190</v>
      </c>
      <c r="H97" s="29" t="s">
        <v>190</v>
      </c>
      <c r="I97" s="29" t="s">
        <v>190</v>
      </c>
      <c r="J97" s="29" t="s">
        <v>190</v>
      </c>
      <c r="K97" s="29" t="s">
        <v>190</v>
      </c>
      <c r="L97" s="29">
        <v>0.57499999999999996</v>
      </c>
      <c r="M97" s="29">
        <v>0.53200000000000003</v>
      </c>
      <c r="N97" s="29">
        <v>0.53500000000000003</v>
      </c>
      <c r="O97" s="29">
        <v>0.59499999999999997</v>
      </c>
      <c r="P97" s="29">
        <v>0.58700000000000008</v>
      </c>
      <c r="Q97" s="29">
        <v>0.65</v>
      </c>
      <c r="R97" s="29">
        <v>0.58799999999999997</v>
      </c>
      <c r="S97" s="29">
        <v>0.68900000000000006</v>
      </c>
      <c r="T97" s="29">
        <v>0.52500000000000002</v>
      </c>
      <c r="U97" s="29">
        <v>0.43799999999999994</v>
      </c>
      <c r="V97" s="65">
        <v>0.56000000000000005</v>
      </c>
      <c r="W97" s="117" t="s">
        <v>344</v>
      </c>
      <c r="X97" s="117" t="s">
        <v>344</v>
      </c>
    </row>
    <row r="98" spans="1:24" ht="15.75" customHeight="1" x14ac:dyDescent="0.2">
      <c r="A98" s="30" t="s">
        <v>211</v>
      </c>
      <c r="B98" s="17" t="s">
        <v>182</v>
      </c>
      <c r="C98" s="17" t="s">
        <v>86</v>
      </c>
      <c r="D98" s="29" t="s">
        <v>190</v>
      </c>
      <c r="E98" s="29" t="s">
        <v>190</v>
      </c>
      <c r="F98" s="29" t="s">
        <v>190</v>
      </c>
      <c r="G98" s="29" t="s">
        <v>190</v>
      </c>
      <c r="H98" s="29" t="s">
        <v>190</v>
      </c>
      <c r="I98" s="29" t="s">
        <v>190</v>
      </c>
      <c r="J98" s="29" t="s">
        <v>190</v>
      </c>
      <c r="K98" s="29" t="s">
        <v>190</v>
      </c>
      <c r="L98" s="29">
        <v>0.69</v>
      </c>
      <c r="M98" s="29">
        <v>0.70499999999999996</v>
      </c>
      <c r="N98" s="29">
        <v>0.70599999999999996</v>
      </c>
      <c r="O98" s="29">
        <v>0.7609999999999999</v>
      </c>
      <c r="P98" s="29">
        <v>0.55700000000000005</v>
      </c>
      <c r="Q98" s="29">
        <v>0.53100000000000003</v>
      </c>
      <c r="R98" s="29">
        <v>0.69299999999999995</v>
      </c>
      <c r="S98" s="29">
        <v>0.627</v>
      </c>
      <c r="T98" s="29">
        <v>0.70299999999999996</v>
      </c>
      <c r="U98" s="29">
        <v>1</v>
      </c>
      <c r="V98" s="65">
        <v>1</v>
      </c>
      <c r="W98" s="117" t="s">
        <v>344</v>
      </c>
      <c r="X98" s="117" t="s">
        <v>344</v>
      </c>
    </row>
    <row r="99" spans="1:24" ht="15.75" customHeight="1" x14ac:dyDescent="0.2">
      <c r="A99" s="30" t="s">
        <v>211</v>
      </c>
      <c r="B99" s="17" t="s">
        <v>182</v>
      </c>
      <c r="C99" s="17" t="s">
        <v>87</v>
      </c>
      <c r="D99" s="29" t="s">
        <v>190</v>
      </c>
      <c r="E99" s="29" t="s">
        <v>190</v>
      </c>
      <c r="F99" s="29" t="s">
        <v>190</v>
      </c>
      <c r="G99" s="29" t="s">
        <v>190</v>
      </c>
      <c r="H99" s="29" t="s">
        <v>190</v>
      </c>
      <c r="I99" s="29" t="s">
        <v>190</v>
      </c>
      <c r="J99" s="29" t="s">
        <v>190</v>
      </c>
      <c r="K99" s="29" t="s">
        <v>190</v>
      </c>
      <c r="L99" s="29">
        <v>0.7609999999999999</v>
      </c>
      <c r="M99" s="29">
        <v>0.87</v>
      </c>
      <c r="N99" s="29">
        <v>1</v>
      </c>
      <c r="O99" s="29">
        <v>0.81700000000000006</v>
      </c>
      <c r="P99" s="29">
        <v>0.79500000000000004</v>
      </c>
      <c r="Q99" s="29">
        <v>0.53799999999999992</v>
      </c>
      <c r="R99" s="29">
        <v>0.65900000000000003</v>
      </c>
      <c r="S99" s="29" t="s">
        <v>208</v>
      </c>
      <c r="T99" s="29">
        <v>1</v>
      </c>
      <c r="U99" s="29" t="s">
        <v>208</v>
      </c>
      <c r="V99" s="65">
        <v>0.53700000000000003</v>
      </c>
      <c r="W99" s="117" t="s">
        <v>344</v>
      </c>
      <c r="X99" s="117" t="s">
        <v>344</v>
      </c>
    </row>
    <row r="100" spans="1:24" ht="15.75" customHeight="1" x14ac:dyDescent="0.2">
      <c r="A100" s="30" t="s">
        <v>211</v>
      </c>
      <c r="B100" s="17" t="s">
        <v>182</v>
      </c>
      <c r="C100" s="17" t="s">
        <v>88</v>
      </c>
      <c r="D100" s="29" t="s">
        <v>190</v>
      </c>
      <c r="E100" s="29" t="s">
        <v>190</v>
      </c>
      <c r="F100" s="29" t="s">
        <v>190</v>
      </c>
      <c r="G100" s="29" t="s">
        <v>190</v>
      </c>
      <c r="H100" s="29" t="s">
        <v>190</v>
      </c>
      <c r="I100" s="29" t="s">
        <v>190</v>
      </c>
      <c r="J100" s="29" t="s">
        <v>190</v>
      </c>
      <c r="K100" s="29" t="s">
        <v>190</v>
      </c>
      <c r="L100" s="29">
        <v>0.748</v>
      </c>
      <c r="M100" s="29">
        <v>0.78099999999999992</v>
      </c>
      <c r="N100" s="29" t="s">
        <v>208</v>
      </c>
      <c r="O100" s="29" t="s">
        <v>208</v>
      </c>
      <c r="P100" s="29" t="s">
        <v>208</v>
      </c>
      <c r="Q100" s="29" t="s">
        <v>208</v>
      </c>
      <c r="R100" s="29" t="s">
        <v>208</v>
      </c>
      <c r="S100" s="29" t="s">
        <v>208</v>
      </c>
      <c r="T100" s="29" t="s">
        <v>208</v>
      </c>
      <c r="U100" s="29" t="s">
        <v>208</v>
      </c>
      <c r="V100" s="29" t="s">
        <v>208</v>
      </c>
      <c r="W100" s="117" t="s">
        <v>344</v>
      </c>
      <c r="X100" s="117" t="s">
        <v>344</v>
      </c>
    </row>
    <row r="101" spans="1:24" ht="15.75" customHeight="1" x14ac:dyDescent="0.2">
      <c r="A101" s="30" t="s">
        <v>211</v>
      </c>
      <c r="B101" s="17" t="s">
        <v>182</v>
      </c>
      <c r="C101" s="17" t="s">
        <v>18</v>
      </c>
      <c r="D101" s="29" t="s">
        <v>190</v>
      </c>
      <c r="E101" s="29" t="s">
        <v>190</v>
      </c>
      <c r="F101" s="29" t="s">
        <v>190</v>
      </c>
      <c r="G101" s="29" t="s">
        <v>190</v>
      </c>
      <c r="H101" s="29" t="s">
        <v>190</v>
      </c>
      <c r="I101" s="29" t="s">
        <v>190</v>
      </c>
      <c r="J101" s="29" t="s">
        <v>190</v>
      </c>
      <c r="K101" s="29" t="s">
        <v>190</v>
      </c>
      <c r="L101" s="29">
        <v>0.72199999999999998</v>
      </c>
      <c r="M101" s="29">
        <v>0.63800000000000001</v>
      </c>
      <c r="N101" s="29">
        <v>0.71</v>
      </c>
      <c r="O101" s="29">
        <v>0.85699999999999998</v>
      </c>
      <c r="P101" s="29">
        <v>0.69299999999999995</v>
      </c>
      <c r="Q101" s="29">
        <v>0.71599999999999997</v>
      </c>
      <c r="R101" s="29">
        <v>0.58399999999999996</v>
      </c>
      <c r="S101" s="29">
        <v>0.68599999999999994</v>
      </c>
      <c r="T101" s="29">
        <v>0.56200000000000006</v>
      </c>
      <c r="U101" s="29" t="s">
        <v>208</v>
      </c>
      <c r="V101" s="29" t="s">
        <v>208</v>
      </c>
      <c r="W101" s="117" t="s">
        <v>344</v>
      </c>
      <c r="X101" s="117" t="s">
        <v>344</v>
      </c>
    </row>
    <row r="102" spans="1:24" ht="15.75" customHeight="1" x14ac:dyDescent="0.2">
      <c r="A102" s="30" t="s">
        <v>211</v>
      </c>
      <c r="B102" s="17" t="s">
        <v>182</v>
      </c>
      <c r="C102" s="17" t="s">
        <v>89</v>
      </c>
      <c r="D102" s="29" t="s">
        <v>190</v>
      </c>
      <c r="E102" s="29" t="s">
        <v>190</v>
      </c>
      <c r="F102" s="29" t="s">
        <v>190</v>
      </c>
      <c r="G102" s="29" t="s">
        <v>190</v>
      </c>
      <c r="H102" s="29" t="s">
        <v>190</v>
      </c>
      <c r="I102" s="29" t="s">
        <v>190</v>
      </c>
      <c r="J102" s="29" t="s">
        <v>190</v>
      </c>
      <c r="K102" s="29" t="s">
        <v>190</v>
      </c>
      <c r="L102" s="29">
        <v>0.46500000000000002</v>
      </c>
      <c r="M102" s="29">
        <v>0.184</v>
      </c>
      <c r="N102" s="29">
        <v>0.624</v>
      </c>
      <c r="O102" s="29">
        <v>0.58899999999999997</v>
      </c>
      <c r="P102" s="29">
        <v>0.26400000000000001</v>
      </c>
      <c r="Q102" s="29">
        <v>0.38299999999999995</v>
      </c>
      <c r="R102" s="29">
        <v>0.36799999999999999</v>
      </c>
      <c r="S102" s="29">
        <v>0.41700000000000004</v>
      </c>
      <c r="T102" s="29">
        <v>0.34</v>
      </c>
      <c r="U102" s="29">
        <v>0.27200000000000002</v>
      </c>
      <c r="V102" s="65">
        <v>1</v>
      </c>
      <c r="W102" s="117" t="s">
        <v>344</v>
      </c>
      <c r="X102" s="117" t="s">
        <v>344</v>
      </c>
    </row>
    <row r="103" spans="1:24" ht="15.75" customHeight="1" x14ac:dyDescent="0.2">
      <c r="A103" s="30" t="s">
        <v>211</v>
      </c>
      <c r="B103" s="17" t="s">
        <v>182</v>
      </c>
      <c r="C103" s="17" t="s">
        <v>90</v>
      </c>
      <c r="D103" s="29" t="s">
        <v>190</v>
      </c>
      <c r="E103" s="29" t="s">
        <v>190</v>
      </c>
      <c r="F103" s="29" t="s">
        <v>190</v>
      </c>
      <c r="G103" s="29" t="s">
        <v>190</v>
      </c>
      <c r="H103" s="29" t="s">
        <v>190</v>
      </c>
      <c r="I103" s="29" t="s">
        <v>190</v>
      </c>
      <c r="J103" s="29" t="s">
        <v>190</v>
      </c>
      <c r="K103" s="29" t="s">
        <v>190</v>
      </c>
      <c r="L103" s="29">
        <v>0.56399999999999995</v>
      </c>
      <c r="M103" s="29">
        <v>0.53100000000000003</v>
      </c>
      <c r="N103" s="29">
        <v>0.54400000000000004</v>
      </c>
      <c r="O103" s="29">
        <v>0.63600000000000001</v>
      </c>
      <c r="P103" s="29">
        <v>0.57600000000000007</v>
      </c>
      <c r="Q103" s="29">
        <v>0.754</v>
      </c>
      <c r="R103" s="29" t="s">
        <v>208</v>
      </c>
      <c r="S103" s="29" t="s">
        <v>208</v>
      </c>
      <c r="T103" s="29" t="s">
        <v>208</v>
      </c>
      <c r="U103" s="29" t="s">
        <v>208</v>
      </c>
      <c r="V103" s="29" t="s">
        <v>208</v>
      </c>
      <c r="W103" s="117" t="s">
        <v>344</v>
      </c>
      <c r="X103" s="117" t="s">
        <v>344</v>
      </c>
    </row>
    <row r="104" spans="1:24" ht="15.75" customHeight="1" x14ac:dyDescent="0.2">
      <c r="A104" s="30" t="s">
        <v>211</v>
      </c>
      <c r="B104" s="17" t="s">
        <v>182</v>
      </c>
      <c r="C104" s="17" t="s">
        <v>91</v>
      </c>
      <c r="D104" s="29" t="s">
        <v>190</v>
      </c>
      <c r="E104" s="29" t="s">
        <v>190</v>
      </c>
      <c r="F104" s="29" t="s">
        <v>190</v>
      </c>
      <c r="G104" s="29" t="s">
        <v>190</v>
      </c>
      <c r="H104" s="29" t="s">
        <v>190</v>
      </c>
      <c r="I104" s="29" t="s">
        <v>190</v>
      </c>
      <c r="J104" s="29" t="s">
        <v>190</v>
      </c>
      <c r="K104" s="29" t="s">
        <v>190</v>
      </c>
      <c r="L104" s="29">
        <v>1</v>
      </c>
      <c r="M104" s="29" t="s">
        <v>208</v>
      </c>
      <c r="N104" s="29">
        <v>1</v>
      </c>
      <c r="O104" s="29" t="s">
        <v>208</v>
      </c>
      <c r="P104" s="29" t="s">
        <v>208</v>
      </c>
      <c r="Q104" s="29">
        <v>1</v>
      </c>
      <c r="R104" s="29" t="s">
        <v>208</v>
      </c>
      <c r="S104" s="29" t="s">
        <v>208</v>
      </c>
      <c r="T104" s="29" t="s">
        <v>208</v>
      </c>
      <c r="U104" s="29" t="s">
        <v>208</v>
      </c>
      <c r="V104" s="65">
        <v>0.72099999999999997</v>
      </c>
      <c r="W104" s="117" t="s">
        <v>344</v>
      </c>
      <c r="X104" s="117" t="s">
        <v>344</v>
      </c>
    </row>
    <row r="105" spans="1:24" ht="15.75" customHeight="1" x14ac:dyDescent="0.2">
      <c r="A105" s="30" t="s">
        <v>211</v>
      </c>
      <c r="B105" s="17" t="s">
        <v>182</v>
      </c>
      <c r="C105" s="17" t="s">
        <v>92</v>
      </c>
      <c r="D105" s="29" t="s">
        <v>190</v>
      </c>
      <c r="E105" s="29" t="s">
        <v>190</v>
      </c>
      <c r="F105" s="29" t="s">
        <v>190</v>
      </c>
      <c r="G105" s="29" t="s">
        <v>190</v>
      </c>
      <c r="H105" s="29" t="s">
        <v>190</v>
      </c>
      <c r="I105" s="29" t="s">
        <v>190</v>
      </c>
      <c r="J105" s="29" t="s">
        <v>190</v>
      </c>
      <c r="K105" s="29" t="s">
        <v>190</v>
      </c>
      <c r="L105" s="29">
        <v>0.77599999999999991</v>
      </c>
      <c r="M105" s="29">
        <v>0.64200000000000002</v>
      </c>
      <c r="N105" s="29">
        <v>0.67500000000000004</v>
      </c>
      <c r="O105" s="29" t="s">
        <v>208</v>
      </c>
      <c r="P105" s="29" t="s">
        <v>208</v>
      </c>
      <c r="Q105" s="29">
        <v>0.92299999999999993</v>
      </c>
      <c r="R105" s="29">
        <v>0.85799999999999998</v>
      </c>
      <c r="S105" s="29">
        <v>1</v>
      </c>
      <c r="T105" s="29" t="s">
        <v>208</v>
      </c>
      <c r="U105" s="29">
        <v>0.65900000000000003</v>
      </c>
      <c r="V105" s="29" t="s">
        <v>208</v>
      </c>
      <c r="W105" s="117" t="s">
        <v>344</v>
      </c>
      <c r="X105" s="117" t="s">
        <v>344</v>
      </c>
    </row>
    <row r="106" spans="1:24" ht="15.75" customHeight="1" x14ac:dyDescent="0.2">
      <c r="A106" s="30" t="s">
        <v>211</v>
      </c>
      <c r="B106" s="17" t="s">
        <v>182</v>
      </c>
      <c r="C106" s="17" t="s">
        <v>93</v>
      </c>
      <c r="D106" s="29" t="s">
        <v>190</v>
      </c>
      <c r="E106" s="29" t="s">
        <v>190</v>
      </c>
      <c r="F106" s="29" t="s">
        <v>190</v>
      </c>
      <c r="G106" s="29" t="s">
        <v>190</v>
      </c>
      <c r="H106" s="29" t="s">
        <v>190</v>
      </c>
      <c r="I106" s="29" t="s">
        <v>190</v>
      </c>
      <c r="J106" s="29" t="s">
        <v>190</v>
      </c>
      <c r="K106" s="29" t="s">
        <v>190</v>
      </c>
      <c r="L106" s="29" t="s">
        <v>208</v>
      </c>
      <c r="M106" s="29" t="s">
        <v>208</v>
      </c>
      <c r="N106" s="29" t="s">
        <v>208</v>
      </c>
      <c r="O106" s="29" t="s">
        <v>208</v>
      </c>
      <c r="P106" s="29" t="s">
        <v>208</v>
      </c>
      <c r="Q106" s="29" t="s">
        <v>208</v>
      </c>
      <c r="R106" s="29" t="s">
        <v>208</v>
      </c>
      <c r="S106" s="29" t="s">
        <v>208</v>
      </c>
      <c r="T106" s="29" t="s">
        <v>208</v>
      </c>
      <c r="U106" s="29" t="s">
        <v>208</v>
      </c>
      <c r="V106" s="29" t="s">
        <v>208</v>
      </c>
      <c r="W106" s="117" t="s">
        <v>344</v>
      </c>
      <c r="X106" s="117" t="s">
        <v>344</v>
      </c>
    </row>
    <row r="107" spans="1:24" ht="15.75" customHeight="1" x14ac:dyDescent="0.2">
      <c r="A107" s="30" t="s">
        <v>211</v>
      </c>
      <c r="B107" s="17" t="s">
        <v>182</v>
      </c>
      <c r="C107" s="17" t="s">
        <v>94</v>
      </c>
      <c r="D107" s="29" t="s">
        <v>190</v>
      </c>
      <c r="E107" s="29" t="s">
        <v>190</v>
      </c>
      <c r="F107" s="29" t="s">
        <v>190</v>
      </c>
      <c r="G107" s="29" t="s">
        <v>190</v>
      </c>
      <c r="H107" s="29" t="s">
        <v>190</v>
      </c>
      <c r="I107" s="29" t="s">
        <v>190</v>
      </c>
      <c r="J107" s="29" t="s">
        <v>190</v>
      </c>
      <c r="K107" s="29" t="s">
        <v>190</v>
      </c>
      <c r="L107" s="29">
        <v>0.57299999999999995</v>
      </c>
      <c r="M107" s="29">
        <v>0.45799999999999996</v>
      </c>
      <c r="N107" s="29">
        <v>0.53100000000000003</v>
      </c>
      <c r="O107" s="29">
        <v>0.57399999999999995</v>
      </c>
      <c r="P107" s="29">
        <v>0.58499999999999996</v>
      </c>
      <c r="Q107" s="29">
        <v>0.73499999999999999</v>
      </c>
      <c r="R107" s="29">
        <v>0.72900000000000009</v>
      </c>
      <c r="S107" s="29">
        <v>0.75900000000000001</v>
      </c>
      <c r="T107" s="29">
        <v>0.57999999999999996</v>
      </c>
      <c r="U107" s="29">
        <v>0.51200000000000001</v>
      </c>
      <c r="V107" s="65">
        <v>0.74</v>
      </c>
      <c r="W107" s="117" t="s">
        <v>344</v>
      </c>
      <c r="X107" s="117" t="s">
        <v>344</v>
      </c>
    </row>
    <row r="108" spans="1:24" ht="15.75" customHeight="1" x14ac:dyDescent="0.2">
      <c r="A108" s="30" t="s">
        <v>211</v>
      </c>
      <c r="B108" s="17" t="s">
        <v>182</v>
      </c>
      <c r="C108" s="17" t="s">
        <v>95</v>
      </c>
      <c r="D108" s="29" t="s">
        <v>190</v>
      </c>
      <c r="E108" s="29" t="s">
        <v>190</v>
      </c>
      <c r="F108" s="29" t="s">
        <v>190</v>
      </c>
      <c r="G108" s="29" t="s">
        <v>190</v>
      </c>
      <c r="H108" s="29" t="s">
        <v>190</v>
      </c>
      <c r="I108" s="29" t="s">
        <v>190</v>
      </c>
      <c r="J108" s="29" t="s">
        <v>190</v>
      </c>
      <c r="K108" s="29" t="s">
        <v>190</v>
      </c>
      <c r="L108" s="29">
        <v>0.69200000000000006</v>
      </c>
      <c r="M108" s="29" t="s">
        <v>208</v>
      </c>
      <c r="N108" s="29" t="s">
        <v>208</v>
      </c>
      <c r="O108" s="29">
        <v>1</v>
      </c>
      <c r="P108" s="29" t="s">
        <v>208</v>
      </c>
      <c r="Q108" s="29" t="s">
        <v>208</v>
      </c>
      <c r="R108" s="29" t="s">
        <v>208</v>
      </c>
      <c r="S108" s="29" t="s">
        <v>208</v>
      </c>
      <c r="T108" s="29" t="s">
        <v>208</v>
      </c>
      <c r="U108" s="29" t="s">
        <v>208</v>
      </c>
      <c r="V108" s="29" t="s">
        <v>208</v>
      </c>
      <c r="W108" s="117" t="s">
        <v>344</v>
      </c>
      <c r="X108" s="117" t="s">
        <v>344</v>
      </c>
    </row>
    <row r="109" spans="1:24" ht="30" customHeight="1" x14ac:dyDescent="0.2">
      <c r="A109" s="30" t="s">
        <v>211</v>
      </c>
      <c r="B109" s="17" t="s">
        <v>183</v>
      </c>
      <c r="C109" s="17" t="s">
        <v>112</v>
      </c>
      <c r="D109" s="33" t="s">
        <v>190</v>
      </c>
      <c r="E109" s="33" t="s">
        <v>190</v>
      </c>
      <c r="F109" s="33" t="s">
        <v>190</v>
      </c>
      <c r="G109" s="33" t="s">
        <v>190</v>
      </c>
      <c r="H109" s="33" t="s">
        <v>190</v>
      </c>
      <c r="I109" s="33" t="s">
        <v>190</v>
      </c>
      <c r="J109" s="29" t="s">
        <v>190</v>
      </c>
      <c r="K109" s="29" t="s">
        <v>190</v>
      </c>
      <c r="L109" s="29">
        <v>0.59499999999999997</v>
      </c>
      <c r="M109" s="29">
        <v>0.54400000000000004</v>
      </c>
      <c r="N109" s="29">
        <v>0.71900000000000008</v>
      </c>
      <c r="O109" s="29">
        <v>0.48399999999999999</v>
      </c>
      <c r="P109" s="29">
        <v>0.58099999999999996</v>
      </c>
      <c r="Q109" s="29">
        <v>0.70900000000000007</v>
      </c>
      <c r="R109" s="29">
        <v>0.61299999999999999</v>
      </c>
      <c r="S109" s="29">
        <v>0.71499999999999997</v>
      </c>
      <c r="T109" s="29">
        <v>0.68299999999999994</v>
      </c>
      <c r="U109" s="29">
        <v>0.621</v>
      </c>
      <c r="V109" s="65">
        <v>0.7390000000000001</v>
      </c>
      <c r="W109" s="117" t="s">
        <v>344</v>
      </c>
      <c r="X109" s="117" t="s">
        <v>344</v>
      </c>
    </row>
    <row r="110" spans="1:24" x14ac:dyDescent="0.2">
      <c r="A110" s="30" t="s">
        <v>211</v>
      </c>
      <c r="B110" s="17" t="s">
        <v>183</v>
      </c>
      <c r="C110" s="9" t="s">
        <v>113</v>
      </c>
      <c r="D110" s="33" t="s">
        <v>190</v>
      </c>
      <c r="E110" s="33" t="s">
        <v>190</v>
      </c>
      <c r="F110" s="33" t="s">
        <v>190</v>
      </c>
      <c r="G110" s="33" t="s">
        <v>190</v>
      </c>
      <c r="H110" s="33" t="s">
        <v>190</v>
      </c>
      <c r="I110" s="33" t="s">
        <v>190</v>
      </c>
      <c r="J110" s="29" t="s">
        <v>190</v>
      </c>
      <c r="K110" s="29" t="s">
        <v>190</v>
      </c>
      <c r="L110" s="29">
        <v>0.83099999999999996</v>
      </c>
      <c r="M110" s="29">
        <v>0.52800000000000002</v>
      </c>
      <c r="N110" s="29">
        <v>0.625</v>
      </c>
      <c r="O110" s="29">
        <v>1</v>
      </c>
      <c r="P110" s="29">
        <v>0.61499999999999999</v>
      </c>
      <c r="Q110" s="29">
        <v>0.88500000000000001</v>
      </c>
      <c r="R110" s="29">
        <v>0.61799999999999999</v>
      </c>
      <c r="S110" s="29" t="s">
        <v>208</v>
      </c>
      <c r="T110" s="29" t="s">
        <v>208</v>
      </c>
      <c r="U110" s="29" t="s">
        <v>208</v>
      </c>
      <c r="V110" s="65">
        <v>0.72099999999999997</v>
      </c>
      <c r="W110" s="117" t="s">
        <v>344</v>
      </c>
      <c r="X110" s="117" t="s">
        <v>344</v>
      </c>
    </row>
    <row r="111" spans="1:24" x14ac:dyDescent="0.2">
      <c r="A111" s="30" t="s">
        <v>211</v>
      </c>
      <c r="B111" s="17" t="s">
        <v>183</v>
      </c>
      <c r="C111" s="9" t="s">
        <v>114</v>
      </c>
      <c r="D111" s="33" t="s">
        <v>190</v>
      </c>
      <c r="E111" s="33" t="s">
        <v>190</v>
      </c>
      <c r="F111" s="33" t="s">
        <v>190</v>
      </c>
      <c r="G111" s="33" t="s">
        <v>190</v>
      </c>
      <c r="H111" s="33" t="s">
        <v>190</v>
      </c>
      <c r="I111" s="33" t="s">
        <v>190</v>
      </c>
      <c r="J111" s="29" t="s">
        <v>190</v>
      </c>
      <c r="K111" s="29" t="s">
        <v>190</v>
      </c>
      <c r="L111" s="29">
        <v>0.60899999999999999</v>
      </c>
      <c r="M111" s="29">
        <v>0.57999999999999996</v>
      </c>
      <c r="N111" s="29">
        <v>0.61399999999999999</v>
      </c>
      <c r="O111" s="29">
        <v>0.67400000000000004</v>
      </c>
      <c r="P111" s="29">
        <v>0.60399999999999998</v>
      </c>
      <c r="Q111" s="29">
        <v>0.65300000000000002</v>
      </c>
      <c r="R111" s="29">
        <v>0.78400000000000003</v>
      </c>
      <c r="S111" s="29">
        <v>0.72599999999999998</v>
      </c>
      <c r="T111" s="29">
        <v>0.82200000000000006</v>
      </c>
      <c r="U111" s="29">
        <v>0.73099999999999998</v>
      </c>
      <c r="V111" s="65">
        <v>0.53400000000000003</v>
      </c>
      <c r="W111" s="117" t="s">
        <v>344</v>
      </c>
      <c r="X111" s="117" t="s">
        <v>344</v>
      </c>
    </row>
    <row r="112" spans="1:24" x14ac:dyDescent="0.2">
      <c r="A112" s="30" t="s">
        <v>211</v>
      </c>
      <c r="B112" s="17" t="s">
        <v>183</v>
      </c>
      <c r="C112" s="9" t="s">
        <v>115</v>
      </c>
      <c r="D112" s="33" t="s">
        <v>190</v>
      </c>
      <c r="E112" s="33" t="s">
        <v>190</v>
      </c>
      <c r="F112" s="33" t="s">
        <v>190</v>
      </c>
      <c r="G112" s="33" t="s">
        <v>190</v>
      </c>
      <c r="H112" s="33" t="s">
        <v>190</v>
      </c>
      <c r="I112" s="33" t="s">
        <v>190</v>
      </c>
      <c r="J112" s="29" t="s">
        <v>190</v>
      </c>
      <c r="K112" s="29" t="s">
        <v>190</v>
      </c>
      <c r="L112" s="29">
        <v>0.66099999999999992</v>
      </c>
      <c r="M112" s="29">
        <v>0.47399999999999998</v>
      </c>
      <c r="N112" s="29">
        <v>0.87</v>
      </c>
      <c r="O112" s="29">
        <v>0.81400000000000006</v>
      </c>
      <c r="P112" s="29">
        <v>0.78900000000000003</v>
      </c>
      <c r="Q112" s="29">
        <v>0.65300000000000002</v>
      </c>
      <c r="R112" s="29" t="s">
        <v>208</v>
      </c>
      <c r="S112" s="29">
        <v>0.46899999999999997</v>
      </c>
      <c r="T112" s="29" t="s">
        <v>208</v>
      </c>
      <c r="U112" s="29">
        <v>0.7659999999999999</v>
      </c>
      <c r="V112" s="29" t="s">
        <v>208</v>
      </c>
      <c r="W112" s="117" t="s">
        <v>344</v>
      </c>
      <c r="X112" s="117" t="s">
        <v>344</v>
      </c>
    </row>
    <row r="113" spans="1:24" x14ac:dyDescent="0.2">
      <c r="A113" s="30" t="s">
        <v>211</v>
      </c>
      <c r="B113" s="17" t="s">
        <v>183</v>
      </c>
      <c r="C113" s="9" t="s">
        <v>13</v>
      </c>
      <c r="D113" s="33" t="s">
        <v>190</v>
      </c>
      <c r="E113" s="33" t="s">
        <v>190</v>
      </c>
      <c r="F113" s="33" t="s">
        <v>190</v>
      </c>
      <c r="G113" s="33" t="s">
        <v>190</v>
      </c>
      <c r="H113" s="33" t="s">
        <v>190</v>
      </c>
      <c r="I113" s="33" t="s">
        <v>190</v>
      </c>
      <c r="J113" s="29" t="s">
        <v>190</v>
      </c>
      <c r="K113" s="29" t="s">
        <v>190</v>
      </c>
      <c r="L113" s="29">
        <v>0.65300000000000002</v>
      </c>
      <c r="M113" s="29">
        <v>0.61099999999999999</v>
      </c>
      <c r="N113" s="29">
        <v>0.61299999999999999</v>
      </c>
      <c r="O113" s="29">
        <v>0.53200000000000003</v>
      </c>
      <c r="P113" s="29">
        <v>0.63</v>
      </c>
      <c r="Q113" s="29">
        <v>0.64900000000000002</v>
      </c>
      <c r="R113" s="29">
        <v>0.60099999999999998</v>
      </c>
      <c r="S113" s="29">
        <v>0.61799999999999999</v>
      </c>
      <c r="T113" s="29">
        <v>0.67</v>
      </c>
      <c r="U113" s="29">
        <v>0.53700000000000003</v>
      </c>
      <c r="V113" s="65">
        <v>0.56600000000000006</v>
      </c>
      <c r="W113" s="117" t="s">
        <v>344</v>
      </c>
      <c r="X113" s="117" t="s">
        <v>344</v>
      </c>
    </row>
    <row r="114" spans="1:24" x14ac:dyDescent="0.2">
      <c r="A114" s="30" t="s">
        <v>211</v>
      </c>
      <c r="B114" s="17" t="s">
        <v>183</v>
      </c>
      <c r="C114" s="9" t="s">
        <v>116</v>
      </c>
      <c r="D114" s="33" t="s">
        <v>190</v>
      </c>
      <c r="E114" s="33" t="s">
        <v>190</v>
      </c>
      <c r="F114" s="33" t="s">
        <v>190</v>
      </c>
      <c r="G114" s="33" t="s">
        <v>190</v>
      </c>
      <c r="H114" s="33" t="s">
        <v>190</v>
      </c>
      <c r="I114" s="33" t="s">
        <v>190</v>
      </c>
      <c r="J114" s="29" t="s">
        <v>190</v>
      </c>
      <c r="K114" s="29" t="s">
        <v>190</v>
      </c>
      <c r="L114" s="29">
        <v>0.63100000000000001</v>
      </c>
      <c r="M114" s="29">
        <v>0.72599999999999998</v>
      </c>
      <c r="N114" s="29">
        <v>0.84799999999999998</v>
      </c>
      <c r="O114" s="29">
        <v>0.80900000000000005</v>
      </c>
      <c r="P114" s="29">
        <v>0.78299999999999992</v>
      </c>
      <c r="Q114" s="29">
        <v>0.88500000000000001</v>
      </c>
      <c r="R114" s="29">
        <v>0.89900000000000002</v>
      </c>
      <c r="S114" s="29">
        <v>0.82</v>
      </c>
      <c r="T114" s="29">
        <v>0.51800000000000002</v>
      </c>
      <c r="U114" s="29">
        <v>0.45899999999999996</v>
      </c>
      <c r="V114" s="65">
        <v>1</v>
      </c>
      <c r="W114" s="117" t="s">
        <v>344</v>
      </c>
      <c r="X114" s="117" t="s">
        <v>344</v>
      </c>
    </row>
    <row r="115" spans="1:24" x14ac:dyDescent="0.2">
      <c r="A115" s="30" t="s">
        <v>211</v>
      </c>
      <c r="B115" s="17" t="s">
        <v>183</v>
      </c>
      <c r="C115" s="9" t="s">
        <v>117</v>
      </c>
      <c r="D115" s="33" t="s">
        <v>190</v>
      </c>
      <c r="E115" s="33" t="s">
        <v>190</v>
      </c>
      <c r="F115" s="33" t="s">
        <v>190</v>
      </c>
      <c r="G115" s="33" t="s">
        <v>190</v>
      </c>
      <c r="H115" s="33" t="s">
        <v>190</v>
      </c>
      <c r="I115" s="33" t="s">
        <v>190</v>
      </c>
      <c r="J115" s="29" t="s">
        <v>190</v>
      </c>
      <c r="K115" s="29" t="s">
        <v>190</v>
      </c>
      <c r="L115" s="29">
        <v>0.57299999999999995</v>
      </c>
      <c r="M115" s="29">
        <v>0.45799999999999996</v>
      </c>
      <c r="N115" s="29">
        <v>0.53100000000000003</v>
      </c>
      <c r="O115" s="29">
        <v>0.57399999999999995</v>
      </c>
      <c r="P115" s="29">
        <v>0.58499999999999996</v>
      </c>
      <c r="Q115" s="29">
        <v>0.73499999999999999</v>
      </c>
      <c r="R115" s="29">
        <v>0.72900000000000009</v>
      </c>
      <c r="S115" s="29">
        <v>0.75900000000000001</v>
      </c>
      <c r="T115" s="29">
        <v>0.57999999999999996</v>
      </c>
      <c r="U115" s="29">
        <v>0.51200000000000001</v>
      </c>
      <c r="V115" s="65">
        <v>0.74</v>
      </c>
      <c r="W115" s="117" t="s">
        <v>344</v>
      </c>
      <c r="X115" s="117" t="s">
        <v>344</v>
      </c>
    </row>
    <row r="116" spans="1:24" x14ac:dyDescent="0.2">
      <c r="A116" s="30" t="s">
        <v>211</v>
      </c>
      <c r="B116" s="17" t="s">
        <v>183</v>
      </c>
      <c r="C116" s="9" t="s">
        <v>118</v>
      </c>
      <c r="D116" s="33" t="s">
        <v>190</v>
      </c>
      <c r="E116" s="33" t="s">
        <v>190</v>
      </c>
      <c r="F116" s="33" t="s">
        <v>190</v>
      </c>
      <c r="G116" s="33" t="s">
        <v>190</v>
      </c>
      <c r="H116" s="33" t="s">
        <v>190</v>
      </c>
      <c r="I116" s="33" t="s">
        <v>190</v>
      </c>
      <c r="J116" s="29" t="s">
        <v>190</v>
      </c>
      <c r="K116" s="29" t="s">
        <v>190</v>
      </c>
      <c r="L116" s="29">
        <v>0.72199999999999998</v>
      </c>
      <c r="M116" s="29">
        <v>0.63800000000000001</v>
      </c>
      <c r="N116" s="29">
        <v>0.71</v>
      </c>
      <c r="O116" s="29">
        <v>0.85699999999999998</v>
      </c>
      <c r="P116" s="29">
        <v>0.69299999999999995</v>
      </c>
      <c r="Q116" s="29">
        <v>0.71599999999999997</v>
      </c>
      <c r="R116" s="29">
        <v>0.58399999999999996</v>
      </c>
      <c r="S116" s="29">
        <v>0.68599999999999994</v>
      </c>
      <c r="T116" s="29">
        <v>0.56200000000000006</v>
      </c>
      <c r="U116" s="29" t="s">
        <v>208</v>
      </c>
      <c r="V116" s="29" t="s">
        <v>208</v>
      </c>
      <c r="W116" s="117" t="s">
        <v>344</v>
      </c>
      <c r="X116" s="117" t="s">
        <v>344</v>
      </c>
    </row>
    <row r="117" spans="1:24" x14ac:dyDescent="0.2">
      <c r="A117" s="30" t="s">
        <v>211</v>
      </c>
      <c r="B117" s="17" t="s">
        <v>183</v>
      </c>
      <c r="C117" s="9" t="s">
        <v>184</v>
      </c>
      <c r="D117" s="33" t="s">
        <v>190</v>
      </c>
      <c r="E117" s="33" t="s">
        <v>190</v>
      </c>
      <c r="F117" s="33" t="s">
        <v>190</v>
      </c>
      <c r="G117" s="33" t="s">
        <v>190</v>
      </c>
      <c r="H117" s="33" t="s">
        <v>190</v>
      </c>
      <c r="I117" s="33" t="s">
        <v>190</v>
      </c>
      <c r="J117" s="29" t="s">
        <v>190</v>
      </c>
      <c r="K117" s="29" t="s">
        <v>190</v>
      </c>
      <c r="L117" s="29">
        <v>0.6409999999999999</v>
      </c>
      <c r="M117" s="29">
        <v>0.57600000000000007</v>
      </c>
      <c r="N117" s="29">
        <v>0.65200000000000002</v>
      </c>
      <c r="O117" s="29">
        <v>0.65599999999999992</v>
      </c>
      <c r="P117" s="29">
        <v>0.63500000000000001</v>
      </c>
      <c r="Q117" s="29">
        <v>0.69599999999999995</v>
      </c>
      <c r="R117" s="29">
        <v>0.67099999999999993</v>
      </c>
      <c r="S117" s="29">
        <v>0.67799999999999994</v>
      </c>
      <c r="T117" s="29">
        <v>0.65900000000000003</v>
      </c>
      <c r="U117" s="29">
        <v>0.59299999999999997</v>
      </c>
      <c r="V117" s="65">
        <v>0.59699999999999998</v>
      </c>
      <c r="W117" s="117" t="s">
        <v>344</v>
      </c>
      <c r="X117" s="117" t="s">
        <v>344</v>
      </c>
    </row>
    <row r="118" spans="1:24" ht="30" customHeight="1" x14ac:dyDescent="0.2">
      <c r="A118" s="30" t="s">
        <v>211</v>
      </c>
      <c r="B118" s="17" t="s">
        <v>185</v>
      </c>
      <c r="C118" s="17" t="s">
        <v>111</v>
      </c>
      <c r="D118" s="29" t="s">
        <v>190</v>
      </c>
      <c r="E118" s="29" t="s">
        <v>190</v>
      </c>
      <c r="F118" s="29" t="s">
        <v>190</v>
      </c>
      <c r="G118" s="29" t="s">
        <v>190</v>
      </c>
      <c r="H118" s="29" t="s">
        <v>190</v>
      </c>
      <c r="I118" s="29" t="s">
        <v>190</v>
      </c>
      <c r="J118" s="29" t="s">
        <v>190</v>
      </c>
      <c r="K118" s="29" t="s">
        <v>190</v>
      </c>
      <c r="L118" s="29" t="s">
        <v>208</v>
      </c>
      <c r="M118" s="29">
        <v>0.69599999999999995</v>
      </c>
      <c r="N118" s="29">
        <v>0.68299999999999994</v>
      </c>
      <c r="O118" s="29">
        <v>0.48700000000000004</v>
      </c>
      <c r="P118" s="29" t="s">
        <v>208</v>
      </c>
      <c r="Q118" s="29" t="s">
        <v>208</v>
      </c>
      <c r="R118" s="29" t="s">
        <v>208</v>
      </c>
      <c r="S118" s="29">
        <v>0.80700000000000005</v>
      </c>
      <c r="T118" s="29" t="s">
        <v>208</v>
      </c>
      <c r="U118" s="29" t="s">
        <v>208</v>
      </c>
      <c r="V118" s="29" t="s">
        <v>208</v>
      </c>
      <c r="W118" s="117" t="s">
        <v>344</v>
      </c>
      <c r="X118" s="117" t="s">
        <v>344</v>
      </c>
    </row>
    <row r="119" spans="1:24" x14ac:dyDescent="0.2">
      <c r="A119" s="30" t="s">
        <v>211</v>
      </c>
      <c r="B119" s="17" t="s">
        <v>185</v>
      </c>
      <c r="C119" s="9" t="s">
        <v>186</v>
      </c>
      <c r="D119" s="33" t="s">
        <v>190</v>
      </c>
      <c r="E119" s="33" t="s">
        <v>190</v>
      </c>
      <c r="F119" s="33" t="s">
        <v>190</v>
      </c>
      <c r="G119" s="33" t="s">
        <v>190</v>
      </c>
      <c r="H119" s="33" t="s">
        <v>190</v>
      </c>
      <c r="I119" s="33" t="s">
        <v>190</v>
      </c>
      <c r="J119" s="29" t="s">
        <v>190</v>
      </c>
      <c r="K119" s="29" t="s">
        <v>190</v>
      </c>
      <c r="L119" s="29">
        <v>0.43799999999999994</v>
      </c>
      <c r="M119" s="29">
        <v>0.54299999999999993</v>
      </c>
      <c r="N119" s="29">
        <v>0.45600000000000002</v>
      </c>
      <c r="O119" s="29">
        <v>0.59699999999999998</v>
      </c>
      <c r="P119" s="29">
        <v>0.63</v>
      </c>
      <c r="Q119" s="29">
        <v>0.59200000000000008</v>
      </c>
      <c r="R119" s="29">
        <v>0.52900000000000003</v>
      </c>
      <c r="S119" s="29">
        <v>0.49700000000000005</v>
      </c>
      <c r="T119" s="29">
        <v>0.59899999999999998</v>
      </c>
      <c r="U119" s="29">
        <v>0.55600000000000005</v>
      </c>
      <c r="V119" s="65">
        <v>0.64599999999999991</v>
      </c>
      <c r="W119" s="117" t="s">
        <v>344</v>
      </c>
      <c r="X119" s="117" t="s">
        <v>344</v>
      </c>
    </row>
    <row r="120" spans="1:24" x14ac:dyDescent="0.2">
      <c r="A120" s="30" t="s">
        <v>211</v>
      </c>
      <c r="B120" s="17" t="s">
        <v>185</v>
      </c>
      <c r="C120" s="9" t="s">
        <v>151</v>
      </c>
      <c r="D120" s="29" t="s">
        <v>190</v>
      </c>
      <c r="E120" s="29" t="s">
        <v>190</v>
      </c>
      <c r="F120" s="29" t="s">
        <v>190</v>
      </c>
      <c r="G120" s="29" t="s">
        <v>190</v>
      </c>
      <c r="H120" s="29" t="s">
        <v>190</v>
      </c>
      <c r="I120" s="29" t="s">
        <v>190</v>
      </c>
      <c r="J120" s="29" t="s">
        <v>190</v>
      </c>
      <c r="K120" s="29" t="s">
        <v>190</v>
      </c>
      <c r="L120" s="29">
        <v>0.41700000000000004</v>
      </c>
      <c r="M120" s="29">
        <v>0.47100000000000003</v>
      </c>
      <c r="N120" s="29">
        <v>0.41700000000000004</v>
      </c>
      <c r="O120" s="29">
        <v>0.51100000000000001</v>
      </c>
      <c r="P120" s="29">
        <v>0.57700000000000007</v>
      </c>
      <c r="Q120" s="29">
        <v>0.54299999999999993</v>
      </c>
      <c r="R120" s="29">
        <v>0.48100000000000004</v>
      </c>
      <c r="S120" s="29">
        <v>0.52500000000000002</v>
      </c>
      <c r="T120" s="29">
        <v>0.58899999999999997</v>
      </c>
      <c r="U120" s="29">
        <v>0.53400000000000003</v>
      </c>
      <c r="V120" s="65">
        <v>0.65</v>
      </c>
      <c r="W120" s="117" t="s">
        <v>344</v>
      </c>
      <c r="X120" s="117" t="s">
        <v>344</v>
      </c>
    </row>
    <row r="121" spans="1:24" ht="34.5" customHeight="1" x14ac:dyDescent="0.2">
      <c r="A121" s="30" t="s">
        <v>211</v>
      </c>
      <c r="B121" s="91" t="s">
        <v>270</v>
      </c>
      <c r="C121" s="92" t="s">
        <v>271</v>
      </c>
      <c r="D121" s="18" t="s">
        <v>190</v>
      </c>
      <c r="E121" s="18" t="s">
        <v>190</v>
      </c>
      <c r="F121" s="18" t="s">
        <v>190</v>
      </c>
      <c r="G121" s="18" t="s">
        <v>190</v>
      </c>
      <c r="H121" s="18" t="s">
        <v>190</v>
      </c>
      <c r="I121" s="18" t="s">
        <v>190</v>
      </c>
      <c r="J121" s="18" t="s">
        <v>190</v>
      </c>
      <c r="K121" s="18" t="s">
        <v>190</v>
      </c>
      <c r="L121" s="29" t="s">
        <v>208</v>
      </c>
      <c r="M121" s="29" t="s">
        <v>208</v>
      </c>
      <c r="N121" s="29">
        <v>0.77200000000000002</v>
      </c>
      <c r="O121" s="29">
        <v>0.61599999999999999</v>
      </c>
      <c r="P121" s="29">
        <v>0.442</v>
      </c>
      <c r="Q121" s="29" t="s">
        <v>208</v>
      </c>
      <c r="R121" s="29" t="s">
        <v>208</v>
      </c>
      <c r="S121" s="29" t="s">
        <v>208</v>
      </c>
      <c r="T121" s="29" t="s">
        <v>208</v>
      </c>
      <c r="U121" s="29" t="s">
        <v>208</v>
      </c>
      <c r="V121" s="29" t="s">
        <v>208</v>
      </c>
      <c r="W121" s="117" t="s">
        <v>344</v>
      </c>
      <c r="X121" s="117" t="s">
        <v>344</v>
      </c>
    </row>
    <row r="122" spans="1:24" x14ac:dyDescent="0.2">
      <c r="A122" s="30" t="s">
        <v>211</v>
      </c>
      <c r="B122" s="91" t="s">
        <v>270</v>
      </c>
      <c r="C122" s="92" t="s">
        <v>272</v>
      </c>
      <c r="D122" s="18" t="s">
        <v>190</v>
      </c>
      <c r="E122" s="18" t="s">
        <v>190</v>
      </c>
      <c r="F122" s="18" t="s">
        <v>190</v>
      </c>
      <c r="G122" s="18" t="s">
        <v>190</v>
      </c>
      <c r="H122" s="18" t="s">
        <v>190</v>
      </c>
      <c r="I122" s="18" t="s">
        <v>190</v>
      </c>
      <c r="J122" s="18" t="s">
        <v>190</v>
      </c>
      <c r="K122" s="18" t="s">
        <v>190</v>
      </c>
      <c r="L122" s="29" t="s">
        <v>208</v>
      </c>
      <c r="M122" s="29">
        <v>0.67700000000000005</v>
      </c>
      <c r="N122" s="29" t="s">
        <v>208</v>
      </c>
      <c r="O122" s="29" t="s">
        <v>208</v>
      </c>
      <c r="P122" s="29" t="s">
        <v>208</v>
      </c>
      <c r="Q122" s="29">
        <v>0.59799999999999998</v>
      </c>
      <c r="R122" s="29">
        <v>0.64400000000000002</v>
      </c>
      <c r="S122" s="29" t="s">
        <v>208</v>
      </c>
      <c r="T122" s="29" t="s">
        <v>208</v>
      </c>
      <c r="U122" s="29" t="s">
        <v>208</v>
      </c>
      <c r="V122" s="29" t="s">
        <v>208</v>
      </c>
      <c r="W122" s="117" t="s">
        <v>344</v>
      </c>
      <c r="X122" s="117" t="s">
        <v>344</v>
      </c>
    </row>
    <row r="123" spans="1:24" x14ac:dyDescent="0.2">
      <c r="A123" s="30" t="s">
        <v>211</v>
      </c>
      <c r="B123" s="91" t="s">
        <v>270</v>
      </c>
      <c r="C123" s="92" t="s">
        <v>273</v>
      </c>
      <c r="D123" s="18" t="s">
        <v>190</v>
      </c>
      <c r="E123" s="18" t="s">
        <v>190</v>
      </c>
      <c r="F123" s="18" t="s">
        <v>190</v>
      </c>
      <c r="G123" s="18" t="s">
        <v>190</v>
      </c>
      <c r="H123" s="18" t="s">
        <v>190</v>
      </c>
      <c r="I123" s="18" t="s">
        <v>190</v>
      </c>
      <c r="J123" s="18" t="s">
        <v>190</v>
      </c>
      <c r="K123" s="18" t="s">
        <v>190</v>
      </c>
      <c r="L123" s="29">
        <v>0.748</v>
      </c>
      <c r="M123" s="29">
        <v>0.83099999999999996</v>
      </c>
      <c r="N123" s="29" t="s">
        <v>208</v>
      </c>
      <c r="O123" s="29" t="s">
        <v>208</v>
      </c>
      <c r="P123" s="29" t="s">
        <v>208</v>
      </c>
      <c r="Q123" s="29" t="s">
        <v>208</v>
      </c>
      <c r="R123" s="29" t="s">
        <v>208</v>
      </c>
      <c r="S123" s="29" t="s">
        <v>208</v>
      </c>
      <c r="T123" s="29" t="s">
        <v>208</v>
      </c>
      <c r="U123" s="29" t="s">
        <v>208</v>
      </c>
      <c r="V123" s="29" t="s">
        <v>208</v>
      </c>
      <c r="W123" s="117" t="s">
        <v>344</v>
      </c>
      <c r="X123" s="117" t="s">
        <v>344</v>
      </c>
    </row>
    <row r="124" spans="1:24" x14ac:dyDescent="0.2">
      <c r="A124" s="30" t="s">
        <v>211</v>
      </c>
      <c r="B124" s="91" t="s">
        <v>270</v>
      </c>
      <c r="C124" s="92" t="s">
        <v>274</v>
      </c>
      <c r="D124" s="18" t="s">
        <v>190</v>
      </c>
      <c r="E124" s="18" t="s">
        <v>190</v>
      </c>
      <c r="F124" s="18" t="s">
        <v>190</v>
      </c>
      <c r="G124" s="18" t="s">
        <v>190</v>
      </c>
      <c r="H124" s="18" t="s">
        <v>190</v>
      </c>
      <c r="I124" s="18" t="s">
        <v>190</v>
      </c>
      <c r="J124" s="18" t="s">
        <v>190</v>
      </c>
      <c r="K124" s="18" t="s">
        <v>190</v>
      </c>
      <c r="L124" s="29">
        <v>0.54200000000000004</v>
      </c>
      <c r="M124" s="29">
        <v>0.45600000000000002</v>
      </c>
      <c r="N124" s="29">
        <v>0.51500000000000001</v>
      </c>
      <c r="O124" s="29">
        <v>0.57299999999999995</v>
      </c>
      <c r="P124" s="29">
        <v>0.56399999999999995</v>
      </c>
      <c r="Q124" s="29">
        <v>0.745</v>
      </c>
      <c r="R124" s="29">
        <v>0.80099999999999993</v>
      </c>
      <c r="S124" s="29">
        <v>0.81700000000000006</v>
      </c>
      <c r="T124" s="29">
        <v>0.57700000000000007</v>
      </c>
      <c r="U124" s="29">
        <v>0.58799999999999997</v>
      </c>
      <c r="V124" s="29">
        <v>0.72199999999999998</v>
      </c>
      <c r="W124" s="117" t="s">
        <v>344</v>
      </c>
      <c r="X124" s="117" t="s">
        <v>344</v>
      </c>
    </row>
    <row r="125" spans="1:24" x14ac:dyDescent="0.2">
      <c r="A125" s="30" t="s">
        <v>211</v>
      </c>
      <c r="B125" s="91" t="s">
        <v>270</v>
      </c>
      <c r="C125" s="92" t="s">
        <v>275</v>
      </c>
      <c r="D125" s="18" t="s">
        <v>190</v>
      </c>
      <c r="E125" s="18" t="s">
        <v>190</v>
      </c>
      <c r="F125" s="18" t="s">
        <v>190</v>
      </c>
      <c r="G125" s="18" t="s">
        <v>190</v>
      </c>
      <c r="H125" s="18" t="s">
        <v>190</v>
      </c>
      <c r="I125" s="18" t="s">
        <v>190</v>
      </c>
      <c r="J125" s="18" t="s">
        <v>190</v>
      </c>
      <c r="K125" s="18" t="s">
        <v>190</v>
      </c>
      <c r="L125" s="29">
        <v>0.69499999999999995</v>
      </c>
      <c r="M125" s="29">
        <v>0.72599999999999998</v>
      </c>
      <c r="N125" s="29">
        <v>0.82799999999999996</v>
      </c>
      <c r="O125" s="29">
        <v>0.78299999999999992</v>
      </c>
      <c r="P125" s="29">
        <v>0.85400000000000009</v>
      </c>
      <c r="Q125" s="29">
        <v>1</v>
      </c>
      <c r="R125" s="29">
        <v>0.88900000000000001</v>
      </c>
      <c r="S125" s="29">
        <v>0.80599999999999994</v>
      </c>
      <c r="T125" s="29">
        <v>0.59599999999999997</v>
      </c>
      <c r="U125" s="29">
        <v>0.45899999999999996</v>
      </c>
      <c r="V125" s="29">
        <v>1</v>
      </c>
      <c r="W125" s="117" t="s">
        <v>344</v>
      </c>
      <c r="X125" s="117" t="s">
        <v>344</v>
      </c>
    </row>
    <row r="126" spans="1:24" x14ac:dyDescent="0.2">
      <c r="A126" s="30" t="s">
        <v>211</v>
      </c>
      <c r="B126" s="91" t="s">
        <v>270</v>
      </c>
      <c r="C126" s="92" t="s">
        <v>276</v>
      </c>
      <c r="D126" s="18" t="s">
        <v>190</v>
      </c>
      <c r="E126" s="18" t="s">
        <v>190</v>
      </c>
      <c r="F126" s="18" t="s">
        <v>190</v>
      </c>
      <c r="G126" s="18" t="s">
        <v>190</v>
      </c>
      <c r="H126" s="18" t="s">
        <v>190</v>
      </c>
      <c r="I126" s="18" t="s">
        <v>190</v>
      </c>
      <c r="J126" s="18" t="s">
        <v>190</v>
      </c>
      <c r="K126" s="18" t="s">
        <v>190</v>
      </c>
      <c r="L126" s="29" t="s">
        <v>208</v>
      </c>
      <c r="M126" s="29" t="s">
        <v>208</v>
      </c>
      <c r="N126" s="29" t="s">
        <v>208</v>
      </c>
      <c r="O126" s="29" t="s">
        <v>208</v>
      </c>
      <c r="P126" s="29" t="s">
        <v>208</v>
      </c>
      <c r="Q126" s="29" t="s">
        <v>208</v>
      </c>
      <c r="R126" s="29" t="s">
        <v>208</v>
      </c>
      <c r="S126" s="29" t="s">
        <v>208</v>
      </c>
      <c r="T126" s="29" t="s">
        <v>208</v>
      </c>
      <c r="U126" s="29" t="s">
        <v>208</v>
      </c>
      <c r="V126" s="29" t="s">
        <v>208</v>
      </c>
      <c r="W126" s="117" t="s">
        <v>344</v>
      </c>
      <c r="X126" s="117" t="s">
        <v>344</v>
      </c>
    </row>
    <row r="127" spans="1:24" x14ac:dyDescent="0.2">
      <c r="A127" s="30" t="s">
        <v>211</v>
      </c>
      <c r="B127" s="91" t="s">
        <v>270</v>
      </c>
      <c r="C127" s="92" t="s">
        <v>277</v>
      </c>
      <c r="D127" s="18" t="s">
        <v>190</v>
      </c>
      <c r="E127" s="18" t="s">
        <v>190</v>
      </c>
      <c r="F127" s="18" t="s">
        <v>190</v>
      </c>
      <c r="G127" s="18" t="s">
        <v>190</v>
      </c>
      <c r="H127" s="18" t="s">
        <v>190</v>
      </c>
      <c r="I127" s="18" t="s">
        <v>190</v>
      </c>
      <c r="J127" s="18" t="s">
        <v>190</v>
      </c>
      <c r="K127" s="18" t="s">
        <v>190</v>
      </c>
      <c r="L127" s="29">
        <v>0.69299999999999995</v>
      </c>
      <c r="M127" s="29">
        <v>0.58299999999999996</v>
      </c>
      <c r="N127" s="29">
        <v>0.71400000000000008</v>
      </c>
      <c r="O127" s="29">
        <v>0.84599999999999997</v>
      </c>
      <c r="P127" s="29">
        <v>0.68700000000000006</v>
      </c>
      <c r="Q127" s="29">
        <v>0.748</v>
      </c>
      <c r="R127" s="29">
        <v>0.66799999999999993</v>
      </c>
      <c r="S127" s="29">
        <v>0.68599999999999994</v>
      </c>
      <c r="T127" s="29">
        <v>0.56200000000000006</v>
      </c>
      <c r="U127" s="29" t="s">
        <v>208</v>
      </c>
      <c r="V127" s="29" t="s">
        <v>208</v>
      </c>
      <c r="W127" s="117" t="s">
        <v>344</v>
      </c>
      <c r="X127" s="117" t="s">
        <v>344</v>
      </c>
    </row>
    <row r="128" spans="1:24" x14ac:dyDescent="0.2">
      <c r="A128" s="30" t="s">
        <v>211</v>
      </c>
      <c r="B128" s="91" t="s">
        <v>270</v>
      </c>
      <c r="C128" s="92" t="s">
        <v>278</v>
      </c>
      <c r="D128" s="18" t="s">
        <v>190</v>
      </c>
      <c r="E128" s="18" t="s">
        <v>190</v>
      </c>
      <c r="F128" s="18" t="s">
        <v>190</v>
      </c>
      <c r="G128" s="18" t="s">
        <v>190</v>
      </c>
      <c r="H128" s="18" t="s">
        <v>190</v>
      </c>
      <c r="I128" s="18" t="s">
        <v>190</v>
      </c>
      <c r="J128" s="18" t="s">
        <v>190</v>
      </c>
      <c r="K128" s="18" t="s">
        <v>190</v>
      </c>
      <c r="L128" s="29" t="s">
        <v>208</v>
      </c>
      <c r="M128" s="29" t="s">
        <v>208</v>
      </c>
      <c r="N128" s="29" t="s">
        <v>208</v>
      </c>
      <c r="O128" s="29" t="s">
        <v>208</v>
      </c>
      <c r="P128" s="29" t="s">
        <v>208</v>
      </c>
      <c r="Q128" s="29" t="s">
        <v>208</v>
      </c>
      <c r="R128" s="29" t="s">
        <v>208</v>
      </c>
      <c r="S128" s="29" t="s">
        <v>208</v>
      </c>
      <c r="T128" s="29" t="s">
        <v>208</v>
      </c>
      <c r="U128" s="29" t="s">
        <v>208</v>
      </c>
      <c r="V128" s="29" t="s">
        <v>208</v>
      </c>
      <c r="W128" s="117" t="s">
        <v>344</v>
      </c>
      <c r="X128" s="117" t="s">
        <v>344</v>
      </c>
    </row>
    <row r="129" spans="1:24" x14ac:dyDescent="0.2">
      <c r="A129" s="30" t="s">
        <v>211</v>
      </c>
      <c r="B129" s="91" t="s">
        <v>270</v>
      </c>
      <c r="C129" s="92" t="s">
        <v>279</v>
      </c>
      <c r="D129" s="18" t="s">
        <v>190</v>
      </c>
      <c r="E129" s="18" t="s">
        <v>190</v>
      </c>
      <c r="F129" s="18" t="s">
        <v>190</v>
      </c>
      <c r="G129" s="18" t="s">
        <v>190</v>
      </c>
      <c r="H129" s="18" t="s">
        <v>190</v>
      </c>
      <c r="I129" s="18" t="s">
        <v>190</v>
      </c>
      <c r="J129" s="18" t="s">
        <v>190</v>
      </c>
      <c r="K129" s="18" t="s">
        <v>190</v>
      </c>
      <c r="L129" s="29">
        <v>0.74299999999999999</v>
      </c>
      <c r="M129" s="29" t="s">
        <v>208</v>
      </c>
      <c r="N129" s="29">
        <v>0.63700000000000001</v>
      </c>
      <c r="O129" s="29" t="s">
        <v>208</v>
      </c>
      <c r="P129" s="29" t="s">
        <v>208</v>
      </c>
      <c r="Q129" s="29" t="s">
        <v>208</v>
      </c>
      <c r="R129" s="29" t="s">
        <v>208</v>
      </c>
      <c r="S129" s="29">
        <v>0.63600000000000001</v>
      </c>
      <c r="T129" s="29">
        <v>0.58499999999999996</v>
      </c>
      <c r="U129" s="29" t="s">
        <v>208</v>
      </c>
      <c r="V129" s="29">
        <v>0.78900000000000003</v>
      </c>
      <c r="W129" s="117" t="s">
        <v>344</v>
      </c>
      <c r="X129" s="117" t="s">
        <v>344</v>
      </c>
    </row>
    <row r="130" spans="1:24" ht="35.1" customHeight="1" x14ac:dyDescent="0.2">
      <c r="A130" s="30" t="s">
        <v>211</v>
      </c>
      <c r="B130" s="17" t="s">
        <v>263</v>
      </c>
      <c r="C130" s="9" t="s">
        <v>280</v>
      </c>
      <c r="D130" s="29" t="s">
        <v>190</v>
      </c>
      <c r="E130" s="29" t="s">
        <v>190</v>
      </c>
      <c r="F130" s="29" t="s">
        <v>190</v>
      </c>
      <c r="G130" s="29" t="s">
        <v>190</v>
      </c>
      <c r="H130" s="29" t="s">
        <v>190</v>
      </c>
      <c r="I130" s="29" t="s">
        <v>190</v>
      </c>
      <c r="J130" s="29" t="s">
        <v>190</v>
      </c>
      <c r="K130" s="29" t="s">
        <v>190</v>
      </c>
      <c r="L130" s="29">
        <v>0.47</v>
      </c>
      <c r="M130" s="29">
        <v>0.45200000000000001</v>
      </c>
      <c r="N130" s="29">
        <v>0.441</v>
      </c>
      <c r="O130" s="29">
        <v>0.52300000000000002</v>
      </c>
      <c r="P130" s="29">
        <v>0.50900000000000001</v>
      </c>
      <c r="Q130" s="29">
        <v>0.502</v>
      </c>
      <c r="R130" s="29">
        <v>0.52900000000000003</v>
      </c>
      <c r="S130" s="29">
        <v>0.54299999999999993</v>
      </c>
      <c r="T130" s="29">
        <v>0.503</v>
      </c>
      <c r="U130" s="29">
        <v>0.496</v>
      </c>
      <c r="V130" s="29">
        <v>0.56600000000000006</v>
      </c>
      <c r="W130" s="117" t="s">
        <v>344</v>
      </c>
      <c r="X130" s="117" t="s">
        <v>344</v>
      </c>
    </row>
    <row r="131" spans="1:24" x14ac:dyDescent="0.2">
      <c r="A131" s="30" t="s">
        <v>211</v>
      </c>
      <c r="B131" s="17" t="s">
        <v>263</v>
      </c>
      <c r="C131" s="92" t="s">
        <v>264</v>
      </c>
      <c r="D131" s="29" t="s">
        <v>190</v>
      </c>
      <c r="E131" s="29" t="s">
        <v>190</v>
      </c>
      <c r="F131" s="29" t="s">
        <v>190</v>
      </c>
      <c r="G131" s="29" t="s">
        <v>190</v>
      </c>
      <c r="H131" s="29" t="s">
        <v>190</v>
      </c>
      <c r="I131" s="29" t="s">
        <v>190</v>
      </c>
      <c r="J131" s="29" t="s">
        <v>190</v>
      </c>
      <c r="K131" s="29" t="s">
        <v>190</v>
      </c>
      <c r="L131" s="29">
        <v>0.54100000000000004</v>
      </c>
      <c r="M131" s="29">
        <v>0.51100000000000001</v>
      </c>
      <c r="N131" s="29">
        <v>0.51500000000000001</v>
      </c>
      <c r="O131" s="29">
        <v>0.56799999999999995</v>
      </c>
      <c r="P131" s="29">
        <v>0.59099999999999997</v>
      </c>
      <c r="Q131" s="29">
        <v>0.6</v>
      </c>
      <c r="R131" s="29">
        <v>0.55600000000000005</v>
      </c>
      <c r="S131" s="29">
        <v>0.59200000000000008</v>
      </c>
      <c r="T131" s="29">
        <v>0.56299999999999994</v>
      </c>
      <c r="U131" s="29">
        <v>0.60699999999999998</v>
      </c>
      <c r="V131" s="29">
        <v>0.59299999999999997</v>
      </c>
      <c r="W131" s="117" t="s">
        <v>344</v>
      </c>
      <c r="X131" s="117" t="s">
        <v>344</v>
      </c>
    </row>
    <row r="132" spans="1:24" x14ac:dyDescent="0.2">
      <c r="A132" s="30" t="s">
        <v>211</v>
      </c>
      <c r="B132" s="17" t="s">
        <v>263</v>
      </c>
      <c r="C132" s="92" t="s">
        <v>265</v>
      </c>
      <c r="D132" s="29" t="s">
        <v>190</v>
      </c>
      <c r="E132" s="29" t="s">
        <v>190</v>
      </c>
      <c r="F132" s="29" t="s">
        <v>190</v>
      </c>
      <c r="G132" s="29" t="s">
        <v>190</v>
      </c>
      <c r="H132" s="29" t="s">
        <v>190</v>
      </c>
      <c r="I132" s="29" t="s">
        <v>190</v>
      </c>
      <c r="J132" s="29" t="s">
        <v>190</v>
      </c>
      <c r="K132" s="29" t="s">
        <v>190</v>
      </c>
      <c r="L132" s="29">
        <v>0.56399999999999995</v>
      </c>
      <c r="M132" s="29">
        <v>0.56899999999999995</v>
      </c>
      <c r="N132" s="29">
        <v>0.61699999999999999</v>
      </c>
      <c r="O132" s="29">
        <v>0.57399999999999995</v>
      </c>
      <c r="P132" s="29">
        <v>0.61</v>
      </c>
      <c r="Q132" s="29">
        <v>0.65</v>
      </c>
      <c r="R132" s="29">
        <v>0.63500000000000001</v>
      </c>
      <c r="S132" s="29">
        <v>0.626</v>
      </c>
      <c r="T132" s="29">
        <v>0.55100000000000005</v>
      </c>
      <c r="U132" s="29">
        <v>0.57799999999999996</v>
      </c>
      <c r="V132" s="29">
        <v>0.58700000000000008</v>
      </c>
      <c r="W132" s="117" t="s">
        <v>344</v>
      </c>
      <c r="X132" s="117" t="s">
        <v>344</v>
      </c>
    </row>
    <row r="133" spans="1:24" x14ac:dyDescent="0.2">
      <c r="A133" s="30" t="s">
        <v>211</v>
      </c>
      <c r="B133" s="17" t="s">
        <v>263</v>
      </c>
      <c r="C133" s="92" t="s">
        <v>266</v>
      </c>
      <c r="D133" s="29" t="s">
        <v>190</v>
      </c>
      <c r="E133" s="29" t="s">
        <v>190</v>
      </c>
      <c r="F133" s="29" t="s">
        <v>190</v>
      </c>
      <c r="G133" s="29" t="s">
        <v>190</v>
      </c>
      <c r="H133" s="29" t="s">
        <v>190</v>
      </c>
      <c r="I133" s="29" t="s">
        <v>190</v>
      </c>
      <c r="J133" s="29" t="s">
        <v>190</v>
      </c>
      <c r="K133" s="29" t="s">
        <v>190</v>
      </c>
      <c r="L133" s="29">
        <v>0.58700000000000008</v>
      </c>
      <c r="M133" s="29">
        <v>0.57399999999999995</v>
      </c>
      <c r="N133" s="29">
        <v>0.57200000000000006</v>
      </c>
      <c r="O133" s="29">
        <v>0.59899999999999998</v>
      </c>
      <c r="P133" s="29">
        <v>0.63600000000000001</v>
      </c>
      <c r="Q133" s="29">
        <v>0.67</v>
      </c>
      <c r="R133" s="29">
        <v>0.56600000000000006</v>
      </c>
      <c r="S133" s="29">
        <v>0.56000000000000005</v>
      </c>
      <c r="T133" s="29">
        <v>0.51900000000000002</v>
      </c>
      <c r="U133" s="29">
        <v>0.51</v>
      </c>
      <c r="V133" s="29">
        <v>0.57899999999999996</v>
      </c>
      <c r="W133" s="117" t="s">
        <v>344</v>
      </c>
      <c r="X133" s="117" t="s">
        <v>344</v>
      </c>
    </row>
    <row r="134" spans="1:24" x14ac:dyDescent="0.2">
      <c r="A134" s="30" t="s">
        <v>211</v>
      </c>
      <c r="B134" s="17" t="s">
        <v>263</v>
      </c>
      <c r="C134" s="92" t="s">
        <v>281</v>
      </c>
      <c r="D134" s="29" t="s">
        <v>190</v>
      </c>
      <c r="E134" s="29" t="s">
        <v>190</v>
      </c>
      <c r="F134" s="29" t="s">
        <v>190</v>
      </c>
      <c r="G134" s="29" t="s">
        <v>190</v>
      </c>
      <c r="H134" s="29" t="s">
        <v>190</v>
      </c>
      <c r="I134" s="29" t="s">
        <v>190</v>
      </c>
      <c r="J134" s="29" t="s">
        <v>190</v>
      </c>
      <c r="K134" s="29" t="s">
        <v>190</v>
      </c>
      <c r="L134" s="29">
        <v>0.51</v>
      </c>
      <c r="M134" s="29">
        <v>0.54200000000000004</v>
      </c>
      <c r="N134" s="29">
        <v>0.54600000000000004</v>
      </c>
      <c r="O134" s="29">
        <v>0.55700000000000005</v>
      </c>
      <c r="P134" s="29">
        <v>0.47399999999999998</v>
      </c>
      <c r="Q134" s="29">
        <v>0.54899999999999993</v>
      </c>
      <c r="R134" s="29">
        <v>0.58299999999999996</v>
      </c>
      <c r="S134" s="29">
        <v>0.57399999999999995</v>
      </c>
      <c r="T134" s="29">
        <v>0.47700000000000004</v>
      </c>
      <c r="U134" s="29">
        <v>0.51900000000000002</v>
      </c>
      <c r="V134" s="29">
        <v>0.57299999999999995</v>
      </c>
      <c r="W134" s="117" t="s">
        <v>344</v>
      </c>
      <c r="X134" s="117" t="s">
        <v>344</v>
      </c>
    </row>
    <row r="135" spans="1:24" ht="31.5" customHeight="1" x14ac:dyDescent="0.2">
      <c r="A135" s="30" t="s">
        <v>207</v>
      </c>
      <c r="B135" s="17" t="s">
        <v>178</v>
      </c>
      <c r="C135" s="17" t="s">
        <v>48</v>
      </c>
      <c r="D135" s="29">
        <v>4.0000000000000001E-3</v>
      </c>
      <c r="E135" s="29">
        <v>4.0000000000000001E-3</v>
      </c>
      <c r="F135" s="29">
        <v>5.0000000000000001E-3</v>
      </c>
      <c r="G135" s="29">
        <v>5.0000000000000001E-3</v>
      </c>
      <c r="H135" s="29">
        <v>5.0000000000000001E-3</v>
      </c>
      <c r="I135" s="29">
        <v>5.0000000000000001E-3</v>
      </c>
      <c r="J135" s="29">
        <v>5.0000000000000001E-3</v>
      </c>
      <c r="K135" s="29">
        <v>6.0000000000000001E-3</v>
      </c>
      <c r="L135" s="29">
        <v>6.0000000000000001E-3</v>
      </c>
      <c r="M135" s="29">
        <v>6.0000000000000001E-3</v>
      </c>
      <c r="N135" s="29">
        <v>6.0000000000000001E-3</v>
      </c>
      <c r="O135" s="29">
        <v>6.0000000000000001E-3</v>
      </c>
      <c r="P135" s="29">
        <v>6.0000000000000001E-3</v>
      </c>
      <c r="Q135" s="29">
        <v>6.0000000000000001E-3</v>
      </c>
      <c r="R135" s="29">
        <v>6.0000000000000001E-3</v>
      </c>
      <c r="S135" s="29">
        <v>6.9999999999999993E-3</v>
      </c>
      <c r="T135" s="29">
        <v>8.0000000000000002E-3</v>
      </c>
      <c r="U135" s="29">
        <v>8.0000000000000002E-3</v>
      </c>
      <c r="V135" s="29">
        <v>9.0000000000000011E-3</v>
      </c>
      <c r="W135" s="65">
        <v>0.01</v>
      </c>
      <c r="X135" s="65">
        <v>9.0000000000000011E-3</v>
      </c>
    </row>
    <row r="136" spans="1:24" x14ac:dyDescent="0.2">
      <c r="A136" s="30" t="s">
        <v>207</v>
      </c>
      <c r="B136" s="16" t="s">
        <v>178</v>
      </c>
      <c r="C136" s="17" t="s">
        <v>1</v>
      </c>
      <c r="D136" s="29">
        <v>1.3000000000000001E-2</v>
      </c>
      <c r="E136" s="29">
        <v>1.3000000000000001E-2</v>
      </c>
      <c r="F136" s="29">
        <v>1.3999999999999999E-2</v>
      </c>
      <c r="G136" s="29">
        <v>1.3999999999999999E-2</v>
      </c>
      <c r="H136" s="29">
        <v>1.4999999999999999E-2</v>
      </c>
      <c r="I136" s="29">
        <v>1.4999999999999999E-2</v>
      </c>
      <c r="J136" s="29">
        <v>1.4999999999999999E-2</v>
      </c>
      <c r="K136" s="29">
        <v>1.6E-2</v>
      </c>
      <c r="L136" s="29">
        <v>1.6E-2</v>
      </c>
      <c r="M136" s="29">
        <v>1.6E-2</v>
      </c>
      <c r="N136" s="29">
        <v>1.7000000000000001E-2</v>
      </c>
      <c r="O136" s="29">
        <v>1.7000000000000001E-2</v>
      </c>
      <c r="P136" s="29">
        <v>1.8000000000000002E-2</v>
      </c>
      <c r="Q136" s="29">
        <v>1.8000000000000002E-2</v>
      </c>
      <c r="R136" s="29">
        <v>1.9E-2</v>
      </c>
      <c r="S136" s="29">
        <v>1.9E-2</v>
      </c>
      <c r="T136" s="29">
        <v>2.4E-2</v>
      </c>
      <c r="U136" s="29">
        <v>2.7000000000000003E-2</v>
      </c>
      <c r="V136" s="29">
        <v>2.7000000000000003E-2</v>
      </c>
      <c r="W136" s="65">
        <v>3.3000000000000002E-2</v>
      </c>
      <c r="X136" s="65">
        <v>2.8999999999999998E-2</v>
      </c>
    </row>
    <row r="137" spans="1:24" ht="31.5" customHeight="1" x14ac:dyDescent="0.2">
      <c r="A137" s="30" t="s">
        <v>207</v>
      </c>
      <c r="B137" s="17" t="s">
        <v>179</v>
      </c>
      <c r="C137" s="17" t="s">
        <v>35</v>
      </c>
      <c r="D137" s="29">
        <v>0.05</v>
      </c>
      <c r="E137" s="29">
        <v>5.2999999999999999E-2</v>
      </c>
      <c r="F137" s="29">
        <v>5.2000000000000005E-2</v>
      </c>
      <c r="G137" s="29">
        <v>0.05</v>
      </c>
      <c r="H137" s="29">
        <v>5.2000000000000005E-2</v>
      </c>
      <c r="I137" s="29">
        <v>5.4000000000000006E-2</v>
      </c>
      <c r="J137" s="29">
        <v>5.5E-2</v>
      </c>
      <c r="K137" s="29">
        <v>5.7999999999999996E-2</v>
      </c>
      <c r="L137" s="29">
        <v>0.06</v>
      </c>
      <c r="M137" s="29">
        <v>5.9000000000000004E-2</v>
      </c>
      <c r="N137" s="29">
        <v>6.2E-2</v>
      </c>
      <c r="O137" s="29">
        <v>6.3E-2</v>
      </c>
      <c r="P137" s="29">
        <v>7.5999999999999998E-2</v>
      </c>
      <c r="Q137" s="29">
        <v>7.0999999999999994E-2</v>
      </c>
      <c r="R137" s="29">
        <v>0.08</v>
      </c>
      <c r="S137" s="29">
        <v>7.2000000000000008E-2</v>
      </c>
      <c r="T137" s="29">
        <v>0.10199999999999999</v>
      </c>
      <c r="U137" s="29">
        <v>9.8000000000000004E-2</v>
      </c>
      <c r="V137" s="29">
        <v>0.105</v>
      </c>
      <c r="W137" s="117" t="s">
        <v>344</v>
      </c>
      <c r="X137" s="117" t="s">
        <v>344</v>
      </c>
    </row>
    <row r="138" spans="1:24" x14ac:dyDescent="0.2">
      <c r="A138" s="30" t="s">
        <v>207</v>
      </c>
      <c r="B138" s="16" t="s">
        <v>179</v>
      </c>
      <c r="C138" s="17" t="s">
        <v>36</v>
      </c>
      <c r="D138" s="29">
        <v>2.4E-2</v>
      </c>
      <c r="E138" s="29">
        <v>2.4E-2</v>
      </c>
      <c r="F138" s="29">
        <v>2.5000000000000001E-2</v>
      </c>
      <c r="G138" s="29">
        <v>2.5000000000000001E-2</v>
      </c>
      <c r="H138" s="29">
        <v>2.6000000000000002E-2</v>
      </c>
      <c r="I138" s="29">
        <v>2.7000000000000003E-2</v>
      </c>
      <c r="J138" s="29">
        <v>2.7000000000000003E-2</v>
      </c>
      <c r="K138" s="29">
        <v>2.7999999999999997E-2</v>
      </c>
      <c r="L138" s="29">
        <v>2.8999999999999998E-2</v>
      </c>
      <c r="M138" s="29">
        <v>0.03</v>
      </c>
      <c r="N138" s="29">
        <v>3.1E-2</v>
      </c>
      <c r="O138" s="29">
        <v>3.1E-2</v>
      </c>
      <c r="P138" s="29">
        <v>3.2000000000000001E-2</v>
      </c>
      <c r="Q138" s="29">
        <v>3.4000000000000002E-2</v>
      </c>
      <c r="R138" s="29">
        <v>3.4000000000000002E-2</v>
      </c>
      <c r="S138" s="29">
        <v>3.3000000000000002E-2</v>
      </c>
      <c r="T138" s="29">
        <v>4.2999999999999997E-2</v>
      </c>
      <c r="U138" s="29">
        <v>4.7E-2</v>
      </c>
      <c r="V138" s="29">
        <v>4.9000000000000002E-2</v>
      </c>
      <c r="W138" s="117" t="s">
        <v>344</v>
      </c>
      <c r="X138" s="117" t="s">
        <v>344</v>
      </c>
    </row>
    <row r="139" spans="1:24" x14ac:dyDescent="0.2">
      <c r="A139" s="30" t="s">
        <v>207</v>
      </c>
      <c r="B139" s="16" t="s">
        <v>179</v>
      </c>
      <c r="C139" s="17" t="s">
        <v>37</v>
      </c>
      <c r="D139" s="29">
        <v>3.1E-2</v>
      </c>
      <c r="E139" s="29">
        <v>3.2000000000000001E-2</v>
      </c>
      <c r="F139" s="29">
        <v>3.2000000000000001E-2</v>
      </c>
      <c r="G139" s="29">
        <v>3.2000000000000001E-2</v>
      </c>
      <c r="H139" s="29">
        <v>3.5000000000000003E-2</v>
      </c>
      <c r="I139" s="29">
        <v>3.5000000000000003E-2</v>
      </c>
      <c r="J139" s="29">
        <v>3.6000000000000004E-2</v>
      </c>
      <c r="K139" s="29">
        <v>3.5000000000000003E-2</v>
      </c>
      <c r="L139" s="29">
        <v>3.6000000000000004E-2</v>
      </c>
      <c r="M139" s="29">
        <v>3.6000000000000004E-2</v>
      </c>
      <c r="N139" s="29">
        <v>3.7000000000000005E-2</v>
      </c>
      <c r="O139" s="29">
        <v>0.04</v>
      </c>
      <c r="P139" s="29">
        <v>4.5999999999999999E-2</v>
      </c>
      <c r="Q139" s="29">
        <v>4.4000000000000004E-2</v>
      </c>
      <c r="R139" s="29">
        <v>0.04</v>
      </c>
      <c r="S139" s="29">
        <v>4.2000000000000003E-2</v>
      </c>
      <c r="T139" s="29">
        <v>5.5999999999999994E-2</v>
      </c>
      <c r="U139" s="29">
        <v>6.2E-2</v>
      </c>
      <c r="V139" s="29">
        <v>6.2E-2</v>
      </c>
      <c r="W139" s="117" t="s">
        <v>344</v>
      </c>
      <c r="X139" s="117" t="s">
        <v>344</v>
      </c>
    </row>
    <row r="140" spans="1:24" x14ac:dyDescent="0.2">
      <c r="A140" s="30" t="s">
        <v>207</v>
      </c>
      <c r="B140" s="16" t="s">
        <v>179</v>
      </c>
      <c r="C140" s="17" t="s">
        <v>236</v>
      </c>
      <c r="D140" s="29">
        <v>4.8000000000000001E-2</v>
      </c>
      <c r="E140" s="29">
        <v>0.05</v>
      </c>
      <c r="F140" s="29">
        <v>4.9000000000000002E-2</v>
      </c>
      <c r="G140" s="29">
        <v>5.5999999999999994E-2</v>
      </c>
      <c r="H140" s="29">
        <v>5.5999999999999994E-2</v>
      </c>
      <c r="I140" s="29">
        <v>5.5999999999999994E-2</v>
      </c>
      <c r="J140" s="29">
        <v>5.4000000000000006E-2</v>
      </c>
      <c r="K140" s="29">
        <v>5.9000000000000004E-2</v>
      </c>
      <c r="L140" s="29">
        <v>0.06</v>
      </c>
      <c r="M140" s="29">
        <v>5.7999999999999996E-2</v>
      </c>
      <c r="N140" s="29">
        <v>6.0999999999999999E-2</v>
      </c>
      <c r="O140" s="29">
        <v>5.4000000000000006E-2</v>
      </c>
      <c r="P140" s="29">
        <v>5.9000000000000004E-2</v>
      </c>
      <c r="Q140" s="29">
        <v>6.0999999999999999E-2</v>
      </c>
      <c r="R140" s="29">
        <v>6.0999999999999999E-2</v>
      </c>
      <c r="S140" s="29">
        <v>6.4000000000000001E-2</v>
      </c>
      <c r="T140" s="29">
        <v>8.4000000000000005E-2</v>
      </c>
      <c r="U140" s="29">
        <v>9.1999999999999998E-2</v>
      </c>
      <c r="V140" s="29">
        <v>8.199999999999999E-2</v>
      </c>
      <c r="W140" s="117" t="s">
        <v>344</v>
      </c>
      <c r="X140" s="117" t="s">
        <v>344</v>
      </c>
    </row>
    <row r="141" spans="1:24" x14ac:dyDescent="0.2">
      <c r="A141" s="30" t="s">
        <v>207</v>
      </c>
      <c r="B141" s="16" t="s">
        <v>179</v>
      </c>
      <c r="C141" s="17" t="s">
        <v>38</v>
      </c>
      <c r="D141" s="29">
        <v>3.5000000000000003E-2</v>
      </c>
      <c r="E141" s="29">
        <v>3.6000000000000004E-2</v>
      </c>
      <c r="F141" s="29">
        <v>3.6000000000000004E-2</v>
      </c>
      <c r="G141" s="29">
        <v>3.6000000000000004E-2</v>
      </c>
      <c r="H141" s="29">
        <v>3.9E-2</v>
      </c>
      <c r="I141" s="29">
        <v>4.2000000000000003E-2</v>
      </c>
      <c r="J141" s="29">
        <v>4.0999999999999995E-2</v>
      </c>
      <c r="K141" s="29">
        <v>4.2000000000000003E-2</v>
      </c>
      <c r="L141" s="29">
        <v>0.04</v>
      </c>
      <c r="M141" s="29">
        <v>4.2999999999999997E-2</v>
      </c>
      <c r="N141" s="29">
        <v>4.2999999999999997E-2</v>
      </c>
      <c r="O141" s="29">
        <v>4.7E-2</v>
      </c>
      <c r="P141" s="29">
        <v>5.0999999999999997E-2</v>
      </c>
      <c r="Q141" s="29">
        <v>4.5999999999999999E-2</v>
      </c>
      <c r="R141" s="29">
        <v>4.5999999999999999E-2</v>
      </c>
      <c r="S141" s="29">
        <v>4.5999999999999999E-2</v>
      </c>
      <c r="T141" s="29">
        <v>5.7000000000000002E-2</v>
      </c>
      <c r="U141" s="29">
        <v>7.400000000000001E-2</v>
      </c>
      <c r="V141" s="29">
        <v>6.6000000000000003E-2</v>
      </c>
      <c r="W141" s="117" t="s">
        <v>344</v>
      </c>
      <c r="X141" s="117" t="s">
        <v>344</v>
      </c>
    </row>
    <row r="142" spans="1:24" x14ac:dyDescent="0.2">
      <c r="A142" s="30" t="s">
        <v>207</v>
      </c>
      <c r="B142" s="16" t="s">
        <v>179</v>
      </c>
      <c r="C142" s="17" t="s">
        <v>121</v>
      </c>
      <c r="D142" s="29">
        <v>3.7000000000000005E-2</v>
      </c>
      <c r="E142" s="29">
        <v>3.7999999999999999E-2</v>
      </c>
      <c r="F142" s="29">
        <v>0.04</v>
      </c>
      <c r="G142" s="29">
        <v>4.0999999999999995E-2</v>
      </c>
      <c r="H142" s="29">
        <v>4.2000000000000003E-2</v>
      </c>
      <c r="I142" s="29">
        <v>4.4999999999999998E-2</v>
      </c>
      <c r="J142" s="29">
        <v>4.4999999999999998E-2</v>
      </c>
      <c r="K142" s="29">
        <v>4.5999999999999999E-2</v>
      </c>
      <c r="L142" s="29">
        <v>5.0999999999999997E-2</v>
      </c>
      <c r="M142" s="29">
        <v>4.8000000000000001E-2</v>
      </c>
      <c r="N142" s="29">
        <v>4.9000000000000002E-2</v>
      </c>
      <c r="O142" s="29">
        <v>5.0999999999999997E-2</v>
      </c>
      <c r="P142" s="29">
        <v>5.5E-2</v>
      </c>
      <c r="Q142" s="29">
        <v>5.0999999999999997E-2</v>
      </c>
      <c r="R142" s="29">
        <v>5.7000000000000002E-2</v>
      </c>
      <c r="S142" s="29">
        <v>6.2E-2</v>
      </c>
      <c r="T142" s="29">
        <v>7.0000000000000007E-2</v>
      </c>
      <c r="U142" s="29">
        <v>8.199999999999999E-2</v>
      </c>
      <c r="V142" s="29">
        <v>9.6000000000000002E-2</v>
      </c>
      <c r="W142" s="117" t="s">
        <v>344</v>
      </c>
      <c r="X142" s="117" t="s">
        <v>344</v>
      </c>
    </row>
    <row r="143" spans="1:24" x14ac:dyDescent="0.2">
      <c r="A143" s="30" t="s">
        <v>207</v>
      </c>
      <c r="B143" s="16" t="s">
        <v>179</v>
      </c>
      <c r="C143" s="17" t="s">
        <v>39</v>
      </c>
      <c r="D143" s="29">
        <v>0.04</v>
      </c>
      <c r="E143" s="29">
        <v>3.7999999999999999E-2</v>
      </c>
      <c r="F143" s="29">
        <v>0.04</v>
      </c>
      <c r="G143" s="29">
        <v>0.04</v>
      </c>
      <c r="H143" s="29">
        <v>4.2000000000000003E-2</v>
      </c>
      <c r="I143" s="29">
        <v>4.4999999999999998E-2</v>
      </c>
      <c r="J143" s="29">
        <v>4.4999999999999998E-2</v>
      </c>
      <c r="K143" s="29">
        <v>4.8000000000000001E-2</v>
      </c>
      <c r="L143" s="29">
        <v>0.05</v>
      </c>
      <c r="M143" s="29">
        <v>0.05</v>
      </c>
      <c r="N143" s="29">
        <v>5.0999999999999997E-2</v>
      </c>
      <c r="O143" s="29">
        <v>5.5999999999999994E-2</v>
      </c>
      <c r="P143" s="29">
        <v>5.7999999999999996E-2</v>
      </c>
      <c r="Q143" s="29">
        <v>0.06</v>
      </c>
      <c r="R143" s="29">
        <v>6.2E-2</v>
      </c>
      <c r="S143" s="29">
        <v>6.4000000000000001E-2</v>
      </c>
      <c r="T143" s="29">
        <v>8.199999999999999E-2</v>
      </c>
      <c r="U143" s="29">
        <v>8.8000000000000009E-2</v>
      </c>
      <c r="V143" s="29">
        <v>9.9000000000000005E-2</v>
      </c>
      <c r="W143" s="117" t="s">
        <v>344</v>
      </c>
      <c r="X143" s="117" t="s">
        <v>344</v>
      </c>
    </row>
    <row r="144" spans="1:24" x14ac:dyDescent="0.2">
      <c r="A144" s="30" t="s">
        <v>207</v>
      </c>
      <c r="B144" s="16" t="s">
        <v>179</v>
      </c>
      <c r="C144" s="17" t="s">
        <v>40</v>
      </c>
      <c r="D144" s="29">
        <v>0.05</v>
      </c>
      <c r="E144" s="29">
        <v>5.4000000000000006E-2</v>
      </c>
      <c r="F144" s="29">
        <v>5.4000000000000006E-2</v>
      </c>
      <c r="G144" s="29">
        <v>5.5999999999999994E-2</v>
      </c>
      <c r="H144" s="29">
        <v>6.2E-2</v>
      </c>
      <c r="I144" s="29">
        <v>5.9000000000000004E-2</v>
      </c>
      <c r="J144" s="29">
        <v>6.4000000000000001E-2</v>
      </c>
      <c r="K144" s="29">
        <v>6.6000000000000003E-2</v>
      </c>
      <c r="L144" s="29">
        <v>6.2E-2</v>
      </c>
      <c r="M144" s="29">
        <v>0.06</v>
      </c>
      <c r="N144" s="29">
        <v>5.7999999999999996E-2</v>
      </c>
      <c r="O144" s="29">
        <v>5.9000000000000004E-2</v>
      </c>
      <c r="P144" s="29">
        <v>7.0999999999999994E-2</v>
      </c>
      <c r="Q144" s="29">
        <v>7.400000000000001E-2</v>
      </c>
      <c r="R144" s="29">
        <v>7.6999999999999999E-2</v>
      </c>
      <c r="S144" s="29">
        <v>7.9000000000000001E-2</v>
      </c>
      <c r="T144" s="29">
        <v>0.106</v>
      </c>
      <c r="U144" s="29">
        <v>0.11</v>
      </c>
      <c r="V144" s="29">
        <v>0.11199999999999999</v>
      </c>
      <c r="W144" s="117" t="s">
        <v>344</v>
      </c>
      <c r="X144" s="117" t="s">
        <v>344</v>
      </c>
    </row>
    <row r="145" spans="1:24" ht="31.5" customHeight="1" x14ac:dyDescent="0.2">
      <c r="A145" s="30" t="s">
        <v>207</v>
      </c>
      <c r="B145" s="17" t="s">
        <v>180</v>
      </c>
      <c r="C145" s="17" t="s">
        <v>41</v>
      </c>
      <c r="D145" s="29">
        <v>5.4000000000000006E-2</v>
      </c>
      <c r="E145" s="29">
        <v>5.5999999999999994E-2</v>
      </c>
      <c r="F145" s="29">
        <v>0.06</v>
      </c>
      <c r="G145" s="29">
        <v>6.3E-2</v>
      </c>
      <c r="H145" s="29">
        <v>6.3E-2</v>
      </c>
      <c r="I145" s="29">
        <v>6.8000000000000005E-2</v>
      </c>
      <c r="J145" s="29">
        <v>6.5000000000000002E-2</v>
      </c>
      <c r="K145" s="29">
        <v>7.0999999999999994E-2</v>
      </c>
      <c r="L145" s="29">
        <v>8.199999999999999E-2</v>
      </c>
      <c r="M145" s="29">
        <v>7.0999999999999994E-2</v>
      </c>
      <c r="N145" s="29">
        <v>7.2000000000000008E-2</v>
      </c>
      <c r="O145" s="29">
        <v>7.4999999999999997E-2</v>
      </c>
      <c r="P145" s="29">
        <v>7.8E-2</v>
      </c>
      <c r="Q145" s="29">
        <v>6.8000000000000005E-2</v>
      </c>
      <c r="R145" s="29">
        <v>8.5000000000000006E-2</v>
      </c>
      <c r="S145" s="29">
        <v>8.5000000000000006E-2</v>
      </c>
      <c r="T145" s="29">
        <v>0.10099999999999999</v>
      </c>
      <c r="U145" s="29">
        <v>0.12</v>
      </c>
      <c r="V145" s="29">
        <v>0.13600000000000001</v>
      </c>
      <c r="W145" s="117" t="s">
        <v>344</v>
      </c>
      <c r="X145" s="117" t="s">
        <v>344</v>
      </c>
    </row>
    <row r="146" spans="1:24" x14ac:dyDescent="0.2">
      <c r="A146" s="30" t="s">
        <v>207</v>
      </c>
      <c r="B146" s="16" t="s">
        <v>180</v>
      </c>
      <c r="C146" s="17" t="s">
        <v>42</v>
      </c>
      <c r="D146" s="29">
        <v>2.3E-2</v>
      </c>
      <c r="E146" s="29">
        <v>2.3E-2</v>
      </c>
      <c r="F146" s="29">
        <v>2.3E-2</v>
      </c>
      <c r="G146" s="29">
        <v>2.3E-2</v>
      </c>
      <c r="H146" s="29">
        <v>2.4E-2</v>
      </c>
      <c r="I146" s="29">
        <v>2.6000000000000002E-2</v>
      </c>
      <c r="J146" s="29">
        <v>2.7000000000000003E-2</v>
      </c>
      <c r="K146" s="29">
        <v>2.7999999999999997E-2</v>
      </c>
      <c r="L146" s="29">
        <v>2.7999999999999997E-2</v>
      </c>
      <c r="M146" s="29">
        <v>2.7999999999999997E-2</v>
      </c>
      <c r="N146" s="29">
        <v>2.8999999999999998E-2</v>
      </c>
      <c r="O146" s="29">
        <v>2.8999999999999998E-2</v>
      </c>
      <c r="P146" s="29">
        <v>3.3000000000000002E-2</v>
      </c>
      <c r="Q146" s="29">
        <v>3.1E-2</v>
      </c>
      <c r="R146" s="29">
        <v>3.2000000000000001E-2</v>
      </c>
      <c r="S146" s="29">
        <v>3.3000000000000002E-2</v>
      </c>
      <c r="T146" s="29">
        <v>4.0999999999999995E-2</v>
      </c>
      <c r="U146" s="29">
        <v>4.7E-2</v>
      </c>
      <c r="V146" s="29">
        <v>4.8000000000000001E-2</v>
      </c>
      <c r="W146" s="117" t="s">
        <v>344</v>
      </c>
      <c r="X146" s="117" t="s">
        <v>344</v>
      </c>
    </row>
    <row r="147" spans="1:24" x14ac:dyDescent="0.2">
      <c r="A147" s="30" t="s">
        <v>207</v>
      </c>
      <c r="B147" s="16" t="s">
        <v>180</v>
      </c>
      <c r="C147" s="17" t="s">
        <v>43</v>
      </c>
      <c r="D147" s="29">
        <v>1.9E-2</v>
      </c>
      <c r="E147" s="29">
        <v>0.02</v>
      </c>
      <c r="F147" s="29">
        <v>0.02</v>
      </c>
      <c r="G147" s="29">
        <v>2.1000000000000001E-2</v>
      </c>
      <c r="H147" s="29">
        <v>2.2000000000000002E-2</v>
      </c>
      <c r="I147" s="29">
        <v>2.3E-2</v>
      </c>
      <c r="J147" s="29">
        <v>2.3E-2</v>
      </c>
      <c r="K147" s="29">
        <v>2.3E-2</v>
      </c>
      <c r="L147" s="29">
        <v>2.4E-2</v>
      </c>
      <c r="M147" s="29">
        <v>2.4E-2</v>
      </c>
      <c r="N147" s="29">
        <v>2.5000000000000001E-2</v>
      </c>
      <c r="O147" s="29">
        <v>2.5000000000000001E-2</v>
      </c>
      <c r="P147" s="29">
        <v>2.6000000000000002E-2</v>
      </c>
      <c r="Q147" s="29">
        <v>2.7999999999999997E-2</v>
      </c>
      <c r="R147" s="29">
        <v>2.7999999999999997E-2</v>
      </c>
      <c r="S147" s="29">
        <v>2.7999999999999997E-2</v>
      </c>
      <c r="T147" s="29">
        <v>3.7000000000000005E-2</v>
      </c>
      <c r="U147" s="29">
        <v>0.04</v>
      </c>
      <c r="V147" s="29">
        <v>0.04</v>
      </c>
      <c r="W147" s="117" t="s">
        <v>344</v>
      </c>
      <c r="X147" s="117" t="s">
        <v>344</v>
      </c>
    </row>
    <row r="148" spans="1:24" x14ac:dyDescent="0.2">
      <c r="A148" s="30" t="s">
        <v>207</v>
      </c>
      <c r="B148" s="16" t="s">
        <v>180</v>
      </c>
      <c r="C148" s="17" t="s">
        <v>44</v>
      </c>
      <c r="D148" s="29">
        <v>3.4000000000000002E-2</v>
      </c>
      <c r="E148" s="29">
        <v>3.4000000000000002E-2</v>
      </c>
      <c r="F148" s="29">
        <v>3.4000000000000002E-2</v>
      </c>
      <c r="G148" s="29">
        <v>3.3000000000000002E-2</v>
      </c>
      <c r="H148" s="29">
        <v>3.5000000000000003E-2</v>
      </c>
      <c r="I148" s="29">
        <v>3.4000000000000002E-2</v>
      </c>
      <c r="J148" s="29">
        <v>3.4000000000000002E-2</v>
      </c>
      <c r="K148" s="29">
        <v>3.6000000000000004E-2</v>
      </c>
      <c r="L148" s="29">
        <v>3.7999999999999999E-2</v>
      </c>
      <c r="M148" s="29">
        <v>4.0999999999999995E-2</v>
      </c>
      <c r="N148" s="29">
        <v>4.0999999999999995E-2</v>
      </c>
      <c r="O148" s="29">
        <v>4.0999999999999995E-2</v>
      </c>
      <c r="P148" s="29">
        <v>4.4999999999999998E-2</v>
      </c>
      <c r="Q148" s="29">
        <v>4.4999999999999998E-2</v>
      </c>
      <c r="R148" s="29">
        <v>4.4000000000000004E-2</v>
      </c>
      <c r="S148" s="29">
        <v>4.0999999999999995E-2</v>
      </c>
      <c r="T148" s="29">
        <v>5.7000000000000002E-2</v>
      </c>
      <c r="U148" s="29">
        <v>6.4000000000000001E-2</v>
      </c>
      <c r="V148" s="29">
        <v>6.5000000000000002E-2</v>
      </c>
      <c r="W148" s="117" t="s">
        <v>344</v>
      </c>
      <c r="X148" s="117" t="s">
        <v>344</v>
      </c>
    </row>
    <row r="149" spans="1:24" ht="31.5" customHeight="1" x14ac:dyDescent="0.2">
      <c r="A149" s="30" t="s">
        <v>207</v>
      </c>
      <c r="B149" s="17" t="s">
        <v>181</v>
      </c>
      <c r="C149" s="17" t="s">
        <v>45</v>
      </c>
      <c r="D149" s="29">
        <f>D142</f>
        <v>3.7000000000000005E-2</v>
      </c>
      <c r="E149" s="29">
        <f t="shared" ref="E149:U149" si="4">E142</f>
        <v>3.7999999999999999E-2</v>
      </c>
      <c r="F149" s="29">
        <f t="shared" si="4"/>
        <v>0.04</v>
      </c>
      <c r="G149" s="29">
        <f t="shared" si="4"/>
        <v>4.0999999999999995E-2</v>
      </c>
      <c r="H149" s="29">
        <f t="shared" si="4"/>
        <v>4.2000000000000003E-2</v>
      </c>
      <c r="I149" s="29">
        <f t="shared" si="4"/>
        <v>4.4999999999999998E-2</v>
      </c>
      <c r="J149" s="29">
        <f t="shared" si="4"/>
        <v>4.4999999999999998E-2</v>
      </c>
      <c r="K149" s="29">
        <f t="shared" si="4"/>
        <v>4.5999999999999999E-2</v>
      </c>
      <c r="L149" s="29">
        <f t="shared" si="4"/>
        <v>5.0999999999999997E-2</v>
      </c>
      <c r="M149" s="29">
        <f t="shared" si="4"/>
        <v>4.8000000000000001E-2</v>
      </c>
      <c r="N149" s="29">
        <f t="shared" si="4"/>
        <v>4.9000000000000002E-2</v>
      </c>
      <c r="O149" s="29">
        <f t="shared" si="4"/>
        <v>5.0999999999999997E-2</v>
      </c>
      <c r="P149" s="29">
        <f t="shared" si="4"/>
        <v>5.5E-2</v>
      </c>
      <c r="Q149" s="29">
        <f t="shared" si="4"/>
        <v>5.0999999999999997E-2</v>
      </c>
      <c r="R149" s="29">
        <f t="shared" si="4"/>
        <v>5.7000000000000002E-2</v>
      </c>
      <c r="S149" s="29">
        <f t="shared" si="4"/>
        <v>6.2E-2</v>
      </c>
      <c r="T149" s="29">
        <f t="shared" si="4"/>
        <v>7.0000000000000007E-2</v>
      </c>
      <c r="U149" s="29">
        <f t="shared" si="4"/>
        <v>8.199999999999999E-2</v>
      </c>
      <c r="V149" s="29">
        <f t="shared" ref="V149" si="5">V142</f>
        <v>9.6000000000000002E-2</v>
      </c>
      <c r="W149" s="117" t="s">
        <v>344</v>
      </c>
      <c r="X149" s="117" t="s">
        <v>344</v>
      </c>
    </row>
    <row r="150" spans="1:24" x14ac:dyDescent="0.2">
      <c r="A150" s="30" t="s">
        <v>207</v>
      </c>
      <c r="B150" s="16" t="s">
        <v>181</v>
      </c>
      <c r="C150" s="17" t="s">
        <v>120</v>
      </c>
      <c r="D150" s="29">
        <f>D144</f>
        <v>0.05</v>
      </c>
      <c r="E150" s="29">
        <f t="shared" ref="E150:U150" si="6">E144</f>
        <v>5.4000000000000006E-2</v>
      </c>
      <c r="F150" s="29">
        <f t="shared" si="6"/>
        <v>5.4000000000000006E-2</v>
      </c>
      <c r="G150" s="29">
        <f t="shared" si="6"/>
        <v>5.5999999999999994E-2</v>
      </c>
      <c r="H150" s="29">
        <f t="shared" si="6"/>
        <v>6.2E-2</v>
      </c>
      <c r="I150" s="29">
        <f t="shared" si="6"/>
        <v>5.9000000000000004E-2</v>
      </c>
      <c r="J150" s="29">
        <f t="shared" si="6"/>
        <v>6.4000000000000001E-2</v>
      </c>
      <c r="K150" s="29">
        <f t="shared" si="6"/>
        <v>6.6000000000000003E-2</v>
      </c>
      <c r="L150" s="29">
        <f t="shared" si="6"/>
        <v>6.2E-2</v>
      </c>
      <c r="M150" s="29">
        <f t="shared" si="6"/>
        <v>0.06</v>
      </c>
      <c r="N150" s="29">
        <f t="shared" si="6"/>
        <v>5.7999999999999996E-2</v>
      </c>
      <c r="O150" s="29">
        <f t="shared" si="6"/>
        <v>5.9000000000000004E-2</v>
      </c>
      <c r="P150" s="29">
        <f t="shared" si="6"/>
        <v>7.0999999999999994E-2</v>
      </c>
      <c r="Q150" s="29">
        <f t="shared" si="6"/>
        <v>7.400000000000001E-2</v>
      </c>
      <c r="R150" s="29">
        <f t="shared" si="6"/>
        <v>7.6999999999999999E-2</v>
      </c>
      <c r="S150" s="29">
        <f t="shared" si="6"/>
        <v>7.9000000000000001E-2</v>
      </c>
      <c r="T150" s="29">
        <f t="shared" si="6"/>
        <v>0.106</v>
      </c>
      <c r="U150" s="29">
        <f t="shared" si="6"/>
        <v>0.11</v>
      </c>
      <c r="V150" s="29">
        <f t="shared" ref="V150" si="7">V144</f>
        <v>0.11199999999999999</v>
      </c>
      <c r="W150" s="117" t="s">
        <v>344</v>
      </c>
      <c r="X150" s="117" t="s">
        <v>344</v>
      </c>
    </row>
    <row r="151" spans="1:24" x14ac:dyDescent="0.2">
      <c r="A151" s="30" t="s">
        <v>207</v>
      </c>
      <c r="B151" s="16" t="s">
        <v>181</v>
      </c>
      <c r="C151" s="17" t="s">
        <v>46</v>
      </c>
      <c r="D151" s="29">
        <v>1.4999999999999999E-2</v>
      </c>
      <c r="E151" s="29">
        <v>1.4999999999999999E-2</v>
      </c>
      <c r="F151" s="29">
        <v>1.4999999999999999E-2</v>
      </c>
      <c r="G151" s="29">
        <v>1.4999999999999999E-2</v>
      </c>
      <c r="H151" s="29">
        <v>1.6E-2</v>
      </c>
      <c r="I151" s="29">
        <v>1.7000000000000001E-2</v>
      </c>
      <c r="J151" s="29">
        <v>1.7000000000000001E-2</v>
      </c>
      <c r="K151" s="29">
        <v>1.7000000000000001E-2</v>
      </c>
      <c r="L151" s="29">
        <v>1.8000000000000002E-2</v>
      </c>
      <c r="M151" s="29">
        <v>1.8000000000000002E-2</v>
      </c>
      <c r="N151" s="29">
        <v>1.8000000000000002E-2</v>
      </c>
      <c r="O151" s="29">
        <v>1.9E-2</v>
      </c>
      <c r="P151" s="29">
        <v>0.02</v>
      </c>
      <c r="Q151" s="29">
        <v>0.02</v>
      </c>
      <c r="R151" s="29">
        <v>0.02</v>
      </c>
      <c r="S151" s="29">
        <v>0.02</v>
      </c>
      <c r="T151" s="29">
        <v>2.6000000000000002E-2</v>
      </c>
      <c r="U151" s="29">
        <v>2.8999999999999998E-2</v>
      </c>
      <c r="V151" s="29">
        <v>0.03</v>
      </c>
      <c r="W151" s="117" t="s">
        <v>344</v>
      </c>
      <c r="X151" s="117" t="s">
        <v>344</v>
      </c>
    </row>
    <row r="152" spans="1:24" ht="31.5" customHeight="1" x14ac:dyDescent="0.2">
      <c r="A152" s="30" t="s">
        <v>207</v>
      </c>
      <c r="B152" s="17" t="s">
        <v>47</v>
      </c>
      <c r="C152" s="17" t="s">
        <v>22</v>
      </c>
      <c r="D152" s="29">
        <v>7.2999999999999995E-2</v>
      </c>
      <c r="E152" s="29">
        <v>7.2999999999999995E-2</v>
      </c>
      <c r="F152" s="29">
        <v>6.9000000000000006E-2</v>
      </c>
      <c r="G152" s="29">
        <v>6.7000000000000004E-2</v>
      </c>
      <c r="H152" s="29">
        <v>7.8E-2</v>
      </c>
      <c r="I152" s="29">
        <v>7.400000000000001E-2</v>
      </c>
      <c r="J152" s="29">
        <v>7.400000000000001E-2</v>
      </c>
      <c r="K152" s="29">
        <v>7.8E-2</v>
      </c>
      <c r="L152" s="29">
        <v>7.9000000000000001E-2</v>
      </c>
      <c r="M152" s="29">
        <v>7.4999999999999997E-2</v>
      </c>
      <c r="N152" s="29">
        <v>8.5999999999999993E-2</v>
      </c>
      <c r="O152" s="29">
        <v>8.1000000000000003E-2</v>
      </c>
      <c r="P152" s="29">
        <v>0.1</v>
      </c>
      <c r="Q152" s="29">
        <v>9.5000000000000001E-2</v>
      </c>
      <c r="R152" s="29">
        <v>0.111</v>
      </c>
      <c r="S152" s="29">
        <v>9.9000000000000005E-2</v>
      </c>
      <c r="T152" s="29">
        <v>0.14199999999999999</v>
      </c>
      <c r="U152" s="29">
        <v>0.153</v>
      </c>
      <c r="V152" s="29">
        <v>0.153</v>
      </c>
      <c r="W152" s="117" t="s">
        <v>344</v>
      </c>
      <c r="X152" s="117" t="s">
        <v>344</v>
      </c>
    </row>
    <row r="153" spans="1:24" x14ac:dyDescent="0.2">
      <c r="A153" s="30" t="s">
        <v>207</v>
      </c>
      <c r="B153" s="16" t="s">
        <v>47</v>
      </c>
      <c r="C153" s="17" t="s">
        <v>23</v>
      </c>
      <c r="D153" s="29">
        <v>6.7000000000000004E-2</v>
      </c>
      <c r="E153" s="29">
        <v>7.8E-2</v>
      </c>
      <c r="F153" s="29">
        <v>7.8E-2</v>
      </c>
      <c r="G153" s="29">
        <v>7.4999999999999997E-2</v>
      </c>
      <c r="H153" s="29">
        <v>7.0000000000000007E-2</v>
      </c>
      <c r="I153" s="29">
        <v>0.08</v>
      </c>
      <c r="J153" s="29">
        <v>8.3000000000000004E-2</v>
      </c>
      <c r="K153" s="29">
        <v>8.6999999999999994E-2</v>
      </c>
      <c r="L153" s="29">
        <v>9.1999999999999998E-2</v>
      </c>
      <c r="M153" s="29">
        <v>9.5000000000000001E-2</v>
      </c>
      <c r="N153" s="29">
        <v>0.09</v>
      </c>
      <c r="O153" s="29">
        <v>0.1</v>
      </c>
      <c r="P153" s="29">
        <v>0.109</v>
      </c>
      <c r="Q153" s="29">
        <v>0.105</v>
      </c>
      <c r="R153" s="29">
        <v>0.114</v>
      </c>
      <c r="S153" s="29">
        <v>0.105</v>
      </c>
      <c r="T153" s="29">
        <v>0.14099999999999999</v>
      </c>
      <c r="U153" s="29">
        <v>0.128</v>
      </c>
      <c r="V153" s="29">
        <v>0.14599999999999999</v>
      </c>
      <c r="W153" s="117" t="s">
        <v>344</v>
      </c>
      <c r="X153" s="117" t="s">
        <v>344</v>
      </c>
    </row>
    <row r="154" spans="1:24" x14ac:dyDescent="0.2">
      <c r="A154" s="30" t="s">
        <v>207</v>
      </c>
      <c r="B154" s="16" t="s">
        <v>47</v>
      </c>
      <c r="C154" s="17" t="s">
        <v>29</v>
      </c>
      <c r="D154" s="29">
        <v>7.4999999999999997E-2</v>
      </c>
      <c r="E154" s="29">
        <v>7.0000000000000007E-2</v>
      </c>
      <c r="F154" s="29">
        <v>6.8000000000000005E-2</v>
      </c>
      <c r="G154" s="29">
        <v>6.7000000000000004E-2</v>
      </c>
      <c r="H154" s="29">
        <v>7.6999999999999999E-2</v>
      </c>
      <c r="I154" s="29">
        <v>8.5000000000000006E-2</v>
      </c>
      <c r="J154" s="29">
        <v>9.0999999999999998E-2</v>
      </c>
      <c r="K154" s="29">
        <v>9.1999999999999998E-2</v>
      </c>
      <c r="L154" s="29">
        <v>8.3000000000000004E-2</v>
      </c>
      <c r="M154" s="29">
        <v>9.4E-2</v>
      </c>
      <c r="N154" s="29">
        <v>9.9000000000000005E-2</v>
      </c>
      <c r="O154" s="29">
        <v>0.10199999999999999</v>
      </c>
      <c r="P154" s="29">
        <v>0.106</v>
      </c>
      <c r="Q154" s="29">
        <v>0.09</v>
      </c>
      <c r="R154" s="29">
        <v>9.1999999999999998E-2</v>
      </c>
      <c r="S154" s="29">
        <v>9.9000000000000005E-2</v>
      </c>
      <c r="T154" s="29">
        <v>0.111</v>
      </c>
      <c r="U154" s="29">
        <v>0.157</v>
      </c>
      <c r="V154" s="29">
        <v>0.13100000000000001</v>
      </c>
      <c r="W154" s="117" t="s">
        <v>344</v>
      </c>
      <c r="X154" s="117" t="s">
        <v>344</v>
      </c>
    </row>
    <row r="155" spans="1:24" x14ac:dyDescent="0.2">
      <c r="A155" s="30" t="s">
        <v>207</v>
      </c>
      <c r="B155" s="16" t="s">
        <v>47</v>
      </c>
      <c r="C155" s="17" t="s">
        <v>24</v>
      </c>
      <c r="D155" s="29">
        <v>7.0000000000000007E-2</v>
      </c>
      <c r="E155" s="29">
        <v>7.6999999999999999E-2</v>
      </c>
      <c r="F155" s="29">
        <v>8.4000000000000005E-2</v>
      </c>
      <c r="G155" s="29">
        <v>8.8000000000000009E-2</v>
      </c>
      <c r="H155" s="29">
        <v>8.8000000000000009E-2</v>
      </c>
      <c r="I155" s="29">
        <v>0.09</v>
      </c>
      <c r="J155" s="29">
        <v>8.6999999999999994E-2</v>
      </c>
      <c r="K155" s="29">
        <v>9.6999999999999989E-2</v>
      </c>
      <c r="L155" s="29">
        <v>0.113</v>
      </c>
      <c r="M155" s="29">
        <v>9.5000000000000001E-2</v>
      </c>
      <c r="N155" s="29">
        <v>9.4E-2</v>
      </c>
      <c r="O155" s="29">
        <v>0.10300000000000001</v>
      </c>
      <c r="P155" s="29">
        <v>0.1</v>
      </c>
      <c r="Q155" s="29">
        <v>8.900000000000001E-2</v>
      </c>
      <c r="R155" s="29">
        <v>0.11199999999999999</v>
      </c>
      <c r="S155" s="29">
        <v>0.11199999999999999</v>
      </c>
      <c r="T155" s="29">
        <v>0.13</v>
      </c>
      <c r="U155" s="29">
        <v>0.14499999999999999</v>
      </c>
      <c r="V155" s="29">
        <v>0.192</v>
      </c>
      <c r="W155" s="117" t="s">
        <v>344</v>
      </c>
      <c r="X155" s="117" t="s">
        <v>344</v>
      </c>
    </row>
    <row r="156" spans="1:24" x14ac:dyDescent="0.2">
      <c r="A156" s="30" t="s">
        <v>207</v>
      </c>
      <c r="B156" s="16" t="s">
        <v>47</v>
      </c>
      <c r="C156" s="17" t="s">
        <v>25</v>
      </c>
      <c r="D156" s="29">
        <v>7.2000000000000008E-2</v>
      </c>
      <c r="E156" s="29">
        <v>7.0000000000000007E-2</v>
      </c>
      <c r="F156" s="29">
        <v>6.8000000000000005E-2</v>
      </c>
      <c r="G156" s="29">
        <v>7.2999999999999995E-2</v>
      </c>
      <c r="H156" s="29">
        <v>0.08</v>
      </c>
      <c r="I156" s="29">
        <v>7.2000000000000008E-2</v>
      </c>
      <c r="J156" s="29">
        <v>7.2999999999999995E-2</v>
      </c>
      <c r="K156" s="29">
        <v>6.9000000000000006E-2</v>
      </c>
      <c r="L156" s="29">
        <v>8.1000000000000003E-2</v>
      </c>
      <c r="M156" s="29">
        <v>7.9000000000000001E-2</v>
      </c>
      <c r="N156" s="29">
        <v>8.4000000000000005E-2</v>
      </c>
      <c r="O156" s="29">
        <v>9.4E-2</v>
      </c>
      <c r="P156" s="29">
        <v>0.10400000000000001</v>
      </c>
      <c r="Q156" s="29">
        <v>0.11699999999999999</v>
      </c>
      <c r="R156" s="29">
        <v>8.5999999999999993E-2</v>
      </c>
      <c r="S156" s="29">
        <v>8.5999999999999993E-2</v>
      </c>
      <c r="T156" s="29">
        <v>0.11599999999999999</v>
      </c>
      <c r="U156" s="29">
        <v>0.124</v>
      </c>
      <c r="V156" s="29">
        <v>0.151</v>
      </c>
      <c r="W156" s="117" t="s">
        <v>344</v>
      </c>
      <c r="X156" s="117" t="s">
        <v>344</v>
      </c>
    </row>
    <row r="157" spans="1:24" x14ac:dyDescent="0.2">
      <c r="A157" s="30" t="s">
        <v>207</v>
      </c>
      <c r="B157" s="16" t="s">
        <v>47</v>
      </c>
      <c r="C157" s="17" t="s">
        <v>2</v>
      </c>
      <c r="D157" s="29">
        <v>0.11</v>
      </c>
      <c r="E157" s="29">
        <v>0.11199999999999999</v>
      </c>
      <c r="F157" s="29">
        <v>0.12</v>
      </c>
      <c r="G157" s="29">
        <v>0.14199999999999999</v>
      </c>
      <c r="H157" s="29">
        <v>0.14499999999999999</v>
      </c>
      <c r="I157" s="29">
        <v>0.151</v>
      </c>
      <c r="J157" s="29">
        <v>0.13100000000000001</v>
      </c>
      <c r="K157" s="29">
        <v>0.16300000000000001</v>
      </c>
      <c r="L157" s="29">
        <v>0.16899999999999998</v>
      </c>
      <c r="M157" s="29">
        <v>0.151</v>
      </c>
      <c r="N157" s="29">
        <v>0.14800000000000002</v>
      </c>
      <c r="O157" s="29">
        <v>0.12300000000000001</v>
      </c>
      <c r="P157" s="29">
        <v>0.13</v>
      </c>
      <c r="Q157" s="29">
        <v>0.11599999999999999</v>
      </c>
      <c r="R157" s="29">
        <v>0.11900000000000001</v>
      </c>
      <c r="S157" s="29">
        <v>0.12300000000000001</v>
      </c>
      <c r="T157" s="29">
        <v>0.16399999999999998</v>
      </c>
      <c r="U157" s="29" t="s">
        <v>256</v>
      </c>
      <c r="V157" s="29">
        <v>0.16699999999999998</v>
      </c>
      <c r="W157" s="117" t="s">
        <v>344</v>
      </c>
      <c r="X157" s="117" t="s">
        <v>344</v>
      </c>
    </row>
    <row r="158" spans="1:24" x14ac:dyDescent="0.2">
      <c r="A158" s="30" t="s">
        <v>207</v>
      </c>
      <c r="B158" s="16" t="s">
        <v>47</v>
      </c>
      <c r="C158" s="17" t="s">
        <v>3</v>
      </c>
      <c r="D158" s="29">
        <v>7.0000000000000007E-2</v>
      </c>
      <c r="E158" s="29">
        <v>6.9000000000000006E-2</v>
      </c>
      <c r="F158" s="29">
        <v>7.2999999999999995E-2</v>
      </c>
      <c r="G158" s="29">
        <v>0.08</v>
      </c>
      <c r="H158" s="29">
        <v>8.900000000000001E-2</v>
      </c>
      <c r="I158" s="29">
        <v>8.3000000000000004E-2</v>
      </c>
      <c r="J158" s="29">
        <v>8.4000000000000005E-2</v>
      </c>
      <c r="K158" s="29">
        <v>9.6000000000000002E-2</v>
      </c>
      <c r="L158" s="29">
        <v>8.8000000000000009E-2</v>
      </c>
      <c r="M158" s="29">
        <v>8.5000000000000006E-2</v>
      </c>
      <c r="N158" s="29">
        <v>8.1000000000000003E-2</v>
      </c>
      <c r="O158" s="29">
        <v>8.199999999999999E-2</v>
      </c>
      <c r="P158" s="29">
        <v>9.4E-2</v>
      </c>
      <c r="Q158" s="29">
        <v>0.109</v>
      </c>
      <c r="R158" s="29">
        <v>0.115</v>
      </c>
      <c r="S158" s="29">
        <v>0.11900000000000001</v>
      </c>
      <c r="T158" s="29">
        <v>0.151</v>
      </c>
      <c r="U158" s="29">
        <v>0.154</v>
      </c>
      <c r="V158" s="29">
        <v>0.153</v>
      </c>
      <c r="W158" s="117" t="s">
        <v>344</v>
      </c>
      <c r="X158" s="117" t="s">
        <v>344</v>
      </c>
    </row>
    <row r="159" spans="1:24" x14ac:dyDescent="0.2">
      <c r="A159" s="30" t="s">
        <v>207</v>
      </c>
      <c r="B159" s="16" t="s">
        <v>47</v>
      </c>
      <c r="C159" s="17" t="s">
        <v>30</v>
      </c>
      <c r="D159" s="29">
        <v>6.0999999999999999E-2</v>
      </c>
      <c r="E159" s="29">
        <v>6.2E-2</v>
      </c>
      <c r="F159" s="29">
        <v>6.4000000000000001E-2</v>
      </c>
      <c r="G159" s="29">
        <v>6.5000000000000002E-2</v>
      </c>
      <c r="H159" s="29">
        <v>6.9000000000000006E-2</v>
      </c>
      <c r="I159" s="29">
        <v>7.2999999999999995E-2</v>
      </c>
      <c r="J159" s="29">
        <v>7.0999999999999994E-2</v>
      </c>
      <c r="K159" s="29">
        <v>7.8E-2</v>
      </c>
      <c r="L159" s="29">
        <v>7.0000000000000007E-2</v>
      </c>
      <c r="M159" s="29">
        <v>7.6999999999999999E-2</v>
      </c>
      <c r="N159" s="29">
        <v>7.2999999999999995E-2</v>
      </c>
      <c r="O159" s="29">
        <v>7.8E-2</v>
      </c>
      <c r="P159" s="29">
        <v>8.4000000000000005E-2</v>
      </c>
      <c r="Q159" s="29">
        <v>8.3000000000000004E-2</v>
      </c>
      <c r="R159" s="29">
        <v>7.8E-2</v>
      </c>
      <c r="S159" s="29">
        <v>7.9000000000000001E-2</v>
      </c>
      <c r="T159" s="29">
        <v>0.10199999999999999</v>
      </c>
      <c r="U159" s="29">
        <v>0.14599999999999999</v>
      </c>
      <c r="V159" s="29">
        <v>0.125</v>
      </c>
      <c r="W159" s="117" t="s">
        <v>344</v>
      </c>
      <c r="X159" s="117" t="s">
        <v>344</v>
      </c>
    </row>
    <row r="160" spans="1:24" x14ac:dyDescent="0.2">
      <c r="A160" s="30" t="s">
        <v>207</v>
      </c>
      <c r="B160" s="16" t="s">
        <v>47</v>
      </c>
      <c r="C160" s="17" t="s">
        <v>4</v>
      </c>
      <c r="D160" s="29">
        <v>6.6000000000000003E-2</v>
      </c>
      <c r="E160" s="29">
        <v>6.4000000000000001E-2</v>
      </c>
      <c r="F160" s="29">
        <v>7.0999999999999994E-2</v>
      </c>
      <c r="G160" s="29">
        <v>7.0000000000000007E-2</v>
      </c>
      <c r="H160" s="29">
        <v>7.0999999999999994E-2</v>
      </c>
      <c r="I160" s="29">
        <v>7.2000000000000008E-2</v>
      </c>
      <c r="J160" s="29">
        <v>7.400000000000001E-2</v>
      </c>
      <c r="K160" s="29">
        <v>7.9000000000000001E-2</v>
      </c>
      <c r="L160" s="29">
        <v>8.1000000000000003E-2</v>
      </c>
      <c r="M160" s="29">
        <v>8.1000000000000003E-2</v>
      </c>
      <c r="N160" s="29">
        <v>9.4E-2</v>
      </c>
      <c r="O160" s="29">
        <v>9.6000000000000002E-2</v>
      </c>
      <c r="P160" s="29">
        <v>0.105</v>
      </c>
      <c r="Q160" s="29">
        <v>0.10400000000000001</v>
      </c>
      <c r="R160" s="29">
        <v>9.9000000000000005E-2</v>
      </c>
      <c r="S160" s="29">
        <v>0.10300000000000001</v>
      </c>
      <c r="T160" s="29">
        <v>0.127</v>
      </c>
      <c r="U160" s="29">
        <v>0.13900000000000001</v>
      </c>
      <c r="V160" s="29">
        <v>0.155</v>
      </c>
      <c r="W160" s="117" t="s">
        <v>344</v>
      </c>
      <c r="X160" s="117" t="s">
        <v>344</v>
      </c>
    </row>
    <row r="161" spans="1:24" x14ac:dyDescent="0.2">
      <c r="A161" s="30" t="s">
        <v>207</v>
      </c>
      <c r="B161" s="16" t="s">
        <v>47</v>
      </c>
      <c r="C161" s="17" t="s">
        <v>32</v>
      </c>
      <c r="D161" s="29">
        <v>7.0000000000000007E-2</v>
      </c>
      <c r="E161" s="29">
        <v>6.9000000000000006E-2</v>
      </c>
      <c r="F161" s="29">
        <v>7.0000000000000007E-2</v>
      </c>
      <c r="G161" s="29">
        <v>8.1000000000000003E-2</v>
      </c>
      <c r="H161" s="29">
        <v>8.3000000000000004E-2</v>
      </c>
      <c r="I161" s="29">
        <v>0.09</v>
      </c>
      <c r="J161" s="29">
        <v>8.3000000000000004E-2</v>
      </c>
      <c r="K161" s="29">
        <v>8.6999999999999994E-2</v>
      </c>
      <c r="L161" s="29">
        <v>8.6999999999999994E-2</v>
      </c>
      <c r="M161" s="29">
        <v>9.1999999999999998E-2</v>
      </c>
      <c r="N161" s="29">
        <v>0.10400000000000001</v>
      </c>
      <c r="O161" s="29">
        <v>9.5000000000000001E-2</v>
      </c>
      <c r="P161" s="29">
        <v>9.3000000000000013E-2</v>
      </c>
      <c r="Q161" s="29">
        <v>9.4E-2</v>
      </c>
      <c r="R161" s="29">
        <v>9.4E-2</v>
      </c>
      <c r="S161" s="29">
        <v>8.8000000000000009E-2</v>
      </c>
      <c r="T161" s="29">
        <v>0.10800000000000001</v>
      </c>
      <c r="U161" s="29">
        <v>0.13699999999999998</v>
      </c>
      <c r="V161" s="29">
        <v>0.13600000000000001</v>
      </c>
      <c r="W161" s="117" t="s">
        <v>344</v>
      </c>
      <c r="X161" s="117" t="s">
        <v>344</v>
      </c>
    </row>
    <row r="162" spans="1:24" x14ac:dyDescent="0.2">
      <c r="A162" s="30" t="s">
        <v>207</v>
      </c>
      <c r="B162" s="16" t="s">
        <v>47</v>
      </c>
      <c r="C162" s="17" t="s">
        <v>5</v>
      </c>
      <c r="D162" s="29">
        <v>8.5000000000000006E-2</v>
      </c>
      <c r="E162" s="29">
        <v>8.3000000000000004E-2</v>
      </c>
      <c r="F162" s="29">
        <v>7.6999999999999999E-2</v>
      </c>
      <c r="G162" s="29">
        <v>7.2999999999999995E-2</v>
      </c>
      <c r="H162" s="29">
        <v>7.400000000000001E-2</v>
      </c>
      <c r="I162" s="29">
        <v>8.3000000000000004E-2</v>
      </c>
      <c r="J162" s="29">
        <v>9.8000000000000004E-2</v>
      </c>
      <c r="K162" s="29">
        <v>0.10300000000000001</v>
      </c>
      <c r="L162" s="29">
        <v>0.10099999999999999</v>
      </c>
      <c r="M162" s="29">
        <v>9.6000000000000002E-2</v>
      </c>
      <c r="N162" s="29">
        <v>0.10400000000000001</v>
      </c>
      <c r="O162" s="29">
        <v>0.1</v>
      </c>
      <c r="P162" s="29">
        <v>0.10800000000000001</v>
      </c>
      <c r="Q162" s="29">
        <v>0.10099999999999999</v>
      </c>
      <c r="R162" s="29">
        <v>9.5000000000000001E-2</v>
      </c>
      <c r="S162" s="29">
        <v>0.11199999999999999</v>
      </c>
      <c r="T162" s="29">
        <v>0.14099999999999999</v>
      </c>
      <c r="U162" s="29">
        <v>0.17300000000000001</v>
      </c>
      <c r="V162" s="29">
        <v>0.156</v>
      </c>
      <c r="W162" s="117" t="s">
        <v>344</v>
      </c>
      <c r="X162" s="117" t="s">
        <v>344</v>
      </c>
    </row>
    <row r="163" spans="1:24" x14ac:dyDescent="0.2">
      <c r="A163" s="30" t="s">
        <v>207</v>
      </c>
      <c r="B163" s="16" t="s">
        <v>47</v>
      </c>
      <c r="C163" s="17" t="s">
        <v>6</v>
      </c>
      <c r="D163" s="29">
        <v>7.6999999999999999E-2</v>
      </c>
      <c r="E163" s="29">
        <v>7.0000000000000007E-2</v>
      </c>
      <c r="F163" s="29">
        <v>7.2999999999999995E-2</v>
      </c>
      <c r="G163" s="29">
        <v>7.0999999999999994E-2</v>
      </c>
      <c r="H163" s="29">
        <v>7.5999999999999998E-2</v>
      </c>
      <c r="I163" s="29">
        <v>8.3000000000000004E-2</v>
      </c>
      <c r="J163" s="29">
        <v>7.8E-2</v>
      </c>
      <c r="K163" s="29">
        <v>0.09</v>
      </c>
      <c r="L163" s="29">
        <v>9.1999999999999998E-2</v>
      </c>
      <c r="M163" s="29">
        <v>9.1999999999999998E-2</v>
      </c>
      <c r="N163" s="29">
        <v>0.09</v>
      </c>
      <c r="O163" s="29">
        <v>9.6999999999999989E-2</v>
      </c>
      <c r="P163" s="29">
        <v>9.6999999999999989E-2</v>
      </c>
      <c r="Q163" s="29">
        <v>0.111</v>
      </c>
      <c r="R163" s="29">
        <v>9.5000000000000001E-2</v>
      </c>
      <c r="S163" s="29">
        <v>0.10300000000000001</v>
      </c>
      <c r="T163" s="29">
        <v>0.11800000000000001</v>
      </c>
      <c r="U163" s="29">
        <v>0.13699999999999998</v>
      </c>
      <c r="V163" s="29">
        <v>0.15</v>
      </c>
      <c r="W163" s="117" t="s">
        <v>344</v>
      </c>
      <c r="X163" s="117" t="s">
        <v>344</v>
      </c>
    </row>
    <row r="164" spans="1:24" x14ac:dyDescent="0.2">
      <c r="A164" s="30" t="s">
        <v>207</v>
      </c>
      <c r="B164" s="16" t="s">
        <v>47</v>
      </c>
      <c r="C164" s="17" t="s">
        <v>8</v>
      </c>
      <c r="D164" s="29">
        <v>6.8000000000000005E-2</v>
      </c>
      <c r="E164" s="29">
        <v>7.2999999999999995E-2</v>
      </c>
      <c r="F164" s="29">
        <v>6.7000000000000004E-2</v>
      </c>
      <c r="G164" s="29">
        <v>8.1000000000000003E-2</v>
      </c>
      <c r="H164" s="29">
        <v>7.0999999999999994E-2</v>
      </c>
      <c r="I164" s="29">
        <v>8.5999999999999993E-2</v>
      </c>
      <c r="J164" s="29">
        <v>8.3000000000000004E-2</v>
      </c>
      <c r="K164" s="29">
        <v>8.5000000000000006E-2</v>
      </c>
      <c r="L164" s="29">
        <v>8.3000000000000004E-2</v>
      </c>
      <c r="M164" s="29">
        <v>8.6999999999999994E-2</v>
      </c>
      <c r="N164" s="29">
        <v>8.6999999999999994E-2</v>
      </c>
      <c r="O164" s="29">
        <v>8.1000000000000003E-2</v>
      </c>
      <c r="P164" s="29">
        <v>9.1999999999999998E-2</v>
      </c>
      <c r="Q164" s="29">
        <v>9.5000000000000001E-2</v>
      </c>
      <c r="R164" s="29">
        <v>9.9000000000000005E-2</v>
      </c>
      <c r="S164" s="29">
        <v>0.106</v>
      </c>
      <c r="T164" s="29">
        <v>0.13900000000000001</v>
      </c>
      <c r="U164" s="29">
        <v>0.14300000000000002</v>
      </c>
      <c r="V164" s="29">
        <v>0.14000000000000001</v>
      </c>
      <c r="W164" s="117" t="s">
        <v>344</v>
      </c>
      <c r="X164" s="117" t="s">
        <v>344</v>
      </c>
    </row>
    <row r="165" spans="1:24" x14ac:dyDescent="0.2">
      <c r="A165" s="30" t="s">
        <v>207</v>
      </c>
      <c r="B165" s="16" t="s">
        <v>47</v>
      </c>
      <c r="C165" s="17" t="s">
        <v>9</v>
      </c>
      <c r="D165" s="29">
        <v>6.7000000000000004E-2</v>
      </c>
      <c r="E165" s="29">
        <v>7.2000000000000008E-2</v>
      </c>
      <c r="F165" s="29">
        <v>7.6999999999999999E-2</v>
      </c>
      <c r="G165" s="29">
        <v>0.08</v>
      </c>
      <c r="H165" s="29">
        <v>0.09</v>
      </c>
      <c r="I165" s="29">
        <v>8.900000000000001E-2</v>
      </c>
      <c r="J165" s="29">
        <v>0.08</v>
      </c>
      <c r="K165" s="29">
        <v>7.9000000000000001E-2</v>
      </c>
      <c r="L165" s="29">
        <v>8.1000000000000003E-2</v>
      </c>
      <c r="M165" s="29">
        <v>8.5000000000000006E-2</v>
      </c>
      <c r="N165" s="29">
        <v>8.8000000000000009E-2</v>
      </c>
      <c r="O165" s="29">
        <v>9.6999999999999989E-2</v>
      </c>
      <c r="P165" s="29">
        <v>0.11199999999999999</v>
      </c>
      <c r="Q165" s="29">
        <v>0.10099999999999999</v>
      </c>
      <c r="R165" s="29">
        <v>0.11199999999999999</v>
      </c>
      <c r="S165" s="29">
        <v>9.8000000000000004E-2</v>
      </c>
      <c r="T165" s="29">
        <v>0.13</v>
      </c>
      <c r="U165" s="29">
        <v>0.14599999999999999</v>
      </c>
      <c r="V165" s="29">
        <v>0.124</v>
      </c>
      <c r="W165" s="117" t="s">
        <v>344</v>
      </c>
      <c r="X165" s="117" t="s">
        <v>344</v>
      </c>
    </row>
    <row r="166" spans="1:24" x14ac:dyDescent="0.2">
      <c r="A166" s="30" t="s">
        <v>207</v>
      </c>
      <c r="B166" s="16" t="s">
        <v>47</v>
      </c>
      <c r="C166" s="17" t="s">
        <v>33</v>
      </c>
      <c r="D166" s="29">
        <v>6.6000000000000003E-2</v>
      </c>
      <c r="E166" s="29">
        <v>6.7000000000000004E-2</v>
      </c>
      <c r="F166" s="29">
        <v>6.9000000000000006E-2</v>
      </c>
      <c r="G166" s="29">
        <v>5.9000000000000004E-2</v>
      </c>
      <c r="H166" s="29">
        <v>5.9000000000000004E-2</v>
      </c>
      <c r="I166" s="29">
        <v>5.5999999999999994E-2</v>
      </c>
      <c r="J166" s="29">
        <v>5.5999999999999994E-2</v>
      </c>
      <c r="K166" s="29">
        <v>6.6000000000000003E-2</v>
      </c>
      <c r="L166" s="29">
        <v>7.0000000000000007E-2</v>
      </c>
      <c r="M166" s="29">
        <v>8.3000000000000004E-2</v>
      </c>
      <c r="N166" s="29">
        <v>7.9000000000000001E-2</v>
      </c>
      <c r="O166" s="29">
        <v>7.8E-2</v>
      </c>
      <c r="P166" s="29">
        <v>8.199999999999999E-2</v>
      </c>
      <c r="Q166" s="29">
        <v>7.6999999999999999E-2</v>
      </c>
      <c r="R166" s="29">
        <v>7.8E-2</v>
      </c>
      <c r="S166" s="29">
        <v>7.0000000000000007E-2</v>
      </c>
      <c r="T166" s="29">
        <v>0.10800000000000001</v>
      </c>
      <c r="U166" s="29">
        <v>0.10800000000000001</v>
      </c>
      <c r="V166" s="29">
        <v>0.109</v>
      </c>
      <c r="W166" s="117" t="s">
        <v>344</v>
      </c>
      <c r="X166" s="117" t="s">
        <v>344</v>
      </c>
    </row>
    <row r="167" spans="1:24" x14ac:dyDescent="0.2">
      <c r="A167" s="30" t="s">
        <v>207</v>
      </c>
      <c r="B167" s="16" t="s">
        <v>47</v>
      </c>
      <c r="C167" s="17" t="s">
        <v>10</v>
      </c>
      <c r="D167" s="29">
        <v>7.2000000000000008E-2</v>
      </c>
      <c r="E167" s="29">
        <v>7.6999999999999999E-2</v>
      </c>
      <c r="F167" s="29">
        <v>9.6000000000000002E-2</v>
      </c>
      <c r="G167" s="29">
        <v>9.6999999999999989E-2</v>
      </c>
      <c r="H167" s="29">
        <v>0.09</v>
      </c>
      <c r="I167" s="29">
        <v>9.3000000000000013E-2</v>
      </c>
      <c r="J167" s="29">
        <v>8.6999999999999994E-2</v>
      </c>
      <c r="K167" s="29">
        <v>8.6999999999999994E-2</v>
      </c>
      <c r="L167" s="29">
        <v>0.1</v>
      </c>
      <c r="M167" s="29">
        <v>0.114</v>
      </c>
      <c r="N167" s="29">
        <v>0.106</v>
      </c>
      <c r="O167" s="29">
        <v>9.8000000000000004E-2</v>
      </c>
      <c r="P167" s="29">
        <v>0.122</v>
      </c>
      <c r="Q167" s="29">
        <v>0.11900000000000001</v>
      </c>
      <c r="R167" s="29">
        <v>0.125</v>
      </c>
      <c r="S167" s="29">
        <v>0.156</v>
      </c>
      <c r="T167" s="29">
        <v>0.159</v>
      </c>
      <c r="U167" s="29">
        <v>0.17</v>
      </c>
      <c r="V167" s="29">
        <v>0.23</v>
      </c>
      <c r="W167" s="117" t="s">
        <v>344</v>
      </c>
      <c r="X167" s="117" t="s">
        <v>344</v>
      </c>
    </row>
    <row r="168" spans="1:24" x14ac:dyDescent="0.2">
      <c r="A168" s="30" t="s">
        <v>207</v>
      </c>
      <c r="B168" s="16" t="s">
        <v>47</v>
      </c>
      <c r="C168" s="17" t="s">
        <v>11</v>
      </c>
      <c r="D168" s="29">
        <v>7.4999999999999997E-2</v>
      </c>
      <c r="E168" s="29">
        <v>7.2999999999999995E-2</v>
      </c>
      <c r="F168" s="29">
        <v>7.2000000000000008E-2</v>
      </c>
      <c r="G168" s="29">
        <v>8.1000000000000003E-2</v>
      </c>
      <c r="H168" s="29">
        <v>0.08</v>
      </c>
      <c r="I168" s="29">
        <v>8.8000000000000009E-2</v>
      </c>
      <c r="J168" s="29">
        <v>9.3000000000000013E-2</v>
      </c>
      <c r="K168" s="29">
        <v>8.5999999999999993E-2</v>
      </c>
      <c r="L168" s="29">
        <v>8.8000000000000009E-2</v>
      </c>
      <c r="M168" s="29">
        <v>8.900000000000001E-2</v>
      </c>
      <c r="N168" s="29">
        <v>9.1999999999999998E-2</v>
      </c>
      <c r="O168" s="29">
        <v>0.10400000000000001</v>
      </c>
      <c r="P168" s="29">
        <v>8.5000000000000006E-2</v>
      </c>
      <c r="Q168" s="29">
        <v>0.10300000000000001</v>
      </c>
      <c r="R168" s="29">
        <v>0.105</v>
      </c>
      <c r="S168" s="29">
        <v>0.115</v>
      </c>
      <c r="T168" s="29">
        <v>0.13800000000000001</v>
      </c>
      <c r="U168" s="29">
        <v>0.151</v>
      </c>
      <c r="V168" s="29">
        <v>0.17300000000000001</v>
      </c>
      <c r="W168" s="117" t="s">
        <v>344</v>
      </c>
      <c r="X168" s="117" t="s">
        <v>344</v>
      </c>
    </row>
    <row r="169" spans="1:24" x14ac:dyDescent="0.2">
      <c r="A169" s="30" t="s">
        <v>207</v>
      </c>
      <c r="B169" s="16" t="s">
        <v>47</v>
      </c>
      <c r="C169" s="17" t="s">
        <v>12</v>
      </c>
      <c r="D169" s="29">
        <v>8.1000000000000003E-2</v>
      </c>
      <c r="E169" s="29">
        <v>7.6999999999999999E-2</v>
      </c>
      <c r="F169" s="29">
        <v>9.0999999999999998E-2</v>
      </c>
      <c r="G169" s="29">
        <v>9.4E-2</v>
      </c>
      <c r="H169" s="29">
        <v>0.1</v>
      </c>
      <c r="I169" s="29">
        <v>0.10199999999999999</v>
      </c>
      <c r="J169" s="29">
        <v>0.10400000000000001</v>
      </c>
      <c r="K169" s="29">
        <v>9.8000000000000004E-2</v>
      </c>
      <c r="L169" s="29">
        <v>0.106</v>
      </c>
      <c r="M169" s="29">
        <v>9.5000000000000001E-2</v>
      </c>
      <c r="N169" s="29">
        <v>0.11</v>
      </c>
      <c r="O169" s="29">
        <v>0.11699999999999999</v>
      </c>
      <c r="P169" s="29">
        <v>0.13400000000000001</v>
      </c>
      <c r="Q169" s="29">
        <v>0.111</v>
      </c>
      <c r="R169" s="29">
        <v>0.11800000000000001</v>
      </c>
      <c r="S169" s="29">
        <v>0.11599999999999999</v>
      </c>
      <c r="T169" s="29">
        <v>0.17300000000000001</v>
      </c>
      <c r="U169" s="29">
        <v>0.16800000000000001</v>
      </c>
      <c r="V169" s="29">
        <v>0.214</v>
      </c>
      <c r="W169" s="117" t="s">
        <v>344</v>
      </c>
      <c r="X169" s="117" t="s">
        <v>344</v>
      </c>
    </row>
    <row r="170" spans="1:24" x14ac:dyDescent="0.2">
      <c r="A170" s="30" t="s">
        <v>207</v>
      </c>
      <c r="B170" s="16" t="s">
        <v>47</v>
      </c>
      <c r="C170" s="17" t="s">
        <v>13</v>
      </c>
      <c r="D170" s="29">
        <v>7.6999999999999999E-2</v>
      </c>
      <c r="E170" s="29">
        <v>7.2999999999999995E-2</v>
      </c>
      <c r="F170" s="29">
        <v>6.6000000000000003E-2</v>
      </c>
      <c r="G170" s="29">
        <v>6.5000000000000002E-2</v>
      </c>
      <c r="H170" s="29">
        <v>7.0999999999999994E-2</v>
      </c>
      <c r="I170" s="29">
        <v>8.3000000000000004E-2</v>
      </c>
      <c r="J170" s="29">
        <v>0.09</v>
      </c>
      <c r="K170" s="29">
        <v>8.199999999999999E-2</v>
      </c>
      <c r="L170" s="29">
        <v>8.6999999999999994E-2</v>
      </c>
      <c r="M170" s="29">
        <v>7.9000000000000001E-2</v>
      </c>
      <c r="N170" s="29">
        <v>8.5999999999999993E-2</v>
      </c>
      <c r="O170" s="29">
        <v>9.9000000000000005E-2</v>
      </c>
      <c r="P170" s="29">
        <v>0.10300000000000001</v>
      </c>
      <c r="Q170" s="29">
        <v>9.6999999999999989E-2</v>
      </c>
      <c r="R170" s="29">
        <v>0.10300000000000001</v>
      </c>
      <c r="S170" s="29">
        <v>0.111</v>
      </c>
      <c r="T170" s="29">
        <v>0.129</v>
      </c>
      <c r="U170" s="29">
        <v>0.155</v>
      </c>
      <c r="V170" s="29">
        <v>0.16899999999999998</v>
      </c>
      <c r="W170" s="117" t="s">
        <v>344</v>
      </c>
      <c r="X170" s="117" t="s">
        <v>344</v>
      </c>
    </row>
    <row r="171" spans="1:24" x14ac:dyDescent="0.2">
      <c r="A171" s="30" t="s">
        <v>207</v>
      </c>
      <c r="B171" s="16" t="s">
        <v>47</v>
      </c>
      <c r="C171" s="17" t="s">
        <v>7</v>
      </c>
      <c r="D171" s="29">
        <v>0.16200000000000001</v>
      </c>
      <c r="E171" s="29">
        <v>0.13900000000000001</v>
      </c>
      <c r="F171" s="29">
        <v>0.154</v>
      </c>
      <c r="G171" s="29">
        <v>0.154</v>
      </c>
      <c r="H171" s="29">
        <v>0.17899999999999999</v>
      </c>
      <c r="I171" s="29" t="s">
        <v>256</v>
      </c>
      <c r="J171" s="29" t="s">
        <v>256</v>
      </c>
      <c r="K171" s="29" t="s">
        <v>256</v>
      </c>
      <c r="L171" s="29">
        <v>0.187</v>
      </c>
      <c r="M171" s="29">
        <v>0.16300000000000001</v>
      </c>
      <c r="N171" s="29">
        <v>0.17600000000000002</v>
      </c>
      <c r="O171" s="29">
        <v>0.19800000000000001</v>
      </c>
      <c r="P171" s="29">
        <v>0.20600000000000002</v>
      </c>
      <c r="Q171" s="29">
        <v>0.155</v>
      </c>
      <c r="R171" s="29">
        <v>0.16800000000000001</v>
      </c>
      <c r="S171" s="29">
        <v>0.16800000000000001</v>
      </c>
      <c r="T171" s="29">
        <v>0.20199999999999999</v>
      </c>
      <c r="U171" s="29" t="s">
        <v>256</v>
      </c>
      <c r="V171" s="29">
        <v>0.222</v>
      </c>
      <c r="W171" s="117" t="s">
        <v>344</v>
      </c>
      <c r="X171" s="117" t="s">
        <v>344</v>
      </c>
    </row>
    <row r="172" spans="1:24" x14ac:dyDescent="0.2">
      <c r="A172" s="30" t="s">
        <v>207</v>
      </c>
      <c r="B172" s="16" t="s">
        <v>47</v>
      </c>
      <c r="C172" s="17" t="s">
        <v>14</v>
      </c>
      <c r="D172" s="29">
        <v>6.6000000000000003E-2</v>
      </c>
      <c r="E172" s="29">
        <v>6.7000000000000004E-2</v>
      </c>
      <c r="F172" s="29">
        <v>6.6000000000000003E-2</v>
      </c>
      <c r="G172" s="29">
        <v>7.2000000000000008E-2</v>
      </c>
      <c r="H172" s="29">
        <v>7.2999999999999995E-2</v>
      </c>
      <c r="I172" s="29">
        <v>8.4000000000000005E-2</v>
      </c>
      <c r="J172" s="29">
        <v>7.9000000000000001E-2</v>
      </c>
      <c r="K172" s="29">
        <v>8.199999999999999E-2</v>
      </c>
      <c r="L172" s="29">
        <v>8.5999999999999993E-2</v>
      </c>
      <c r="M172" s="29">
        <v>8.1000000000000003E-2</v>
      </c>
      <c r="N172" s="29">
        <v>8.1000000000000003E-2</v>
      </c>
      <c r="O172" s="29">
        <v>8.8000000000000009E-2</v>
      </c>
      <c r="P172" s="29">
        <v>9.4E-2</v>
      </c>
      <c r="Q172" s="29">
        <v>0.1</v>
      </c>
      <c r="R172" s="29">
        <v>0.114</v>
      </c>
      <c r="S172" s="29">
        <v>0.10800000000000001</v>
      </c>
      <c r="T172" s="29">
        <v>0.17199999999999999</v>
      </c>
      <c r="U172" s="29">
        <v>0.157</v>
      </c>
      <c r="V172" s="29">
        <v>0.17499999999999999</v>
      </c>
      <c r="W172" s="117" t="s">
        <v>344</v>
      </c>
      <c r="X172" s="117" t="s">
        <v>344</v>
      </c>
    </row>
    <row r="173" spans="1:24" x14ac:dyDescent="0.2">
      <c r="A173" s="30" t="s">
        <v>207</v>
      </c>
      <c r="B173" s="16" t="s">
        <v>47</v>
      </c>
      <c r="C173" s="17" t="s">
        <v>31</v>
      </c>
      <c r="D173" s="29">
        <v>0.06</v>
      </c>
      <c r="E173" s="29">
        <v>6.5000000000000002E-2</v>
      </c>
      <c r="F173" s="29">
        <v>6.7000000000000004E-2</v>
      </c>
      <c r="G173" s="29">
        <v>7.0999999999999994E-2</v>
      </c>
      <c r="H173" s="29">
        <v>8.1000000000000003E-2</v>
      </c>
      <c r="I173" s="29">
        <v>7.2999999999999995E-2</v>
      </c>
      <c r="J173" s="29">
        <v>7.5999999999999998E-2</v>
      </c>
      <c r="K173" s="29">
        <v>7.400000000000001E-2</v>
      </c>
      <c r="L173" s="29">
        <v>7.0000000000000007E-2</v>
      </c>
      <c r="M173" s="29">
        <v>7.400000000000001E-2</v>
      </c>
      <c r="N173" s="29">
        <v>7.6999999999999999E-2</v>
      </c>
      <c r="O173" s="29">
        <v>7.9000000000000001E-2</v>
      </c>
      <c r="P173" s="29">
        <v>0.09</v>
      </c>
      <c r="Q173" s="29">
        <v>9.9000000000000005E-2</v>
      </c>
      <c r="R173" s="29">
        <v>0.10099999999999999</v>
      </c>
      <c r="S173" s="29">
        <v>9.3000000000000013E-2</v>
      </c>
      <c r="T173" s="29">
        <v>0.12</v>
      </c>
      <c r="U173" s="29">
        <v>0.121</v>
      </c>
      <c r="V173" s="29">
        <v>0.13699999999999998</v>
      </c>
      <c r="W173" s="117" t="s">
        <v>344</v>
      </c>
      <c r="X173" s="117" t="s">
        <v>344</v>
      </c>
    </row>
    <row r="174" spans="1:24" x14ac:dyDescent="0.2">
      <c r="A174" s="30" t="s">
        <v>207</v>
      </c>
      <c r="B174" s="16" t="s">
        <v>47</v>
      </c>
      <c r="C174" s="17" t="s">
        <v>15</v>
      </c>
      <c r="D174" s="29">
        <v>0.13699999999999998</v>
      </c>
      <c r="E174" s="29">
        <v>0.13900000000000001</v>
      </c>
      <c r="F174" s="29">
        <v>0.16300000000000001</v>
      </c>
      <c r="G174" s="29">
        <v>0.16300000000000001</v>
      </c>
      <c r="H174" s="29">
        <v>0.151</v>
      </c>
      <c r="I174" s="29">
        <v>0.13600000000000001</v>
      </c>
      <c r="J174" s="29">
        <v>0.17</v>
      </c>
      <c r="K174" s="29">
        <v>0.17199999999999999</v>
      </c>
      <c r="L174" s="29">
        <v>0.21100000000000002</v>
      </c>
      <c r="M174" s="29">
        <v>0.17800000000000002</v>
      </c>
      <c r="N174" s="29">
        <v>0.17100000000000001</v>
      </c>
      <c r="O174" s="29">
        <v>0.182</v>
      </c>
      <c r="P174" s="29" t="s">
        <v>256</v>
      </c>
      <c r="Q174" s="29">
        <v>0.188</v>
      </c>
      <c r="R174" s="29">
        <v>0.187</v>
      </c>
      <c r="S174" s="29">
        <v>0.22699999999999998</v>
      </c>
      <c r="T174" s="29" t="s">
        <v>256</v>
      </c>
      <c r="U174" s="29" t="s">
        <v>256</v>
      </c>
      <c r="V174" s="29" t="s">
        <v>190</v>
      </c>
      <c r="W174" s="117" t="s">
        <v>344</v>
      </c>
      <c r="X174" s="117" t="s">
        <v>344</v>
      </c>
    </row>
    <row r="175" spans="1:24" x14ac:dyDescent="0.2">
      <c r="A175" s="30" t="s">
        <v>207</v>
      </c>
      <c r="B175" s="16" t="s">
        <v>47</v>
      </c>
      <c r="C175" s="17" t="s">
        <v>16</v>
      </c>
      <c r="D175" s="29">
        <v>8.5999999999999993E-2</v>
      </c>
      <c r="E175" s="29">
        <v>8.4000000000000005E-2</v>
      </c>
      <c r="F175" s="29">
        <v>7.6999999999999999E-2</v>
      </c>
      <c r="G175" s="29">
        <v>7.6999999999999999E-2</v>
      </c>
      <c r="H175" s="29">
        <v>0.08</v>
      </c>
      <c r="I175" s="29">
        <v>0.09</v>
      </c>
      <c r="J175" s="29">
        <v>9.6000000000000002E-2</v>
      </c>
      <c r="K175" s="29">
        <v>8.900000000000001E-2</v>
      </c>
      <c r="L175" s="29">
        <v>8.900000000000001E-2</v>
      </c>
      <c r="M175" s="29">
        <v>9.3000000000000013E-2</v>
      </c>
      <c r="N175" s="29">
        <v>9.1999999999999998E-2</v>
      </c>
      <c r="O175" s="29">
        <v>0.10400000000000001</v>
      </c>
      <c r="P175" s="29">
        <v>0.11599999999999999</v>
      </c>
      <c r="Q175" s="29">
        <v>9.8000000000000004E-2</v>
      </c>
      <c r="R175" s="29">
        <v>9.6999999999999989E-2</v>
      </c>
      <c r="S175" s="29">
        <v>8.8000000000000009E-2</v>
      </c>
      <c r="T175" s="29">
        <v>0.121</v>
      </c>
      <c r="U175" s="29">
        <v>0.14199999999999999</v>
      </c>
      <c r="V175" s="29">
        <v>0.14800000000000002</v>
      </c>
      <c r="W175" s="117" t="s">
        <v>344</v>
      </c>
      <c r="X175" s="117" t="s">
        <v>344</v>
      </c>
    </row>
    <row r="176" spans="1:24" x14ac:dyDescent="0.2">
      <c r="A176" s="30" t="s">
        <v>207</v>
      </c>
      <c r="B176" s="16" t="s">
        <v>47</v>
      </c>
      <c r="C176" s="17" t="s">
        <v>26</v>
      </c>
      <c r="D176" s="29">
        <v>6.5000000000000002E-2</v>
      </c>
      <c r="E176" s="29">
        <v>6.5000000000000002E-2</v>
      </c>
      <c r="F176" s="29">
        <v>6.9000000000000006E-2</v>
      </c>
      <c r="G176" s="29">
        <v>7.0999999999999994E-2</v>
      </c>
      <c r="H176" s="29">
        <v>6.8000000000000005E-2</v>
      </c>
      <c r="I176" s="29">
        <v>0.08</v>
      </c>
      <c r="J176" s="29">
        <v>7.5999999999999998E-2</v>
      </c>
      <c r="K176" s="29">
        <v>0.08</v>
      </c>
      <c r="L176" s="29">
        <v>8.6999999999999994E-2</v>
      </c>
      <c r="M176" s="29">
        <v>8.5999999999999993E-2</v>
      </c>
      <c r="N176" s="29">
        <v>8.900000000000001E-2</v>
      </c>
      <c r="O176" s="29">
        <v>8.900000000000001E-2</v>
      </c>
      <c r="P176" s="29">
        <v>8.4000000000000005E-2</v>
      </c>
      <c r="Q176" s="29">
        <v>8.6999999999999994E-2</v>
      </c>
      <c r="R176" s="29">
        <v>9.0999999999999998E-2</v>
      </c>
      <c r="S176" s="29">
        <v>9.8000000000000004E-2</v>
      </c>
      <c r="T176" s="29">
        <v>0.13900000000000001</v>
      </c>
      <c r="U176" s="29">
        <v>0.14499999999999999</v>
      </c>
      <c r="V176" s="29">
        <v>0.17600000000000002</v>
      </c>
      <c r="W176" s="117" t="s">
        <v>344</v>
      </c>
      <c r="X176" s="117" t="s">
        <v>344</v>
      </c>
    </row>
    <row r="177" spans="1:24" x14ac:dyDescent="0.2">
      <c r="A177" s="30" t="s">
        <v>207</v>
      </c>
      <c r="B177" s="16" t="s">
        <v>47</v>
      </c>
      <c r="C177" s="17" t="s">
        <v>17</v>
      </c>
      <c r="D177" s="29">
        <v>7.2000000000000008E-2</v>
      </c>
      <c r="E177" s="29">
        <v>8.4000000000000005E-2</v>
      </c>
      <c r="F177" s="29">
        <v>8.1000000000000003E-2</v>
      </c>
      <c r="G177" s="29">
        <v>0.08</v>
      </c>
      <c r="H177" s="29">
        <v>8.5999999999999993E-2</v>
      </c>
      <c r="I177" s="29">
        <v>8.3000000000000004E-2</v>
      </c>
      <c r="J177" s="29">
        <v>9.6999999999999989E-2</v>
      </c>
      <c r="K177" s="29">
        <v>9.3000000000000013E-2</v>
      </c>
      <c r="L177" s="29">
        <v>8.6999999999999994E-2</v>
      </c>
      <c r="M177" s="29">
        <v>8.5000000000000006E-2</v>
      </c>
      <c r="N177" s="29">
        <v>8.3000000000000004E-2</v>
      </c>
      <c r="O177" s="29">
        <v>8.6999999999999994E-2</v>
      </c>
      <c r="P177" s="29">
        <v>0.105</v>
      </c>
      <c r="Q177" s="29">
        <v>0.10199999999999999</v>
      </c>
      <c r="R177" s="29">
        <v>0.10300000000000001</v>
      </c>
      <c r="S177" s="29">
        <v>0.106</v>
      </c>
      <c r="T177" s="29">
        <v>0.14599999999999999</v>
      </c>
      <c r="U177" s="29">
        <v>0.154</v>
      </c>
      <c r="V177" s="29">
        <v>0.16800000000000001</v>
      </c>
      <c r="W177" s="117" t="s">
        <v>344</v>
      </c>
      <c r="X177" s="117" t="s">
        <v>344</v>
      </c>
    </row>
    <row r="178" spans="1:24" x14ac:dyDescent="0.2">
      <c r="A178" s="30" t="s">
        <v>207</v>
      </c>
      <c r="B178" s="16" t="s">
        <v>47</v>
      </c>
      <c r="C178" s="17" t="s">
        <v>18</v>
      </c>
      <c r="D178" s="29">
        <v>0.13600000000000001</v>
      </c>
      <c r="E178" s="29">
        <v>0.13</v>
      </c>
      <c r="F178" s="29">
        <v>0.13400000000000001</v>
      </c>
      <c r="G178" s="29">
        <v>0.125</v>
      </c>
      <c r="H178" s="29">
        <v>0.127</v>
      </c>
      <c r="I178" s="29">
        <v>0.14400000000000002</v>
      </c>
      <c r="J178" s="29">
        <v>0.124</v>
      </c>
      <c r="K178" s="29">
        <v>0.16200000000000001</v>
      </c>
      <c r="L178" s="29">
        <v>0.21299999999999999</v>
      </c>
      <c r="M178" s="29">
        <v>0.24299999999999999</v>
      </c>
      <c r="N178" s="29">
        <v>0.21600000000000003</v>
      </c>
      <c r="O178" s="29">
        <v>0.153</v>
      </c>
      <c r="P178" s="29">
        <v>0.21899999999999997</v>
      </c>
      <c r="Q178" s="29">
        <v>0.22800000000000001</v>
      </c>
      <c r="R178" s="29" t="s">
        <v>256</v>
      </c>
      <c r="S178" s="29" t="s">
        <v>256</v>
      </c>
      <c r="T178" s="29" t="s">
        <v>256</v>
      </c>
      <c r="U178" s="29" t="s">
        <v>208</v>
      </c>
      <c r="V178" s="29" t="s">
        <v>208</v>
      </c>
      <c r="W178" s="117" t="s">
        <v>344</v>
      </c>
      <c r="X178" s="117" t="s">
        <v>344</v>
      </c>
    </row>
    <row r="179" spans="1:24" x14ac:dyDescent="0.2">
      <c r="A179" s="30" t="s">
        <v>207</v>
      </c>
      <c r="B179" s="16" t="s">
        <v>47</v>
      </c>
      <c r="C179" s="17" t="s">
        <v>19</v>
      </c>
      <c r="D179" s="29">
        <v>7.5999999999999998E-2</v>
      </c>
      <c r="E179" s="29">
        <v>6.8000000000000005E-2</v>
      </c>
      <c r="F179" s="29">
        <v>7.0999999999999994E-2</v>
      </c>
      <c r="G179" s="29">
        <v>6.6000000000000003E-2</v>
      </c>
      <c r="H179" s="29">
        <v>7.4999999999999997E-2</v>
      </c>
      <c r="I179" s="29">
        <v>7.9000000000000001E-2</v>
      </c>
      <c r="J179" s="29">
        <v>8.3000000000000004E-2</v>
      </c>
      <c r="K179" s="29">
        <v>9.0999999999999998E-2</v>
      </c>
      <c r="L179" s="29">
        <v>9.6000000000000002E-2</v>
      </c>
      <c r="M179" s="29">
        <v>9.8000000000000004E-2</v>
      </c>
      <c r="N179" s="29">
        <v>9.3000000000000013E-2</v>
      </c>
      <c r="O179" s="29">
        <v>0.106</v>
      </c>
      <c r="P179" s="29">
        <v>9.9000000000000005E-2</v>
      </c>
      <c r="Q179" s="29">
        <v>0.109</v>
      </c>
      <c r="R179" s="29">
        <v>0.11199999999999999</v>
      </c>
      <c r="S179" s="29">
        <v>0.127</v>
      </c>
      <c r="T179" s="29">
        <v>0.14000000000000001</v>
      </c>
      <c r="U179" s="29">
        <v>0.16500000000000001</v>
      </c>
      <c r="V179" s="29">
        <v>0.188</v>
      </c>
      <c r="W179" s="117" t="s">
        <v>344</v>
      </c>
      <c r="X179" s="117" t="s">
        <v>344</v>
      </c>
    </row>
    <row r="180" spans="1:24" x14ac:dyDescent="0.2">
      <c r="A180" s="30" t="s">
        <v>207</v>
      </c>
      <c r="B180" s="16" t="s">
        <v>47</v>
      </c>
      <c r="C180" s="17" t="s">
        <v>20</v>
      </c>
      <c r="D180" s="29">
        <v>6.5000000000000002E-2</v>
      </c>
      <c r="E180" s="29">
        <v>7.400000000000001E-2</v>
      </c>
      <c r="F180" s="29">
        <v>6.6000000000000003E-2</v>
      </c>
      <c r="G180" s="29">
        <v>6.7000000000000004E-2</v>
      </c>
      <c r="H180" s="29">
        <v>7.400000000000001E-2</v>
      </c>
      <c r="I180" s="29">
        <v>7.9000000000000001E-2</v>
      </c>
      <c r="J180" s="29">
        <v>7.6999999999999999E-2</v>
      </c>
      <c r="K180" s="29">
        <v>8.6999999999999994E-2</v>
      </c>
      <c r="L180" s="29">
        <v>0.08</v>
      </c>
      <c r="M180" s="29">
        <v>8.3000000000000004E-2</v>
      </c>
      <c r="N180" s="29">
        <v>8.4000000000000005E-2</v>
      </c>
      <c r="O180" s="29">
        <v>0.08</v>
      </c>
      <c r="P180" s="29">
        <v>0.08</v>
      </c>
      <c r="Q180" s="29">
        <v>9.5000000000000001E-2</v>
      </c>
      <c r="R180" s="29">
        <v>0.106</v>
      </c>
      <c r="S180" s="29">
        <v>0.105</v>
      </c>
      <c r="T180" s="29">
        <v>0.127</v>
      </c>
      <c r="U180" s="29">
        <v>0.13200000000000001</v>
      </c>
      <c r="V180" s="29">
        <v>0.129</v>
      </c>
      <c r="W180" s="117" t="s">
        <v>344</v>
      </c>
      <c r="X180" s="117" t="s">
        <v>344</v>
      </c>
    </row>
    <row r="181" spans="1:24" x14ac:dyDescent="0.2">
      <c r="A181" s="30" t="s">
        <v>207</v>
      </c>
      <c r="B181" s="16" t="s">
        <v>47</v>
      </c>
      <c r="C181" s="17" t="s">
        <v>21</v>
      </c>
      <c r="D181" s="29">
        <v>8.4000000000000005E-2</v>
      </c>
      <c r="E181" s="29">
        <v>8.6999999999999994E-2</v>
      </c>
      <c r="F181" s="29">
        <v>8.6999999999999994E-2</v>
      </c>
      <c r="G181" s="29">
        <v>9.4E-2</v>
      </c>
      <c r="H181" s="29">
        <v>0.1</v>
      </c>
      <c r="I181" s="29">
        <v>8.5999999999999993E-2</v>
      </c>
      <c r="J181" s="29">
        <v>8.199999999999999E-2</v>
      </c>
      <c r="K181" s="29">
        <v>9.1999999999999998E-2</v>
      </c>
      <c r="L181" s="29">
        <v>9.6000000000000002E-2</v>
      </c>
      <c r="M181" s="29">
        <v>0.09</v>
      </c>
      <c r="N181" s="29">
        <v>0.105</v>
      </c>
      <c r="O181" s="29">
        <v>8.8000000000000009E-2</v>
      </c>
      <c r="P181" s="29">
        <v>0.09</v>
      </c>
      <c r="Q181" s="29">
        <v>0.10300000000000001</v>
      </c>
      <c r="R181" s="29">
        <v>0.10300000000000001</v>
      </c>
      <c r="S181" s="29">
        <v>0.10199999999999999</v>
      </c>
      <c r="T181" s="29">
        <v>0.13200000000000001</v>
      </c>
      <c r="U181" s="29">
        <v>0.14000000000000001</v>
      </c>
      <c r="V181" s="29">
        <v>0.13200000000000001</v>
      </c>
      <c r="W181" s="117" t="s">
        <v>344</v>
      </c>
      <c r="X181" s="117" t="s">
        <v>344</v>
      </c>
    </row>
    <row r="182" spans="1:24" x14ac:dyDescent="0.2">
      <c r="A182" s="30" t="s">
        <v>207</v>
      </c>
      <c r="B182" s="16" t="s">
        <v>47</v>
      </c>
      <c r="C182" s="17" t="s">
        <v>27</v>
      </c>
      <c r="D182" s="29">
        <v>6.2E-2</v>
      </c>
      <c r="E182" s="29">
        <v>6.3E-2</v>
      </c>
      <c r="F182" s="29">
        <v>6.8000000000000005E-2</v>
      </c>
      <c r="G182" s="29">
        <v>6.5000000000000002E-2</v>
      </c>
      <c r="H182" s="29">
        <v>7.400000000000001E-2</v>
      </c>
      <c r="I182" s="29">
        <v>7.400000000000001E-2</v>
      </c>
      <c r="J182" s="29">
        <v>7.8E-2</v>
      </c>
      <c r="K182" s="29">
        <v>0.08</v>
      </c>
      <c r="L182" s="29">
        <v>7.6999999999999999E-2</v>
      </c>
      <c r="M182" s="29">
        <v>7.2000000000000008E-2</v>
      </c>
      <c r="N182" s="29">
        <v>8.6999999999999994E-2</v>
      </c>
      <c r="O182" s="29">
        <v>8.8000000000000009E-2</v>
      </c>
      <c r="P182" s="29">
        <v>9.6999999999999989E-2</v>
      </c>
      <c r="Q182" s="29">
        <v>0.10300000000000001</v>
      </c>
      <c r="R182" s="29">
        <v>9.9000000000000005E-2</v>
      </c>
      <c r="S182" s="29">
        <v>9.1999999999999998E-2</v>
      </c>
      <c r="T182" s="29">
        <v>0.13699999999999998</v>
      </c>
      <c r="U182" s="29">
        <v>0.14599999999999999</v>
      </c>
      <c r="V182" s="29">
        <v>0.13200000000000001</v>
      </c>
      <c r="W182" s="117" t="s">
        <v>344</v>
      </c>
      <c r="X182" s="117" t="s">
        <v>344</v>
      </c>
    </row>
    <row r="183" spans="1:24" x14ac:dyDescent="0.2">
      <c r="A183" s="30" t="s">
        <v>207</v>
      </c>
      <c r="B183" s="16" t="s">
        <v>47</v>
      </c>
      <c r="C183" s="17" t="s">
        <v>28</v>
      </c>
      <c r="D183" s="29">
        <v>7.400000000000001E-2</v>
      </c>
      <c r="E183" s="29">
        <v>7.4999999999999997E-2</v>
      </c>
      <c r="F183" s="29">
        <v>7.5999999999999998E-2</v>
      </c>
      <c r="G183" s="29">
        <v>7.2000000000000008E-2</v>
      </c>
      <c r="H183" s="29">
        <v>7.5999999999999998E-2</v>
      </c>
      <c r="I183" s="29">
        <v>0.09</v>
      </c>
      <c r="J183" s="29">
        <v>8.6999999999999994E-2</v>
      </c>
      <c r="K183" s="29">
        <v>8.6999999999999994E-2</v>
      </c>
      <c r="L183" s="29">
        <v>8.4000000000000005E-2</v>
      </c>
      <c r="M183" s="29">
        <v>8.3000000000000004E-2</v>
      </c>
      <c r="N183" s="29">
        <v>0.08</v>
      </c>
      <c r="O183" s="29">
        <v>9.1999999999999998E-2</v>
      </c>
      <c r="P183" s="29">
        <v>0.10800000000000001</v>
      </c>
      <c r="Q183" s="29">
        <v>0.10300000000000001</v>
      </c>
      <c r="R183" s="29">
        <v>8.8000000000000009E-2</v>
      </c>
      <c r="S183" s="29">
        <v>9.9000000000000005E-2</v>
      </c>
      <c r="T183" s="29">
        <v>0.14300000000000002</v>
      </c>
      <c r="U183" s="29">
        <v>0.157</v>
      </c>
      <c r="V183" s="29">
        <v>0.14400000000000002</v>
      </c>
      <c r="W183" s="117" t="s">
        <v>344</v>
      </c>
      <c r="X183" s="117" t="s">
        <v>344</v>
      </c>
    </row>
    <row r="184" spans="1:24" ht="31.5" customHeight="1" x14ac:dyDescent="0.2">
      <c r="A184" s="30" t="s">
        <v>207</v>
      </c>
      <c r="B184" s="17" t="s">
        <v>182</v>
      </c>
      <c r="C184" s="17" t="s">
        <v>54</v>
      </c>
      <c r="D184" s="29" t="s">
        <v>190</v>
      </c>
      <c r="E184" s="29" t="s">
        <v>190</v>
      </c>
      <c r="F184" s="29" t="s">
        <v>190</v>
      </c>
      <c r="G184" s="29" t="s">
        <v>190</v>
      </c>
      <c r="H184" s="29" t="s">
        <v>190</v>
      </c>
      <c r="I184" s="29" t="s">
        <v>190</v>
      </c>
      <c r="J184" s="29" t="s">
        <v>190</v>
      </c>
      <c r="K184" s="29" t="s">
        <v>190</v>
      </c>
      <c r="L184" s="29">
        <v>6.7000000000000004E-2</v>
      </c>
      <c r="M184" s="29">
        <v>6.4000000000000001E-2</v>
      </c>
      <c r="N184" s="29">
        <v>6.9000000000000006E-2</v>
      </c>
      <c r="O184" s="29">
        <v>6.9000000000000006E-2</v>
      </c>
      <c r="P184" s="29">
        <v>8.199999999999999E-2</v>
      </c>
      <c r="Q184" s="29">
        <v>7.9000000000000001E-2</v>
      </c>
      <c r="R184" s="29">
        <v>8.8000000000000009E-2</v>
      </c>
      <c r="S184" s="29">
        <v>0.08</v>
      </c>
      <c r="T184" s="29">
        <v>0.109</v>
      </c>
      <c r="U184" s="29">
        <v>0.109</v>
      </c>
      <c r="V184" s="65">
        <v>0.11</v>
      </c>
      <c r="W184" s="117" t="s">
        <v>344</v>
      </c>
      <c r="X184" s="117" t="s">
        <v>344</v>
      </c>
    </row>
    <row r="185" spans="1:24" x14ac:dyDescent="0.2">
      <c r="A185" s="30" t="s">
        <v>207</v>
      </c>
      <c r="B185" s="16" t="s">
        <v>182</v>
      </c>
      <c r="C185" s="16" t="s">
        <v>55</v>
      </c>
      <c r="D185" s="29" t="s">
        <v>190</v>
      </c>
      <c r="E185" s="29" t="s">
        <v>190</v>
      </c>
      <c r="F185" s="29" t="s">
        <v>190</v>
      </c>
      <c r="G185" s="29" t="s">
        <v>190</v>
      </c>
      <c r="H185" s="29" t="s">
        <v>190</v>
      </c>
      <c r="I185" s="29" t="s">
        <v>190</v>
      </c>
      <c r="J185" s="29" t="s">
        <v>190</v>
      </c>
      <c r="K185" s="29" t="s">
        <v>190</v>
      </c>
      <c r="L185" s="29" t="s">
        <v>256</v>
      </c>
      <c r="M185" s="29" t="s">
        <v>256</v>
      </c>
      <c r="N185" s="29" t="s">
        <v>256</v>
      </c>
      <c r="O185" s="29" t="s">
        <v>256</v>
      </c>
      <c r="P185" s="29" t="s">
        <v>208</v>
      </c>
      <c r="Q185" s="29" t="s">
        <v>256</v>
      </c>
      <c r="R185" s="29" t="s">
        <v>256</v>
      </c>
      <c r="S185" s="29" t="s">
        <v>190</v>
      </c>
      <c r="T185" s="29" t="s">
        <v>190</v>
      </c>
      <c r="U185" s="29" t="s">
        <v>190</v>
      </c>
      <c r="V185" s="29" t="s">
        <v>190</v>
      </c>
      <c r="W185" s="117" t="s">
        <v>344</v>
      </c>
      <c r="X185" s="117" t="s">
        <v>344</v>
      </c>
    </row>
    <row r="186" spans="1:24" x14ac:dyDescent="0.2">
      <c r="A186" s="30" t="s">
        <v>207</v>
      </c>
      <c r="B186" s="16" t="s">
        <v>182</v>
      </c>
      <c r="C186" s="16" t="s">
        <v>56</v>
      </c>
      <c r="D186" s="29" t="s">
        <v>190</v>
      </c>
      <c r="E186" s="29" t="s">
        <v>190</v>
      </c>
      <c r="F186" s="29" t="s">
        <v>190</v>
      </c>
      <c r="G186" s="29" t="s">
        <v>190</v>
      </c>
      <c r="H186" s="29" t="s">
        <v>190</v>
      </c>
      <c r="I186" s="29" t="s">
        <v>190</v>
      </c>
      <c r="J186" s="29" t="s">
        <v>190</v>
      </c>
      <c r="K186" s="29" t="s">
        <v>190</v>
      </c>
      <c r="L186" s="29">
        <v>0.11699999999999999</v>
      </c>
      <c r="M186" s="29">
        <v>0.14599999999999999</v>
      </c>
      <c r="N186" s="29">
        <v>0.16699999999999998</v>
      </c>
      <c r="O186" s="29">
        <v>0.161</v>
      </c>
      <c r="P186" s="29">
        <v>0.18600000000000003</v>
      </c>
      <c r="Q186" s="29">
        <v>0.16</v>
      </c>
      <c r="R186" s="29">
        <v>0.14499999999999999</v>
      </c>
      <c r="S186" s="29">
        <v>0.14300000000000002</v>
      </c>
      <c r="T186" s="29" t="s">
        <v>256</v>
      </c>
      <c r="U186" s="29" t="s">
        <v>256</v>
      </c>
      <c r="V186" s="29" t="s">
        <v>256</v>
      </c>
      <c r="W186" s="117" t="s">
        <v>344</v>
      </c>
      <c r="X186" s="117" t="s">
        <v>344</v>
      </c>
    </row>
    <row r="187" spans="1:24" x14ac:dyDescent="0.2">
      <c r="A187" s="30" t="s">
        <v>207</v>
      </c>
      <c r="B187" s="16" t="s">
        <v>182</v>
      </c>
      <c r="C187" s="16" t="s">
        <v>57</v>
      </c>
      <c r="D187" s="29" t="s">
        <v>190</v>
      </c>
      <c r="E187" s="29" t="s">
        <v>190</v>
      </c>
      <c r="F187" s="29" t="s">
        <v>190</v>
      </c>
      <c r="G187" s="29" t="s">
        <v>190</v>
      </c>
      <c r="H187" s="29" t="s">
        <v>190</v>
      </c>
      <c r="I187" s="29" t="s">
        <v>190</v>
      </c>
      <c r="J187" s="29" t="s">
        <v>190</v>
      </c>
      <c r="K187" s="29" t="s">
        <v>190</v>
      </c>
      <c r="L187" s="29" t="s">
        <v>208</v>
      </c>
      <c r="M187" s="29" t="s">
        <v>208</v>
      </c>
      <c r="N187" s="29" t="s">
        <v>256</v>
      </c>
      <c r="O187" s="29" t="s">
        <v>190</v>
      </c>
      <c r="P187" s="29" t="s">
        <v>190</v>
      </c>
      <c r="Q187" s="29" t="s">
        <v>190</v>
      </c>
      <c r="R187" s="29" t="s">
        <v>256</v>
      </c>
      <c r="S187" s="29" t="s">
        <v>190</v>
      </c>
      <c r="T187" s="29" t="s">
        <v>190</v>
      </c>
      <c r="U187" s="29" t="s">
        <v>208</v>
      </c>
      <c r="V187" s="29" t="s">
        <v>208</v>
      </c>
      <c r="W187" s="117" t="s">
        <v>344</v>
      </c>
      <c r="X187" s="117" t="s">
        <v>344</v>
      </c>
    </row>
    <row r="188" spans="1:24" x14ac:dyDescent="0.2">
      <c r="A188" s="30" t="s">
        <v>207</v>
      </c>
      <c r="B188" s="16" t="s">
        <v>182</v>
      </c>
      <c r="C188" s="16" t="s">
        <v>58</v>
      </c>
      <c r="D188" s="29" t="s">
        <v>190</v>
      </c>
      <c r="E188" s="29" t="s">
        <v>190</v>
      </c>
      <c r="F188" s="29" t="s">
        <v>190</v>
      </c>
      <c r="G188" s="29" t="s">
        <v>190</v>
      </c>
      <c r="H188" s="29" t="s">
        <v>190</v>
      </c>
      <c r="I188" s="29" t="s">
        <v>190</v>
      </c>
      <c r="J188" s="29" t="s">
        <v>190</v>
      </c>
      <c r="K188" s="29" t="s">
        <v>190</v>
      </c>
      <c r="L188" s="29">
        <v>8.199999999999999E-2</v>
      </c>
      <c r="M188" s="29">
        <v>8.5999999999999993E-2</v>
      </c>
      <c r="N188" s="29">
        <v>8.4000000000000005E-2</v>
      </c>
      <c r="O188" s="29">
        <v>9.9000000000000005E-2</v>
      </c>
      <c r="P188" s="29">
        <v>9.3000000000000013E-2</v>
      </c>
      <c r="Q188" s="29">
        <v>9.6999999999999989E-2</v>
      </c>
      <c r="R188" s="29">
        <v>9.9000000000000005E-2</v>
      </c>
      <c r="S188" s="29">
        <v>0.114</v>
      </c>
      <c r="T188" s="29">
        <v>0.127</v>
      </c>
      <c r="U188" s="29">
        <v>0.14099999999999999</v>
      </c>
      <c r="V188" s="65">
        <v>0.16399999999999998</v>
      </c>
      <c r="W188" s="117" t="s">
        <v>344</v>
      </c>
      <c r="X188" s="117" t="s">
        <v>344</v>
      </c>
    </row>
    <row r="189" spans="1:24" x14ac:dyDescent="0.2">
      <c r="A189" s="30" t="s">
        <v>207</v>
      </c>
      <c r="B189" s="16" t="s">
        <v>182</v>
      </c>
      <c r="C189" s="16" t="s">
        <v>96</v>
      </c>
      <c r="D189" s="29" t="s">
        <v>190</v>
      </c>
      <c r="E189" s="29" t="s">
        <v>190</v>
      </c>
      <c r="F189" s="29" t="s">
        <v>190</v>
      </c>
      <c r="G189" s="29" t="s">
        <v>190</v>
      </c>
      <c r="H189" s="29" t="s">
        <v>190</v>
      </c>
      <c r="I189" s="29" t="s">
        <v>190</v>
      </c>
      <c r="J189" s="29" t="s">
        <v>190</v>
      </c>
      <c r="K189" s="29" t="s">
        <v>190</v>
      </c>
      <c r="L189" s="29">
        <v>0.20800000000000002</v>
      </c>
      <c r="M189" s="29">
        <v>0.20399999999999999</v>
      </c>
      <c r="N189" s="29">
        <v>0.218</v>
      </c>
      <c r="O189" s="29">
        <v>0.20499999999999999</v>
      </c>
      <c r="P189" s="29" t="s">
        <v>256</v>
      </c>
      <c r="Q189" s="29" t="s">
        <v>256</v>
      </c>
      <c r="R189" s="29" t="s">
        <v>256</v>
      </c>
      <c r="S189" s="29" t="s">
        <v>256</v>
      </c>
      <c r="T189" s="29" t="s">
        <v>208</v>
      </c>
      <c r="U189" s="29" t="s">
        <v>256</v>
      </c>
      <c r="V189" s="29" t="s">
        <v>256</v>
      </c>
      <c r="W189" s="117" t="s">
        <v>344</v>
      </c>
      <c r="X189" s="117" t="s">
        <v>344</v>
      </c>
    </row>
    <row r="190" spans="1:24" x14ac:dyDescent="0.2">
      <c r="A190" s="30" t="s">
        <v>207</v>
      </c>
      <c r="B190" s="16" t="s">
        <v>182</v>
      </c>
      <c r="C190" s="16" t="s">
        <v>59</v>
      </c>
      <c r="D190" s="29" t="s">
        <v>190</v>
      </c>
      <c r="E190" s="29" t="s">
        <v>190</v>
      </c>
      <c r="F190" s="29" t="s">
        <v>190</v>
      </c>
      <c r="G190" s="29" t="s">
        <v>190</v>
      </c>
      <c r="H190" s="29" t="s">
        <v>190</v>
      </c>
      <c r="I190" s="29" t="s">
        <v>190</v>
      </c>
      <c r="J190" s="29" t="s">
        <v>190</v>
      </c>
      <c r="K190" s="29" t="s">
        <v>190</v>
      </c>
      <c r="L190" s="29" t="s">
        <v>208</v>
      </c>
      <c r="M190" s="29" t="s">
        <v>208</v>
      </c>
      <c r="N190" s="29" t="s">
        <v>190</v>
      </c>
      <c r="O190" s="29" t="s">
        <v>208</v>
      </c>
      <c r="P190" s="29" t="s">
        <v>256</v>
      </c>
      <c r="Q190" s="29" t="s">
        <v>208</v>
      </c>
      <c r="R190" s="29" t="s">
        <v>208</v>
      </c>
      <c r="S190" s="29" t="s">
        <v>208</v>
      </c>
      <c r="T190" s="29" t="s">
        <v>190</v>
      </c>
      <c r="U190" s="29" t="s">
        <v>190</v>
      </c>
      <c r="V190" s="29" t="s">
        <v>190</v>
      </c>
      <c r="W190" s="117" t="s">
        <v>344</v>
      </c>
      <c r="X190" s="117" t="s">
        <v>344</v>
      </c>
    </row>
    <row r="191" spans="1:24" x14ac:dyDescent="0.2">
      <c r="A191" s="30" t="s">
        <v>207</v>
      </c>
      <c r="B191" s="16" t="s">
        <v>182</v>
      </c>
      <c r="C191" s="16" t="s">
        <v>60</v>
      </c>
      <c r="D191" s="29" t="s">
        <v>190</v>
      </c>
      <c r="E191" s="29" t="s">
        <v>190</v>
      </c>
      <c r="F191" s="29" t="s">
        <v>190</v>
      </c>
      <c r="G191" s="29" t="s">
        <v>190</v>
      </c>
      <c r="H191" s="29" t="s">
        <v>190</v>
      </c>
      <c r="I191" s="29" t="s">
        <v>190</v>
      </c>
      <c r="J191" s="29" t="s">
        <v>190</v>
      </c>
      <c r="K191" s="29" t="s">
        <v>190</v>
      </c>
      <c r="L191" s="29" t="s">
        <v>190</v>
      </c>
      <c r="M191" s="29" t="s">
        <v>256</v>
      </c>
      <c r="N191" s="29" t="s">
        <v>208</v>
      </c>
      <c r="O191" s="29" t="s">
        <v>208</v>
      </c>
      <c r="P191" s="29" t="s">
        <v>208</v>
      </c>
      <c r="Q191" s="29" t="s">
        <v>256</v>
      </c>
      <c r="R191" s="29" t="s">
        <v>190</v>
      </c>
      <c r="S191" s="29" t="s">
        <v>256</v>
      </c>
      <c r="T191" s="29" t="s">
        <v>208</v>
      </c>
      <c r="U191" s="29" t="s">
        <v>190</v>
      </c>
      <c r="V191" s="29" t="s">
        <v>190</v>
      </c>
      <c r="W191" s="117" t="s">
        <v>344</v>
      </c>
      <c r="X191" s="117" t="s">
        <v>344</v>
      </c>
    </row>
    <row r="192" spans="1:24" x14ac:dyDescent="0.2">
      <c r="A192" s="30" t="s">
        <v>207</v>
      </c>
      <c r="B192" s="16" t="s">
        <v>182</v>
      </c>
      <c r="C192" s="16" t="s">
        <v>97</v>
      </c>
      <c r="D192" s="29" t="s">
        <v>190</v>
      </c>
      <c r="E192" s="29" t="s">
        <v>190</v>
      </c>
      <c r="F192" s="29" t="s">
        <v>190</v>
      </c>
      <c r="G192" s="29" t="s">
        <v>190</v>
      </c>
      <c r="H192" s="29" t="s">
        <v>190</v>
      </c>
      <c r="I192" s="29" t="s">
        <v>190</v>
      </c>
      <c r="J192" s="29" t="s">
        <v>190</v>
      </c>
      <c r="K192" s="29" t="s">
        <v>190</v>
      </c>
      <c r="L192" s="29" t="s">
        <v>256</v>
      </c>
      <c r="M192" s="29" t="s">
        <v>208</v>
      </c>
      <c r="N192" s="29" t="s">
        <v>208</v>
      </c>
      <c r="O192" s="29" t="s">
        <v>256</v>
      </c>
      <c r="P192" s="29" t="s">
        <v>208</v>
      </c>
      <c r="Q192" s="29" t="s">
        <v>190</v>
      </c>
      <c r="R192" s="29" t="s">
        <v>256</v>
      </c>
      <c r="S192" s="29" t="s">
        <v>208</v>
      </c>
      <c r="T192" s="29" t="s">
        <v>208</v>
      </c>
      <c r="U192" s="29" t="s">
        <v>208</v>
      </c>
      <c r="V192" s="29" t="s">
        <v>208</v>
      </c>
      <c r="W192" s="117" t="s">
        <v>344</v>
      </c>
      <c r="X192" s="117" t="s">
        <v>344</v>
      </c>
    </row>
    <row r="193" spans="1:24" x14ac:dyDescent="0.2">
      <c r="A193" s="30" t="s">
        <v>207</v>
      </c>
      <c r="B193" s="16" t="s">
        <v>182</v>
      </c>
      <c r="C193" s="16" t="s">
        <v>61</v>
      </c>
      <c r="D193" s="29" t="s">
        <v>190</v>
      </c>
      <c r="E193" s="29" t="s">
        <v>190</v>
      </c>
      <c r="F193" s="29" t="s">
        <v>190</v>
      </c>
      <c r="G193" s="29" t="s">
        <v>190</v>
      </c>
      <c r="H193" s="29" t="s">
        <v>190</v>
      </c>
      <c r="I193" s="29" t="s">
        <v>190</v>
      </c>
      <c r="J193" s="29" t="s">
        <v>190</v>
      </c>
      <c r="K193" s="29" t="s">
        <v>190</v>
      </c>
      <c r="L193" s="29" t="s">
        <v>256</v>
      </c>
      <c r="M193" s="29" t="s">
        <v>256</v>
      </c>
      <c r="N193" s="29" t="s">
        <v>256</v>
      </c>
      <c r="O193" s="29" t="s">
        <v>256</v>
      </c>
      <c r="P193" s="29" t="s">
        <v>190</v>
      </c>
      <c r="Q193" s="29" t="s">
        <v>256</v>
      </c>
      <c r="R193" s="29" t="s">
        <v>256</v>
      </c>
      <c r="S193" s="29" t="s">
        <v>256</v>
      </c>
      <c r="T193" s="29" t="s">
        <v>208</v>
      </c>
      <c r="U193" s="29" t="s">
        <v>256</v>
      </c>
      <c r="V193" s="29" t="s">
        <v>256</v>
      </c>
      <c r="W193" s="117" t="s">
        <v>344</v>
      </c>
      <c r="X193" s="117" t="s">
        <v>344</v>
      </c>
    </row>
    <row r="194" spans="1:24" x14ac:dyDescent="0.2">
      <c r="A194" s="30" t="s">
        <v>207</v>
      </c>
      <c r="B194" s="16" t="s">
        <v>182</v>
      </c>
      <c r="C194" s="16" t="s">
        <v>62</v>
      </c>
      <c r="D194" s="29" t="s">
        <v>190</v>
      </c>
      <c r="E194" s="29" t="s">
        <v>190</v>
      </c>
      <c r="F194" s="29" t="s">
        <v>190</v>
      </c>
      <c r="G194" s="29" t="s">
        <v>190</v>
      </c>
      <c r="H194" s="29" t="s">
        <v>190</v>
      </c>
      <c r="I194" s="29" t="s">
        <v>190</v>
      </c>
      <c r="J194" s="29" t="s">
        <v>190</v>
      </c>
      <c r="K194" s="29" t="s">
        <v>190</v>
      </c>
      <c r="L194" s="29">
        <v>8.6999999999999994E-2</v>
      </c>
      <c r="M194" s="29">
        <v>7.8E-2</v>
      </c>
      <c r="N194" s="29">
        <v>9.6000000000000002E-2</v>
      </c>
      <c r="O194" s="29">
        <v>9.8000000000000004E-2</v>
      </c>
      <c r="P194" s="29">
        <v>0.111</v>
      </c>
      <c r="Q194" s="29">
        <v>0.11800000000000001</v>
      </c>
      <c r="R194" s="29">
        <v>0.113</v>
      </c>
      <c r="S194" s="29">
        <v>0.10800000000000001</v>
      </c>
      <c r="T194" s="29">
        <v>0.14899999999999999</v>
      </c>
      <c r="U194" s="29">
        <v>0.155</v>
      </c>
      <c r="V194" s="65">
        <v>0.14899999999999999</v>
      </c>
      <c r="W194" s="117" t="s">
        <v>344</v>
      </c>
      <c r="X194" s="117" t="s">
        <v>344</v>
      </c>
    </row>
    <row r="195" spans="1:24" x14ac:dyDescent="0.2">
      <c r="A195" s="30" t="s">
        <v>207</v>
      </c>
      <c r="B195" s="16" t="s">
        <v>182</v>
      </c>
      <c r="C195" s="16" t="s">
        <v>63</v>
      </c>
      <c r="D195" s="29" t="s">
        <v>190</v>
      </c>
      <c r="E195" s="29" t="s">
        <v>190</v>
      </c>
      <c r="F195" s="29" t="s">
        <v>190</v>
      </c>
      <c r="G195" s="29" t="s">
        <v>190</v>
      </c>
      <c r="H195" s="29" t="s">
        <v>190</v>
      </c>
      <c r="I195" s="29" t="s">
        <v>190</v>
      </c>
      <c r="J195" s="29" t="s">
        <v>190</v>
      </c>
      <c r="K195" s="29" t="s">
        <v>190</v>
      </c>
      <c r="L195" s="29">
        <v>0.111</v>
      </c>
      <c r="M195" s="29">
        <v>9.6999999999999989E-2</v>
      </c>
      <c r="N195" s="29">
        <v>9.9000000000000005E-2</v>
      </c>
      <c r="O195" s="29">
        <v>0.10400000000000001</v>
      </c>
      <c r="P195" s="29">
        <v>0.107</v>
      </c>
      <c r="Q195" s="29">
        <v>0.14199999999999999</v>
      </c>
      <c r="R195" s="29">
        <v>0.13900000000000001</v>
      </c>
      <c r="S195" s="29">
        <v>0.14199999999999999</v>
      </c>
      <c r="T195" s="29">
        <v>0.17800000000000002</v>
      </c>
      <c r="U195" s="29">
        <v>0.18899999999999997</v>
      </c>
      <c r="V195" s="65">
        <v>0.20899999999999999</v>
      </c>
      <c r="W195" s="117" t="s">
        <v>344</v>
      </c>
      <c r="X195" s="117" t="s">
        <v>344</v>
      </c>
    </row>
    <row r="196" spans="1:24" x14ac:dyDescent="0.2">
      <c r="A196" s="30" t="s">
        <v>207</v>
      </c>
      <c r="B196" s="16" t="s">
        <v>182</v>
      </c>
      <c r="C196" s="16" t="s">
        <v>64</v>
      </c>
      <c r="D196" s="29" t="s">
        <v>190</v>
      </c>
      <c r="E196" s="29" t="s">
        <v>190</v>
      </c>
      <c r="F196" s="29" t="s">
        <v>190</v>
      </c>
      <c r="G196" s="29" t="s">
        <v>190</v>
      </c>
      <c r="H196" s="29" t="s">
        <v>190</v>
      </c>
      <c r="I196" s="29" t="s">
        <v>190</v>
      </c>
      <c r="J196" s="29" t="s">
        <v>190</v>
      </c>
      <c r="K196" s="29" t="s">
        <v>190</v>
      </c>
      <c r="L196" s="29">
        <v>5.9000000000000004E-2</v>
      </c>
      <c r="M196" s="29">
        <v>6.4000000000000001E-2</v>
      </c>
      <c r="N196" s="29">
        <v>0.06</v>
      </c>
      <c r="O196" s="29">
        <v>6.5000000000000002E-2</v>
      </c>
      <c r="P196" s="29">
        <v>6.9000000000000006E-2</v>
      </c>
      <c r="Q196" s="29">
        <v>6.4000000000000001E-2</v>
      </c>
      <c r="R196" s="29">
        <v>6.3E-2</v>
      </c>
      <c r="S196" s="29">
        <v>6.7000000000000004E-2</v>
      </c>
      <c r="T196" s="29">
        <v>0.08</v>
      </c>
      <c r="U196" s="29">
        <v>0.11199999999999999</v>
      </c>
      <c r="V196" s="65">
        <v>9.6000000000000002E-2</v>
      </c>
      <c r="W196" s="117" t="s">
        <v>344</v>
      </c>
      <c r="X196" s="117" t="s">
        <v>344</v>
      </c>
    </row>
    <row r="197" spans="1:24" x14ac:dyDescent="0.2">
      <c r="A197" s="30" t="s">
        <v>207</v>
      </c>
      <c r="B197" s="16" t="s">
        <v>182</v>
      </c>
      <c r="C197" s="16" t="s">
        <v>65</v>
      </c>
      <c r="D197" s="29" t="s">
        <v>190</v>
      </c>
      <c r="E197" s="29" t="s">
        <v>190</v>
      </c>
      <c r="F197" s="29" t="s">
        <v>190</v>
      </c>
      <c r="G197" s="29" t="s">
        <v>190</v>
      </c>
      <c r="H197" s="29" t="s">
        <v>190</v>
      </c>
      <c r="I197" s="29" t="s">
        <v>190</v>
      </c>
      <c r="J197" s="29" t="s">
        <v>190</v>
      </c>
      <c r="K197" s="29" t="s">
        <v>190</v>
      </c>
      <c r="L197" s="29">
        <v>8.6999999999999994E-2</v>
      </c>
      <c r="M197" s="29">
        <v>9.4E-2</v>
      </c>
      <c r="N197" s="29">
        <v>0.10099999999999999</v>
      </c>
      <c r="O197" s="29">
        <v>0.11199999999999999</v>
      </c>
      <c r="P197" s="29">
        <v>0.127</v>
      </c>
      <c r="Q197" s="29">
        <v>0.11699999999999999</v>
      </c>
      <c r="R197" s="29">
        <v>0.127</v>
      </c>
      <c r="S197" s="29">
        <v>0.11199999999999999</v>
      </c>
      <c r="T197" s="29">
        <v>0.16</v>
      </c>
      <c r="U197" s="29">
        <v>0.17100000000000001</v>
      </c>
      <c r="V197" s="65">
        <v>0.13900000000000001</v>
      </c>
      <c r="W197" s="117" t="s">
        <v>344</v>
      </c>
      <c r="X197" s="117" t="s">
        <v>344</v>
      </c>
    </row>
    <row r="198" spans="1:24" x14ac:dyDescent="0.2">
      <c r="A198" s="30" t="s">
        <v>207</v>
      </c>
      <c r="B198" s="16" t="s">
        <v>182</v>
      </c>
      <c r="C198" s="16" t="s">
        <v>66</v>
      </c>
      <c r="D198" s="29" t="s">
        <v>190</v>
      </c>
      <c r="E198" s="29" t="s">
        <v>190</v>
      </c>
      <c r="F198" s="29" t="s">
        <v>190</v>
      </c>
      <c r="G198" s="29" t="s">
        <v>190</v>
      </c>
      <c r="H198" s="29" t="s">
        <v>190</v>
      </c>
      <c r="I198" s="29" t="s">
        <v>190</v>
      </c>
      <c r="J198" s="29" t="s">
        <v>190</v>
      </c>
      <c r="K198" s="29" t="s">
        <v>190</v>
      </c>
      <c r="L198" s="29" t="s">
        <v>256</v>
      </c>
      <c r="M198" s="29" t="s">
        <v>256</v>
      </c>
      <c r="N198" s="29">
        <v>0.20699999999999999</v>
      </c>
      <c r="O198" s="29" t="s">
        <v>256</v>
      </c>
      <c r="P198" s="29">
        <v>0.23399999999999999</v>
      </c>
      <c r="Q198" s="29">
        <v>0.16399999999999998</v>
      </c>
      <c r="R198" s="29">
        <v>0.21299999999999999</v>
      </c>
      <c r="S198" s="29">
        <v>0.18899999999999997</v>
      </c>
      <c r="T198" s="29" t="s">
        <v>256</v>
      </c>
      <c r="U198" s="29" t="s">
        <v>256</v>
      </c>
      <c r="V198" s="29" t="s">
        <v>256</v>
      </c>
      <c r="W198" s="117" t="s">
        <v>344</v>
      </c>
      <c r="X198" s="117" t="s">
        <v>344</v>
      </c>
    </row>
    <row r="199" spans="1:24" x14ac:dyDescent="0.2">
      <c r="A199" s="30" t="s">
        <v>207</v>
      </c>
      <c r="B199" s="16" t="s">
        <v>182</v>
      </c>
      <c r="C199" s="16" t="s">
        <v>67</v>
      </c>
      <c r="D199" s="29" t="s">
        <v>190</v>
      </c>
      <c r="E199" s="29" t="s">
        <v>190</v>
      </c>
      <c r="F199" s="29" t="s">
        <v>190</v>
      </c>
      <c r="G199" s="29" t="s">
        <v>190</v>
      </c>
      <c r="H199" s="29" t="s">
        <v>190</v>
      </c>
      <c r="I199" s="29" t="s">
        <v>190</v>
      </c>
      <c r="J199" s="29" t="s">
        <v>190</v>
      </c>
      <c r="K199" s="29" t="s">
        <v>190</v>
      </c>
      <c r="L199" s="29">
        <v>5.4000000000000006E-2</v>
      </c>
      <c r="M199" s="29">
        <v>5.0999999999999997E-2</v>
      </c>
      <c r="N199" s="29">
        <v>5.5E-2</v>
      </c>
      <c r="O199" s="29">
        <v>5.7999999999999996E-2</v>
      </c>
      <c r="P199" s="29">
        <v>6.7000000000000004E-2</v>
      </c>
      <c r="Q199" s="29">
        <v>6.6000000000000003E-2</v>
      </c>
      <c r="R199" s="29">
        <v>5.5999999999999994E-2</v>
      </c>
      <c r="S199" s="29">
        <v>0.06</v>
      </c>
      <c r="T199" s="29">
        <v>7.8E-2</v>
      </c>
      <c r="U199" s="29">
        <v>8.5000000000000006E-2</v>
      </c>
      <c r="V199" s="65">
        <v>9.5000000000000001E-2</v>
      </c>
      <c r="W199" s="117" t="s">
        <v>344</v>
      </c>
      <c r="X199" s="117" t="s">
        <v>344</v>
      </c>
    </row>
    <row r="200" spans="1:24" x14ac:dyDescent="0.2">
      <c r="A200" s="30" t="s">
        <v>207</v>
      </c>
      <c r="B200" s="16" t="s">
        <v>182</v>
      </c>
      <c r="C200" s="16" t="s">
        <v>68</v>
      </c>
      <c r="D200" s="29" t="s">
        <v>190</v>
      </c>
      <c r="E200" s="29" t="s">
        <v>190</v>
      </c>
      <c r="F200" s="29" t="s">
        <v>190</v>
      </c>
      <c r="G200" s="29" t="s">
        <v>190</v>
      </c>
      <c r="H200" s="29" t="s">
        <v>190</v>
      </c>
      <c r="I200" s="29" t="s">
        <v>190</v>
      </c>
      <c r="J200" s="29" t="s">
        <v>190</v>
      </c>
      <c r="K200" s="29" t="s">
        <v>190</v>
      </c>
      <c r="L200" s="29">
        <v>8.3000000000000004E-2</v>
      </c>
      <c r="M200" s="29">
        <v>7.5999999999999998E-2</v>
      </c>
      <c r="N200" s="29">
        <v>8.5000000000000006E-2</v>
      </c>
      <c r="O200" s="29">
        <v>9.6999999999999989E-2</v>
      </c>
      <c r="P200" s="29">
        <v>0.10300000000000001</v>
      </c>
      <c r="Q200" s="29">
        <v>9.6000000000000002E-2</v>
      </c>
      <c r="R200" s="29">
        <v>0.10199999999999999</v>
      </c>
      <c r="S200" s="29">
        <v>0.111</v>
      </c>
      <c r="T200" s="29">
        <v>0.129</v>
      </c>
      <c r="U200" s="29">
        <v>0.151</v>
      </c>
      <c r="V200" s="65">
        <v>0.16500000000000001</v>
      </c>
      <c r="W200" s="117" t="s">
        <v>344</v>
      </c>
      <c r="X200" s="117" t="s">
        <v>344</v>
      </c>
    </row>
    <row r="201" spans="1:24" x14ac:dyDescent="0.2">
      <c r="A201" s="30" t="s">
        <v>207</v>
      </c>
      <c r="B201" s="16" t="s">
        <v>182</v>
      </c>
      <c r="C201" s="16" t="s">
        <v>69</v>
      </c>
      <c r="D201" s="29" t="s">
        <v>190</v>
      </c>
      <c r="E201" s="29" t="s">
        <v>190</v>
      </c>
      <c r="F201" s="29" t="s">
        <v>190</v>
      </c>
      <c r="G201" s="29" t="s">
        <v>190</v>
      </c>
      <c r="H201" s="29" t="s">
        <v>190</v>
      </c>
      <c r="I201" s="29" t="s">
        <v>190</v>
      </c>
      <c r="J201" s="29" t="s">
        <v>190</v>
      </c>
      <c r="K201" s="29" t="s">
        <v>190</v>
      </c>
      <c r="L201" s="29">
        <v>0.06</v>
      </c>
      <c r="M201" s="29">
        <v>5.9000000000000004E-2</v>
      </c>
      <c r="N201" s="29">
        <v>6.2E-2</v>
      </c>
      <c r="O201" s="29">
        <v>5.4000000000000006E-2</v>
      </c>
      <c r="P201" s="29">
        <v>0.06</v>
      </c>
      <c r="Q201" s="29">
        <v>6.0999999999999999E-2</v>
      </c>
      <c r="R201" s="29">
        <v>6.3E-2</v>
      </c>
      <c r="S201" s="29">
        <v>6.6000000000000003E-2</v>
      </c>
      <c r="T201" s="29">
        <v>8.6999999999999994E-2</v>
      </c>
      <c r="U201" s="29">
        <v>9.3000000000000013E-2</v>
      </c>
      <c r="V201" s="65">
        <v>8.4000000000000005E-2</v>
      </c>
      <c r="W201" s="117" t="s">
        <v>344</v>
      </c>
      <c r="X201" s="117" t="s">
        <v>344</v>
      </c>
    </row>
    <row r="202" spans="1:24" x14ac:dyDescent="0.2">
      <c r="A202" s="30" t="s">
        <v>207</v>
      </c>
      <c r="B202" s="16" t="s">
        <v>182</v>
      </c>
      <c r="C202" s="16" t="s">
        <v>70</v>
      </c>
      <c r="D202" s="29" t="s">
        <v>190</v>
      </c>
      <c r="E202" s="29" t="s">
        <v>190</v>
      </c>
      <c r="F202" s="29" t="s">
        <v>190</v>
      </c>
      <c r="G202" s="29" t="s">
        <v>190</v>
      </c>
      <c r="H202" s="29" t="s">
        <v>190</v>
      </c>
      <c r="I202" s="29" t="s">
        <v>190</v>
      </c>
      <c r="J202" s="29" t="s">
        <v>190</v>
      </c>
      <c r="K202" s="29" t="s">
        <v>190</v>
      </c>
      <c r="L202" s="29" t="s">
        <v>208</v>
      </c>
      <c r="M202" s="29" t="s">
        <v>208</v>
      </c>
      <c r="N202" s="29" t="s">
        <v>190</v>
      </c>
      <c r="O202" s="29" t="s">
        <v>190</v>
      </c>
      <c r="P202" s="29" t="s">
        <v>256</v>
      </c>
      <c r="Q202" s="29" t="s">
        <v>256</v>
      </c>
      <c r="R202" s="29" t="s">
        <v>190</v>
      </c>
      <c r="S202" s="29" t="s">
        <v>208</v>
      </c>
      <c r="T202" s="29" t="s">
        <v>208</v>
      </c>
      <c r="U202" s="29" t="s">
        <v>190</v>
      </c>
      <c r="V202" s="29" t="s">
        <v>208</v>
      </c>
      <c r="W202" s="117" t="s">
        <v>344</v>
      </c>
      <c r="X202" s="117" t="s">
        <v>344</v>
      </c>
    </row>
    <row r="203" spans="1:24" x14ac:dyDescent="0.2">
      <c r="A203" s="30" t="s">
        <v>207</v>
      </c>
      <c r="B203" s="16" t="s">
        <v>182</v>
      </c>
      <c r="C203" s="16" t="s">
        <v>71</v>
      </c>
      <c r="D203" s="29" t="s">
        <v>190</v>
      </c>
      <c r="E203" s="29" t="s">
        <v>190</v>
      </c>
      <c r="F203" s="29" t="s">
        <v>190</v>
      </c>
      <c r="G203" s="29" t="s">
        <v>190</v>
      </c>
      <c r="H203" s="29" t="s">
        <v>190</v>
      </c>
      <c r="I203" s="29" t="s">
        <v>190</v>
      </c>
      <c r="J203" s="29" t="s">
        <v>190</v>
      </c>
      <c r="K203" s="29" t="s">
        <v>190</v>
      </c>
      <c r="L203" s="29" t="s">
        <v>256</v>
      </c>
      <c r="M203" s="29" t="s">
        <v>256</v>
      </c>
      <c r="N203" s="29" t="s">
        <v>256</v>
      </c>
      <c r="O203" s="29" t="s">
        <v>256</v>
      </c>
      <c r="P203" s="29" t="s">
        <v>208</v>
      </c>
      <c r="Q203" s="29" t="s">
        <v>256</v>
      </c>
      <c r="R203" s="29" t="s">
        <v>208</v>
      </c>
      <c r="S203" s="29" t="s">
        <v>256</v>
      </c>
      <c r="T203" s="29" t="s">
        <v>208</v>
      </c>
      <c r="U203" s="29" t="s">
        <v>208</v>
      </c>
      <c r="V203" s="29" t="s">
        <v>208</v>
      </c>
      <c r="W203" s="117" t="s">
        <v>344</v>
      </c>
      <c r="X203" s="117" t="s">
        <v>344</v>
      </c>
    </row>
    <row r="204" spans="1:24" x14ac:dyDescent="0.2">
      <c r="A204" s="30" t="s">
        <v>207</v>
      </c>
      <c r="B204" s="16" t="s">
        <v>182</v>
      </c>
      <c r="C204" s="16" t="s">
        <v>72</v>
      </c>
      <c r="D204" s="29" t="s">
        <v>190</v>
      </c>
      <c r="E204" s="29" t="s">
        <v>190</v>
      </c>
      <c r="F204" s="29" t="s">
        <v>190</v>
      </c>
      <c r="G204" s="29" t="s">
        <v>190</v>
      </c>
      <c r="H204" s="29" t="s">
        <v>190</v>
      </c>
      <c r="I204" s="29" t="s">
        <v>190</v>
      </c>
      <c r="J204" s="29" t="s">
        <v>190</v>
      </c>
      <c r="K204" s="29" t="s">
        <v>190</v>
      </c>
      <c r="L204" s="29">
        <v>0.13200000000000001</v>
      </c>
      <c r="M204" s="29">
        <v>0.13699999999999998</v>
      </c>
      <c r="N204" s="29">
        <v>0.128</v>
      </c>
      <c r="O204" s="29">
        <v>0.13400000000000001</v>
      </c>
      <c r="P204" s="29">
        <v>0.13300000000000001</v>
      </c>
      <c r="Q204" s="29">
        <v>0.129</v>
      </c>
      <c r="R204" s="29">
        <v>0.13900000000000001</v>
      </c>
      <c r="S204" s="29">
        <v>0.13</v>
      </c>
      <c r="T204" s="29">
        <v>0.20800000000000002</v>
      </c>
      <c r="U204" s="29" t="s">
        <v>256</v>
      </c>
      <c r="V204" s="29" t="s">
        <v>256</v>
      </c>
      <c r="W204" s="117" t="s">
        <v>344</v>
      </c>
      <c r="X204" s="117" t="s">
        <v>344</v>
      </c>
    </row>
    <row r="205" spans="1:24" x14ac:dyDescent="0.2">
      <c r="A205" s="30" t="s">
        <v>207</v>
      </c>
      <c r="B205" s="16" t="s">
        <v>182</v>
      </c>
      <c r="C205" s="16" t="s">
        <v>73</v>
      </c>
      <c r="D205" s="29" t="s">
        <v>190</v>
      </c>
      <c r="E205" s="29" t="s">
        <v>190</v>
      </c>
      <c r="F205" s="29" t="s">
        <v>190</v>
      </c>
      <c r="G205" s="29" t="s">
        <v>190</v>
      </c>
      <c r="H205" s="29" t="s">
        <v>190</v>
      </c>
      <c r="I205" s="29" t="s">
        <v>190</v>
      </c>
      <c r="J205" s="29" t="s">
        <v>190</v>
      </c>
      <c r="K205" s="29" t="s">
        <v>190</v>
      </c>
      <c r="L205" s="29" t="s">
        <v>256</v>
      </c>
      <c r="M205" s="29" t="s">
        <v>208</v>
      </c>
      <c r="N205" s="29" t="s">
        <v>256</v>
      </c>
      <c r="O205" s="29" t="s">
        <v>256</v>
      </c>
      <c r="P205" s="29" t="s">
        <v>208</v>
      </c>
      <c r="Q205" s="29" t="s">
        <v>256</v>
      </c>
      <c r="R205" s="29" t="s">
        <v>256</v>
      </c>
      <c r="S205" s="29" t="s">
        <v>256</v>
      </c>
      <c r="T205" s="29" t="s">
        <v>208</v>
      </c>
      <c r="U205" s="29" t="s">
        <v>208</v>
      </c>
      <c r="V205" s="29" t="s">
        <v>208</v>
      </c>
      <c r="W205" s="117" t="s">
        <v>344</v>
      </c>
      <c r="X205" s="117" t="s">
        <v>344</v>
      </c>
    </row>
    <row r="206" spans="1:24" x14ac:dyDescent="0.2">
      <c r="A206" s="30" t="s">
        <v>207</v>
      </c>
      <c r="B206" s="16" t="s">
        <v>182</v>
      </c>
      <c r="C206" s="16" t="s">
        <v>53</v>
      </c>
      <c r="D206" s="29" t="s">
        <v>190</v>
      </c>
      <c r="E206" s="29" t="s">
        <v>190</v>
      </c>
      <c r="F206" s="29" t="s">
        <v>190</v>
      </c>
      <c r="G206" s="29" t="s">
        <v>190</v>
      </c>
      <c r="H206" s="29" t="s">
        <v>190</v>
      </c>
      <c r="I206" s="29" t="s">
        <v>190</v>
      </c>
      <c r="J206" s="29" t="s">
        <v>190</v>
      </c>
      <c r="K206" s="29" t="s">
        <v>190</v>
      </c>
      <c r="L206" s="29">
        <v>3.6000000000000004E-2</v>
      </c>
      <c r="M206" s="29">
        <v>3.7999999999999999E-2</v>
      </c>
      <c r="N206" s="29">
        <v>3.7999999999999999E-2</v>
      </c>
      <c r="O206" s="29">
        <v>3.7999999999999999E-2</v>
      </c>
      <c r="P206" s="29">
        <v>3.9E-2</v>
      </c>
      <c r="Q206" s="29">
        <v>0.04</v>
      </c>
      <c r="R206" s="29">
        <v>4.0999999999999995E-2</v>
      </c>
      <c r="S206" s="29">
        <v>3.9E-2</v>
      </c>
      <c r="T206" s="29">
        <v>5.0999999999999997E-2</v>
      </c>
      <c r="U206" s="29">
        <v>5.7000000000000002E-2</v>
      </c>
      <c r="V206" s="65">
        <v>0.06</v>
      </c>
      <c r="W206" s="117" t="s">
        <v>344</v>
      </c>
      <c r="X206" s="117" t="s">
        <v>344</v>
      </c>
    </row>
    <row r="207" spans="1:24" x14ac:dyDescent="0.2">
      <c r="A207" s="30" t="s">
        <v>207</v>
      </c>
      <c r="B207" s="16" t="s">
        <v>182</v>
      </c>
      <c r="C207" s="16" t="s">
        <v>74</v>
      </c>
      <c r="D207" s="29" t="s">
        <v>190</v>
      </c>
      <c r="E207" s="29" t="s">
        <v>190</v>
      </c>
      <c r="F207" s="29" t="s">
        <v>190</v>
      </c>
      <c r="G207" s="29" t="s">
        <v>190</v>
      </c>
      <c r="H207" s="29" t="s">
        <v>190</v>
      </c>
      <c r="I207" s="29" t="s">
        <v>190</v>
      </c>
      <c r="J207" s="29" t="s">
        <v>190</v>
      </c>
      <c r="K207" s="29" t="s">
        <v>190</v>
      </c>
      <c r="L207" s="29" t="s">
        <v>190</v>
      </c>
      <c r="M207" s="29" t="s">
        <v>208</v>
      </c>
      <c r="N207" s="29" t="s">
        <v>208</v>
      </c>
      <c r="O207" s="29" t="s">
        <v>190</v>
      </c>
      <c r="P207" s="29" t="s">
        <v>208</v>
      </c>
      <c r="Q207" s="29" t="s">
        <v>190</v>
      </c>
      <c r="R207" s="29" t="s">
        <v>190</v>
      </c>
      <c r="S207" s="29" t="s">
        <v>190</v>
      </c>
      <c r="T207" s="29" t="s">
        <v>190</v>
      </c>
      <c r="U207" s="29" t="s">
        <v>190</v>
      </c>
      <c r="V207" s="29" t="s">
        <v>190</v>
      </c>
      <c r="W207" s="117" t="s">
        <v>344</v>
      </c>
      <c r="X207" s="117" t="s">
        <v>344</v>
      </c>
    </row>
    <row r="208" spans="1:24" x14ac:dyDescent="0.2">
      <c r="A208" s="30" t="s">
        <v>207</v>
      </c>
      <c r="B208" s="16" t="s">
        <v>182</v>
      </c>
      <c r="C208" s="16" t="s">
        <v>75</v>
      </c>
      <c r="D208" s="29" t="s">
        <v>190</v>
      </c>
      <c r="E208" s="29" t="s">
        <v>190</v>
      </c>
      <c r="F208" s="29" t="s">
        <v>190</v>
      </c>
      <c r="G208" s="29" t="s">
        <v>190</v>
      </c>
      <c r="H208" s="29" t="s">
        <v>190</v>
      </c>
      <c r="I208" s="29" t="s">
        <v>190</v>
      </c>
      <c r="J208" s="29" t="s">
        <v>190</v>
      </c>
      <c r="K208" s="29" t="s">
        <v>190</v>
      </c>
      <c r="L208" s="29">
        <v>8.6999999999999994E-2</v>
      </c>
      <c r="M208" s="29">
        <v>8.900000000000001E-2</v>
      </c>
      <c r="N208" s="29">
        <v>9.0999999999999998E-2</v>
      </c>
      <c r="O208" s="29">
        <v>0.10300000000000001</v>
      </c>
      <c r="P208" s="29">
        <v>8.5000000000000006E-2</v>
      </c>
      <c r="Q208" s="29">
        <v>0.10199999999999999</v>
      </c>
      <c r="R208" s="29">
        <v>0.105</v>
      </c>
      <c r="S208" s="29">
        <v>0.113</v>
      </c>
      <c r="T208" s="29">
        <v>0.13699999999999998</v>
      </c>
      <c r="U208" s="29">
        <v>0.151</v>
      </c>
      <c r="V208" s="65">
        <v>0.17300000000000001</v>
      </c>
      <c r="W208" s="117" t="s">
        <v>344</v>
      </c>
      <c r="X208" s="117" t="s">
        <v>344</v>
      </c>
    </row>
    <row r="209" spans="1:24" x14ac:dyDescent="0.2">
      <c r="A209" s="30" t="s">
        <v>207</v>
      </c>
      <c r="B209" s="16" t="s">
        <v>182</v>
      </c>
      <c r="C209" s="16" t="s">
        <v>76</v>
      </c>
      <c r="D209" s="29" t="s">
        <v>190</v>
      </c>
      <c r="E209" s="29" t="s">
        <v>190</v>
      </c>
      <c r="F209" s="29" t="s">
        <v>190</v>
      </c>
      <c r="G209" s="29" t="s">
        <v>190</v>
      </c>
      <c r="H209" s="29" t="s">
        <v>190</v>
      </c>
      <c r="I209" s="29" t="s">
        <v>190</v>
      </c>
      <c r="J209" s="29" t="s">
        <v>190</v>
      </c>
      <c r="K209" s="29" t="s">
        <v>190</v>
      </c>
      <c r="L209" s="29">
        <v>0.14400000000000002</v>
      </c>
      <c r="M209" s="29">
        <v>0.127</v>
      </c>
      <c r="N209" s="29">
        <v>0.13600000000000001</v>
      </c>
      <c r="O209" s="29">
        <v>0.14599999999999999</v>
      </c>
      <c r="P209" s="29">
        <v>0.20399999999999999</v>
      </c>
      <c r="Q209" s="29">
        <v>0.19899999999999998</v>
      </c>
      <c r="R209" s="29">
        <v>0.214</v>
      </c>
      <c r="S209" s="29">
        <v>0.191</v>
      </c>
      <c r="T209" s="29">
        <v>0.23</v>
      </c>
      <c r="U209" s="29" t="s">
        <v>208</v>
      </c>
      <c r="V209" s="29" t="s">
        <v>256</v>
      </c>
      <c r="W209" s="117" t="s">
        <v>344</v>
      </c>
      <c r="X209" s="117" t="s">
        <v>344</v>
      </c>
    </row>
    <row r="210" spans="1:24" x14ac:dyDescent="0.2">
      <c r="A210" s="30" t="s">
        <v>207</v>
      </c>
      <c r="B210" s="16" t="s">
        <v>182</v>
      </c>
      <c r="C210" s="16" t="s">
        <v>77</v>
      </c>
      <c r="D210" s="29" t="s">
        <v>190</v>
      </c>
      <c r="E210" s="29" t="s">
        <v>190</v>
      </c>
      <c r="F210" s="29" t="s">
        <v>190</v>
      </c>
      <c r="G210" s="29" t="s">
        <v>190</v>
      </c>
      <c r="H210" s="29" t="s">
        <v>190</v>
      </c>
      <c r="I210" s="29" t="s">
        <v>190</v>
      </c>
      <c r="J210" s="29" t="s">
        <v>190</v>
      </c>
      <c r="K210" s="29" t="s">
        <v>190</v>
      </c>
      <c r="L210" s="29">
        <v>0.13100000000000001</v>
      </c>
      <c r="M210" s="29">
        <v>0.15</v>
      </c>
      <c r="N210" s="29">
        <v>0.13400000000000001</v>
      </c>
      <c r="O210" s="29">
        <v>0.127</v>
      </c>
      <c r="P210" s="29">
        <v>0.161</v>
      </c>
      <c r="Q210" s="29">
        <v>0.17699999999999999</v>
      </c>
      <c r="R210" s="29">
        <v>0.14699999999999999</v>
      </c>
      <c r="S210" s="29">
        <v>0.185</v>
      </c>
      <c r="T210" s="29">
        <v>0.16699999999999998</v>
      </c>
      <c r="U210" s="29">
        <v>0.18600000000000003</v>
      </c>
      <c r="V210" s="29" t="s">
        <v>256</v>
      </c>
      <c r="W210" s="117" t="s">
        <v>344</v>
      </c>
      <c r="X210" s="117" t="s">
        <v>344</v>
      </c>
    </row>
    <row r="211" spans="1:24" x14ac:dyDescent="0.2">
      <c r="A211" s="30" t="s">
        <v>207</v>
      </c>
      <c r="B211" s="16" t="s">
        <v>182</v>
      </c>
      <c r="C211" s="16" t="s">
        <v>78</v>
      </c>
      <c r="D211" s="29" t="s">
        <v>190</v>
      </c>
      <c r="E211" s="29" t="s">
        <v>190</v>
      </c>
      <c r="F211" s="29" t="s">
        <v>190</v>
      </c>
      <c r="G211" s="29" t="s">
        <v>190</v>
      </c>
      <c r="H211" s="29" t="s">
        <v>190</v>
      </c>
      <c r="I211" s="29" t="s">
        <v>190</v>
      </c>
      <c r="J211" s="29" t="s">
        <v>190</v>
      </c>
      <c r="K211" s="29" t="s">
        <v>190</v>
      </c>
      <c r="L211" s="29">
        <v>6.6000000000000003E-2</v>
      </c>
      <c r="M211" s="29">
        <v>6.3E-2</v>
      </c>
      <c r="N211" s="29">
        <v>6.7000000000000004E-2</v>
      </c>
      <c r="O211" s="29">
        <v>7.0999999999999994E-2</v>
      </c>
      <c r="P211" s="29">
        <v>7.5999999999999998E-2</v>
      </c>
      <c r="Q211" s="29">
        <v>0.08</v>
      </c>
      <c r="R211" s="29">
        <v>8.4000000000000005E-2</v>
      </c>
      <c r="S211" s="29">
        <v>8.199999999999999E-2</v>
      </c>
      <c r="T211" s="29">
        <v>0.12</v>
      </c>
      <c r="U211" s="29">
        <v>0.121</v>
      </c>
      <c r="V211" s="65">
        <v>0.13200000000000001</v>
      </c>
      <c r="W211" s="117" t="s">
        <v>344</v>
      </c>
      <c r="X211" s="117" t="s">
        <v>344</v>
      </c>
    </row>
    <row r="212" spans="1:24" x14ac:dyDescent="0.2">
      <c r="A212" s="30" t="s">
        <v>207</v>
      </c>
      <c r="B212" s="16" t="s">
        <v>182</v>
      </c>
      <c r="C212" s="16" t="s">
        <v>79</v>
      </c>
      <c r="D212" s="29" t="s">
        <v>190</v>
      </c>
      <c r="E212" s="29" t="s">
        <v>190</v>
      </c>
      <c r="F212" s="29" t="s">
        <v>190</v>
      </c>
      <c r="G212" s="29" t="s">
        <v>190</v>
      </c>
      <c r="H212" s="29" t="s">
        <v>190</v>
      </c>
      <c r="I212" s="29" t="s">
        <v>190</v>
      </c>
      <c r="J212" s="29" t="s">
        <v>190</v>
      </c>
      <c r="K212" s="29" t="s">
        <v>190</v>
      </c>
      <c r="L212" s="29">
        <v>8.3000000000000004E-2</v>
      </c>
      <c r="M212" s="29">
        <v>0.08</v>
      </c>
      <c r="N212" s="29">
        <v>7.6999999999999999E-2</v>
      </c>
      <c r="O212" s="29">
        <v>8.900000000000001E-2</v>
      </c>
      <c r="P212" s="29">
        <v>0.10099999999999999</v>
      </c>
      <c r="Q212" s="29">
        <v>9.9000000000000005E-2</v>
      </c>
      <c r="R212" s="29">
        <v>8.1000000000000003E-2</v>
      </c>
      <c r="S212" s="29">
        <v>9.0999999999999998E-2</v>
      </c>
      <c r="T212" s="29">
        <v>0.13500000000000001</v>
      </c>
      <c r="U212" s="29">
        <v>0.153</v>
      </c>
      <c r="V212" s="65">
        <v>0.13500000000000001</v>
      </c>
      <c r="W212" s="117" t="s">
        <v>344</v>
      </c>
      <c r="X212" s="117" t="s">
        <v>344</v>
      </c>
    </row>
    <row r="213" spans="1:24" x14ac:dyDescent="0.2">
      <c r="A213" s="30" t="s">
        <v>207</v>
      </c>
      <c r="B213" s="16" t="s">
        <v>182</v>
      </c>
      <c r="C213" s="16" t="s">
        <v>80</v>
      </c>
      <c r="D213" s="29" t="s">
        <v>190</v>
      </c>
      <c r="E213" s="29" t="s">
        <v>190</v>
      </c>
      <c r="F213" s="29" t="s">
        <v>190</v>
      </c>
      <c r="G213" s="29" t="s">
        <v>190</v>
      </c>
      <c r="H213" s="29" t="s">
        <v>190</v>
      </c>
      <c r="I213" s="29" t="s">
        <v>190</v>
      </c>
      <c r="J213" s="29" t="s">
        <v>190</v>
      </c>
      <c r="K213" s="29" t="s">
        <v>190</v>
      </c>
      <c r="L213" s="29" t="s">
        <v>256</v>
      </c>
      <c r="M213" s="29" t="s">
        <v>256</v>
      </c>
      <c r="N213" s="29">
        <v>0.20399999999999999</v>
      </c>
      <c r="O213" s="29" t="s">
        <v>256</v>
      </c>
      <c r="P213" s="29" t="s">
        <v>256</v>
      </c>
      <c r="Q213" s="29">
        <v>0.20699999999999999</v>
      </c>
      <c r="R213" s="29" t="s">
        <v>256</v>
      </c>
      <c r="S213" s="29" t="s">
        <v>208</v>
      </c>
      <c r="T213" s="29" t="s">
        <v>190</v>
      </c>
      <c r="U213" s="29" t="s">
        <v>256</v>
      </c>
      <c r="V213" s="65" t="s">
        <v>190</v>
      </c>
      <c r="W213" s="117" t="s">
        <v>344</v>
      </c>
      <c r="X213" s="117" t="s">
        <v>344</v>
      </c>
    </row>
    <row r="214" spans="1:24" x14ac:dyDescent="0.2">
      <c r="A214" s="30" t="s">
        <v>207</v>
      </c>
      <c r="B214" s="16" t="s">
        <v>182</v>
      </c>
      <c r="C214" s="16" t="s">
        <v>81</v>
      </c>
      <c r="D214" s="29" t="s">
        <v>190</v>
      </c>
      <c r="E214" s="29" t="s">
        <v>190</v>
      </c>
      <c r="F214" s="29" t="s">
        <v>190</v>
      </c>
      <c r="G214" s="29" t="s">
        <v>190</v>
      </c>
      <c r="H214" s="29" t="s">
        <v>190</v>
      </c>
      <c r="I214" s="29" t="s">
        <v>190</v>
      </c>
      <c r="J214" s="29" t="s">
        <v>190</v>
      </c>
      <c r="K214" s="29" t="s">
        <v>190</v>
      </c>
      <c r="L214" s="29">
        <v>6.7000000000000004E-2</v>
      </c>
      <c r="M214" s="29">
        <v>6.8000000000000005E-2</v>
      </c>
      <c r="N214" s="29">
        <v>6.9000000000000006E-2</v>
      </c>
      <c r="O214" s="29">
        <v>7.0000000000000007E-2</v>
      </c>
      <c r="P214" s="29">
        <v>7.2000000000000008E-2</v>
      </c>
      <c r="Q214" s="29">
        <v>8.4000000000000005E-2</v>
      </c>
      <c r="R214" s="29">
        <v>0.09</v>
      </c>
      <c r="S214" s="29">
        <v>9.0999999999999998E-2</v>
      </c>
      <c r="T214" s="29">
        <v>0.10800000000000001</v>
      </c>
      <c r="U214" s="29">
        <v>0.111</v>
      </c>
      <c r="V214" s="65">
        <v>0.114</v>
      </c>
      <c r="W214" s="117" t="s">
        <v>344</v>
      </c>
      <c r="X214" s="117" t="s">
        <v>344</v>
      </c>
    </row>
    <row r="215" spans="1:24" x14ac:dyDescent="0.2">
      <c r="A215" s="30" t="s">
        <v>207</v>
      </c>
      <c r="B215" s="16" t="s">
        <v>182</v>
      </c>
      <c r="C215" s="16" t="s">
        <v>82</v>
      </c>
      <c r="D215" s="29" t="s">
        <v>190</v>
      </c>
      <c r="E215" s="29" t="s">
        <v>190</v>
      </c>
      <c r="F215" s="29" t="s">
        <v>190</v>
      </c>
      <c r="G215" s="29" t="s">
        <v>190</v>
      </c>
      <c r="H215" s="29" t="s">
        <v>190</v>
      </c>
      <c r="I215" s="29" t="s">
        <v>190</v>
      </c>
      <c r="J215" s="29" t="s">
        <v>190</v>
      </c>
      <c r="K215" s="29" t="s">
        <v>190</v>
      </c>
      <c r="L215" s="29" t="s">
        <v>208</v>
      </c>
      <c r="M215" s="29" t="s">
        <v>208</v>
      </c>
      <c r="N215" s="29" t="s">
        <v>190</v>
      </c>
      <c r="O215" s="29" t="s">
        <v>256</v>
      </c>
      <c r="P215" s="29" t="s">
        <v>256</v>
      </c>
      <c r="Q215" s="29" t="s">
        <v>208</v>
      </c>
      <c r="R215" s="29" t="s">
        <v>208</v>
      </c>
      <c r="S215" s="29" t="s">
        <v>190</v>
      </c>
      <c r="T215" s="29" t="s">
        <v>208</v>
      </c>
      <c r="U215" s="29" t="s">
        <v>208</v>
      </c>
      <c r="V215" s="65" t="s">
        <v>190</v>
      </c>
      <c r="W215" s="117" t="s">
        <v>344</v>
      </c>
      <c r="X215" s="117" t="s">
        <v>344</v>
      </c>
    </row>
    <row r="216" spans="1:24" x14ac:dyDescent="0.2">
      <c r="A216" s="30" t="s">
        <v>207</v>
      </c>
      <c r="B216" s="16" t="s">
        <v>182</v>
      </c>
      <c r="C216" s="16" t="s">
        <v>83</v>
      </c>
      <c r="D216" s="29" t="s">
        <v>190</v>
      </c>
      <c r="E216" s="29" t="s">
        <v>190</v>
      </c>
      <c r="F216" s="29" t="s">
        <v>190</v>
      </c>
      <c r="G216" s="29" t="s">
        <v>190</v>
      </c>
      <c r="H216" s="29" t="s">
        <v>190</v>
      </c>
      <c r="I216" s="29" t="s">
        <v>190</v>
      </c>
      <c r="J216" s="29" t="s">
        <v>190</v>
      </c>
      <c r="K216" s="29" t="s">
        <v>190</v>
      </c>
      <c r="L216" s="29" t="s">
        <v>256</v>
      </c>
      <c r="M216" s="29" t="s">
        <v>208</v>
      </c>
      <c r="N216" s="29" t="s">
        <v>256</v>
      </c>
      <c r="O216" s="29" t="s">
        <v>256</v>
      </c>
      <c r="P216" s="29" t="s">
        <v>208</v>
      </c>
      <c r="Q216" s="29" t="s">
        <v>256</v>
      </c>
      <c r="R216" s="29" t="s">
        <v>256</v>
      </c>
      <c r="S216" s="29" t="s">
        <v>256</v>
      </c>
      <c r="T216" s="29" t="s">
        <v>256</v>
      </c>
      <c r="U216" s="29" t="s">
        <v>208</v>
      </c>
      <c r="V216" s="29" t="s">
        <v>208</v>
      </c>
      <c r="W216" s="117" t="s">
        <v>344</v>
      </c>
      <c r="X216" s="117" t="s">
        <v>344</v>
      </c>
    </row>
    <row r="217" spans="1:24" x14ac:dyDescent="0.2">
      <c r="A217" s="30" t="s">
        <v>207</v>
      </c>
      <c r="B217" s="16" t="s">
        <v>182</v>
      </c>
      <c r="C217" s="16" t="s">
        <v>84</v>
      </c>
      <c r="D217" s="29" t="s">
        <v>190</v>
      </c>
      <c r="E217" s="29" t="s">
        <v>190</v>
      </c>
      <c r="F217" s="29" t="s">
        <v>190</v>
      </c>
      <c r="G217" s="29" t="s">
        <v>190</v>
      </c>
      <c r="H217" s="29" t="s">
        <v>190</v>
      </c>
      <c r="I217" s="29" t="s">
        <v>190</v>
      </c>
      <c r="J217" s="29" t="s">
        <v>190</v>
      </c>
      <c r="K217" s="29" t="s">
        <v>190</v>
      </c>
      <c r="L217" s="29" t="s">
        <v>256</v>
      </c>
      <c r="M217" s="29">
        <v>0.24</v>
      </c>
      <c r="N217" s="29">
        <v>0.222</v>
      </c>
      <c r="O217" s="29" t="s">
        <v>256</v>
      </c>
      <c r="P217" s="29">
        <v>0.22</v>
      </c>
      <c r="Q217" s="29">
        <v>0.184</v>
      </c>
      <c r="R217" s="29" t="s">
        <v>256</v>
      </c>
      <c r="S217" s="29" t="s">
        <v>256</v>
      </c>
      <c r="T217" s="29" t="s">
        <v>256</v>
      </c>
      <c r="U217" s="29" t="s">
        <v>256</v>
      </c>
      <c r="V217" s="29" t="s">
        <v>208</v>
      </c>
      <c r="W217" s="117" t="s">
        <v>344</v>
      </c>
      <c r="X217" s="117" t="s">
        <v>344</v>
      </c>
    </row>
    <row r="218" spans="1:24" x14ac:dyDescent="0.2">
      <c r="A218" s="30" t="s">
        <v>207</v>
      </c>
      <c r="B218" s="16" t="s">
        <v>182</v>
      </c>
      <c r="C218" s="16" t="s">
        <v>15</v>
      </c>
      <c r="D218" s="29" t="s">
        <v>190</v>
      </c>
      <c r="E218" s="29" t="s">
        <v>190</v>
      </c>
      <c r="F218" s="29" t="s">
        <v>190</v>
      </c>
      <c r="G218" s="29" t="s">
        <v>190</v>
      </c>
      <c r="H218" s="29" t="s">
        <v>190</v>
      </c>
      <c r="I218" s="29" t="s">
        <v>190</v>
      </c>
      <c r="J218" s="29" t="s">
        <v>190</v>
      </c>
      <c r="K218" s="29" t="s">
        <v>190</v>
      </c>
      <c r="L218" s="29">
        <v>0.21100000000000002</v>
      </c>
      <c r="M218" s="29">
        <v>0.17800000000000002</v>
      </c>
      <c r="N218" s="29">
        <v>0.17100000000000001</v>
      </c>
      <c r="O218" s="29">
        <v>0.182</v>
      </c>
      <c r="P218" s="29" t="s">
        <v>256</v>
      </c>
      <c r="Q218" s="29">
        <v>0.188</v>
      </c>
      <c r="R218" s="29">
        <v>0.187</v>
      </c>
      <c r="S218" s="29">
        <v>0.22699999999999998</v>
      </c>
      <c r="T218" s="29" t="s">
        <v>256</v>
      </c>
      <c r="U218" s="29" t="s">
        <v>256</v>
      </c>
      <c r="V218" s="65" t="s">
        <v>190</v>
      </c>
      <c r="W218" s="117" t="s">
        <v>344</v>
      </c>
      <c r="X218" s="117" t="s">
        <v>344</v>
      </c>
    </row>
    <row r="219" spans="1:24" x14ac:dyDescent="0.2">
      <c r="A219" s="30" t="s">
        <v>207</v>
      </c>
      <c r="B219" s="16" t="s">
        <v>182</v>
      </c>
      <c r="C219" s="16" t="s">
        <v>85</v>
      </c>
      <c r="D219" s="29" t="s">
        <v>190</v>
      </c>
      <c r="E219" s="29" t="s">
        <v>190</v>
      </c>
      <c r="F219" s="29" t="s">
        <v>190</v>
      </c>
      <c r="G219" s="29" t="s">
        <v>190</v>
      </c>
      <c r="H219" s="29" t="s">
        <v>190</v>
      </c>
      <c r="I219" s="29" t="s">
        <v>190</v>
      </c>
      <c r="J219" s="29" t="s">
        <v>190</v>
      </c>
      <c r="K219" s="29" t="s">
        <v>190</v>
      </c>
      <c r="L219" s="29">
        <v>9.8000000000000004E-2</v>
      </c>
      <c r="M219" s="29">
        <v>0.10300000000000001</v>
      </c>
      <c r="N219" s="29">
        <v>0.10199999999999999</v>
      </c>
      <c r="O219" s="29">
        <v>0.12</v>
      </c>
      <c r="P219" s="29">
        <v>0.128</v>
      </c>
      <c r="Q219" s="29">
        <v>0.105</v>
      </c>
      <c r="R219" s="29">
        <v>0.114</v>
      </c>
      <c r="S219" s="29">
        <v>9.5000000000000001E-2</v>
      </c>
      <c r="T219" s="29">
        <v>0.129</v>
      </c>
      <c r="U219" s="29">
        <v>0.16399999999999998</v>
      </c>
      <c r="V219" s="65">
        <v>0.16699999999999998</v>
      </c>
      <c r="W219" s="117" t="s">
        <v>344</v>
      </c>
      <c r="X219" s="117" t="s">
        <v>344</v>
      </c>
    </row>
    <row r="220" spans="1:24" x14ac:dyDescent="0.2">
      <c r="A220" s="30" t="s">
        <v>207</v>
      </c>
      <c r="B220" s="16" t="s">
        <v>182</v>
      </c>
      <c r="C220" s="16" t="s">
        <v>86</v>
      </c>
      <c r="D220" s="29" t="s">
        <v>190</v>
      </c>
      <c r="E220" s="29" t="s">
        <v>190</v>
      </c>
      <c r="F220" s="29" t="s">
        <v>190</v>
      </c>
      <c r="G220" s="29" t="s">
        <v>190</v>
      </c>
      <c r="H220" s="29" t="s">
        <v>190</v>
      </c>
      <c r="I220" s="29" t="s">
        <v>190</v>
      </c>
      <c r="J220" s="29" t="s">
        <v>190</v>
      </c>
      <c r="K220" s="29" t="s">
        <v>190</v>
      </c>
      <c r="L220" s="29">
        <v>0.19800000000000001</v>
      </c>
      <c r="M220" s="29" t="s">
        <v>256</v>
      </c>
      <c r="N220" s="29" t="s">
        <v>256</v>
      </c>
      <c r="O220" s="29">
        <v>0.192</v>
      </c>
      <c r="P220" s="29" t="s">
        <v>256</v>
      </c>
      <c r="Q220" s="29" t="s">
        <v>256</v>
      </c>
      <c r="R220" s="29">
        <v>0.22600000000000001</v>
      </c>
      <c r="S220" s="29" t="s">
        <v>256</v>
      </c>
      <c r="T220" s="29" t="s">
        <v>256</v>
      </c>
      <c r="U220" s="29" t="s">
        <v>190</v>
      </c>
      <c r="V220" s="65" t="s">
        <v>190</v>
      </c>
      <c r="W220" s="117" t="s">
        <v>344</v>
      </c>
      <c r="X220" s="117" t="s">
        <v>344</v>
      </c>
    </row>
    <row r="221" spans="1:24" x14ac:dyDescent="0.2">
      <c r="A221" s="30" t="s">
        <v>207</v>
      </c>
      <c r="B221" s="16" t="s">
        <v>182</v>
      </c>
      <c r="C221" s="16" t="s">
        <v>87</v>
      </c>
      <c r="D221" s="29" t="s">
        <v>190</v>
      </c>
      <c r="E221" s="29" t="s">
        <v>190</v>
      </c>
      <c r="F221" s="29" t="s">
        <v>190</v>
      </c>
      <c r="G221" s="29" t="s">
        <v>190</v>
      </c>
      <c r="H221" s="29" t="s">
        <v>190</v>
      </c>
      <c r="I221" s="29" t="s">
        <v>190</v>
      </c>
      <c r="J221" s="29" t="s">
        <v>190</v>
      </c>
      <c r="K221" s="29" t="s">
        <v>190</v>
      </c>
      <c r="L221" s="29" t="s">
        <v>256</v>
      </c>
      <c r="M221" s="29" t="s">
        <v>256</v>
      </c>
      <c r="N221" s="29" t="s">
        <v>190</v>
      </c>
      <c r="O221" s="29" t="s">
        <v>256</v>
      </c>
      <c r="P221" s="29" t="s">
        <v>256</v>
      </c>
      <c r="Q221" s="29" t="s">
        <v>256</v>
      </c>
      <c r="R221" s="29" t="s">
        <v>256</v>
      </c>
      <c r="S221" s="29" t="s">
        <v>208</v>
      </c>
      <c r="T221" s="29" t="s">
        <v>190</v>
      </c>
      <c r="U221" s="29" t="s">
        <v>208</v>
      </c>
      <c r="V221" s="65" t="s">
        <v>256</v>
      </c>
      <c r="W221" s="117" t="s">
        <v>344</v>
      </c>
      <c r="X221" s="117" t="s">
        <v>344</v>
      </c>
    </row>
    <row r="222" spans="1:24" x14ac:dyDescent="0.2">
      <c r="A222" s="30" t="s">
        <v>207</v>
      </c>
      <c r="B222" s="16" t="s">
        <v>182</v>
      </c>
      <c r="C222" s="16" t="s">
        <v>88</v>
      </c>
      <c r="D222" s="29" t="s">
        <v>190</v>
      </c>
      <c r="E222" s="29" t="s">
        <v>190</v>
      </c>
      <c r="F222" s="29" t="s">
        <v>190</v>
      </c>
      <c r="G222" s="29" t="s">
        <v>190</v>
      </c>
      <c r="H222" s="29" t="s">
        <v>190</v>
      </c>
      <c r="I222" s="29" t="s">
        <v>190</v>
      </c>
      <c r="J222" s="29" t="s">
        <v>190</v>
      </c>
      <c r="K222" s="29" t="s">
        <v>190</v>
      </c>
      <c r="L222" s="29" t="s">
        <v>256</v>
      </c>
      <c r="M222" s="29" t="s">
        <v>256</v>
      </c>
      <c r="N222" s="29" t="s">
        <v>208</v>
      </c>
      <c r="O222" s="29" t="s">
        <v>190</v>
      </c>
      <c r="P222" s="29" t="s">
        <v>190</v>
      </c>
      <c r="Q222" s="29" t="s">
        <v>190</v>
      </c>
      <c r="R222" s="29" t="s">
        <v>208</v>
      </c>
      <c r="S222" s="29" t="s">
        <v>208</v>
      </c>
      <c r="T222" s="29" t="s">
        <v>208</v>
      </c>
      <c r="U222" s="29" t="s">
        <v>190</v>
      </c>
      <c r="V222" s="29" t="s">
        <v>190</v>
      </c>
      <c r="W222" s="117" t="s">
        <v>344</v>
      </c>
      <c r="X222" s="117" t="s">
        <v>344</v>
      </c>
    </row>
    <row r="223" spans="1:24" x14ac:dyDescent="0.2">
      <c r="A223" s="30" t="s">
        <v>207</v>
      </c>
      <c r="B223" s="16" t="s">
        <v>182</v>
      </c>
      <c r="C223" s="16" t="s">
        <v>18</v>
      </c>
      <c r="D223" s="29" t="s">
        <v>190</v>
      </c>
      <c r="E223" s="29" t="s">
        <v>190</v>
      </c>
      <c r="F223" s="29" t="s">
        <v>190</v>
      </c>
      <c r="G223" s="29" t="s">
        <v>190</v>
      </c>
      <c r="H223" s="29" t="s">
        <v>190</v>
      </c>
      <c r="I223" s="29" t="s">
        <v>190</v>
      </c>
      <c r="J223" s="29" t="s">
        <v>190</v>
      </c>
      <c r="K223" s="29" t="s">
        <v>190</v>
      </c>
      <c r="L223" s="29">
        <v>0.21299999999999999</v>
      </c>
      <c r="M223" s="29">
        <v>0.24299999999999999</v>
      </c>
      <c r="N223" s="29">
        <v>0.21600000000000003</v>
      </c>
      <c r="O223" s="29">
        <v>0.153</v>
      </c>
      <c r="P223" s="29">
        <v>0.21899999999999997</v>
      </c>
      <c r="Q223" s="29">
        <v>0.22800000000000001</v>
      </c>
      <c r="R223" s="29" t="s">
        <v>256</v>
      </c>
      <c r="S223" s="29" t="s">
        <v>256</v>
      </c>
      <c r="T223" s="29" t="s">
        <v>256</v>
      </c>
      <c r="U223" s="29" t="s">
        <v>208</v>
      </c>
      <c r="V223" s="29" t="s">
        <v>208</v>
      </c>
      <c r="W223" s="117" t="s">
        <v>344</v>
      </c>
      <c r="X223" s="117" t="s">
        <v>344</v>
      </c>
    </row>
    <row r="224" spans="1:24" x14ac:dyDescent="0.2">
      <c r="A224" s="30" t="s">
        <v>207</v>
      </c>
      <c r="B224" s="16" t="s">
        <v>182</v>
      </c>
      <c r="C224" s="16" t="s">
        <v>89</v>
      </c>
      <c r="D224" s="29" t="s">
        <v>190</v>
      </c>
      <c r="E224" s="29" t="s">
        <v>190</v>
      </c>
      <c r="F224" s="29" t="s">
        <v>190</v>
      </c>
      <c r="G224" s="29" t="s">
        <v>190</v>
      </c>
      <c r="H224" s="29" t="s">
        <v>190</v>
      </c>
      <c r="I224" s="29" t="s">
        <v>190</v>
      </c>
      <c r="J224" s="29" t="s">
        <v>190</v>
      </c>
      <c r="K224" s="29" t="s">
        <v>190</v>
      </c>
      <c r="L224" s="29" t="s">
        <v>256</v>
      </c>
      <c r="M224" s="29" t="s">
        <v>256</v>
      </c>
      <c r="N224" s="29">
        <v>0.218</v>
      </c>
      <c r="O224" s="29" t="s">
        <v>256</v>
      </c>
      <c r="P224" s="29" t="s">
        <v>256</v>
      </c>
      <c r="Q224" s="29" t="s">
        <v>256</v>
      </c>
      <c r="R224" s="29" t="s">
        <v>256</v>
      </c>
      <c r="S224" s="29" t="s">
        <v>256</v>
      </c>
      <c r="T224" s="29" t="s">
        <v>256</v>
      </c>
      <c r="U224" s="29" t="s">
        <v>256</v>
      </c>
      <c r="V224" s="65" t="s">
        <v>190</v>
      </c>
      <c r="W224" s="117" t="s">
        <v>344</v>
      </c>
      <c r="X224" s="117" t="s">
        <v>344</v>
      </c>
    </row>
    <row r="225" spans="1:24" x14ac:dyDescent="0.2">
      <c r="A225" s="30" t="s">
        <v>207</v>
      </c>
      <c r="B225" s="16" t="s">
        <v>182</v>
      </c>
      <c r="C225" s="16" t="s">
        <v>90</v>
      </c>
      <c r="D225" s="29" t="s">
        <v>190</v>
      </c>
      <c r="E225" s="29" t="s">
        <v>190</v>
      </c>
      <c r="F225" s="29" t="s">
        <v>190</v>
      </c>
      <c r="G225" s="29" t="s">
        <v>190</v>
      </c>
      <c r="H225" s="29" t="s">
        <v>190</v>
      </c>
      <c r="I225" s="29" t="s">
        <v>190</v>
      </c>
      <c r="J225" s="29" t="s">
        <v>190</v>
      </c>
      <c r="K225" s="29" t="s">
        <v>190</v>
      </c>
      <c r="L225" s="29" t="s">
        <v>256</v>
      </c>
      <c r="M225" s="29" t="s">
        <v>256</v>
      </c>
      <c r="N225" s="29">
        <v>0.19899999999999998</v>
      </c>
      <c r="O225" s="29">
        <v>0.193</v>
      </c>
      <c r="P225" s="29" t="s">
        <v>256</v>
      </c>
      <c r="Q225" s="29" t="s">
        <v>256</v>
      </c>
      <c r="R225" s="29" t="s">
        <v>208</v>
      </c>
      <c r="S225" s="29" t="s">
        <v>208</v>
      </c>
      <c r="T225" s="29" t="s">
        <v>190</v>
      </c>
      <c r="U225" s="29" t="s">
        <v>208</v>
      </c>
      <c r="V225" s="29" t="s">
        <v>208</v>
      </c>
      <c r="W225" s="117" t="s">
        <v>344</v>
      </c>
      <c r="X225" s="117" t="s">
        <v>344</v>
      </c>
    </row>
    <row r="226" spans="1:24" x14ac:dyDescent="0.2">
      <c r="A226" s="30" t="s">
        <v>207</v>
      </c>
      <c r="B226" s="16" t="s">
        <v>182</v>
      </c>
      <c r="C226" s="16" t="s">
        <v>91</v>
      </c>
      <c r="D226" s="29" t="s">
        <v>190</v>
      </c>
      <c r="E226" s="29" t="s">
        <v>190</v>
      </c>
      <c r="F226" s="29" t="s">
        <v>190</v>
      </c>
      <c r="G226" s="29" t="s">
        <v>190</v>
      </c>
      <c r="H226" s="29" t="s">
        <v>190</v>
      </c>
      <c r="I226" s="29" t="s">
        <v>190</v>
      </c>
      <c r="J226" s="29" t="s">
        <v>190</v>
      </c>
      <c r="K226" s="29" t="s">
        <v>190</v>
      </c>
      <c r="L226" s="29" t="s">
        <v>190</v>
      </c>
      <c r="M226" s="29" t="s">
        <v>208</v>
      </c>
      <c r="N226" s="29" t="s">
        <v>190</v>
      </c>
      <c r="O226" s="29" t="s">
        <v>190</v>
      </c>
      <c r="P226" s="29" t="s">
        <v>190</v>
      </c>
      <c r="Q226" s="29" t="s">
        <v>190</v>
      </c>
      <c r="R226" s="29" t="s">
        <v>208</v>
      </c>
      <c r="S226" s="29" t="s">
        <v>208</v>
      </c>
      <c r="T226" s="29" t="s">
        <v>208</v>
      </c>
      <c r="U226" s="29" t="s">
        <v>208</v>
      </c>
      <c r="V226" s="29" t="s">
        <v>256</v>
      </c>
      <c r="W226" s="117" t="s">
        <v>344</v>
      </c>
      <c r="X226" s="117" t="s">
        <v>344</v>
      </c>
    </row>
    <row r="227" spans="1:24" x14ac:dyDescent="0.2">
      <c r="A227" s="30" t="s">
        <v>207</v>
      </c>
      <c r="B227" s="16" t="s">
        <v>182</v>
      </c>
      <c r="C227" s="16" t="s">
        <v>92</v>
      </c>
      <c r="D227" s="29" t="s">
        <v>190</v>
      </c>
      <c r="E227" s="29" t="s">
        <v>190</v>
      </c>
      <c r="F227" s="29" t="s">
        <v>190</v>
      </c>
      <c r="G227" s="29" t="s">
        <v>190</v>
      </c>
      <c r="H227" s="29" t="s">
        <v>190</v>
      </c>
      <c r="I227" s="29" t="s">
        <v>190</v>
      </c>
      <c r="J227" s="29" t="s">
        <v>190</v>
      </c>
      <c r="K227" s="29" t="s">
        <v>190</v>
      </c>
      <c r="L227" s="29" t="s">
        <v>256</v>
      </c>
      <c r="M227" s="29" t="s">
        <v>256</v>
      </c>
      <c r="N227" s="29" t="s">
        <v>256</v>
      </c>
      <c r="O227" s="29" t="s">
        <v>208</v>
      </c>
      <c r="P227" s="29" t="s">
        <v>208</v>
      </c>
      <c r="Q227" s="29" t="s">
        <v>256</v>
      </c>
      <c r="R227" s="29" t="s">
        <v>256</v>
      </c>
      <c r="S227" s="29" t="s">
        <v>190</v>
      </c>
      <c r="T227" s="29" t="s">
        <v>208</v>
      </c>
      <c r="U227" s="29" t="s">
        <v>256</v>
      </c>
      <c r="V227" s="65" t="s">
        <v>190</v>
      </c>
      <c r="W227" s="117" t="s">
        <v>344</v>
      </c>
      <c r="X227" s="117" t="s">
        <v>344</v>
      </c>
    </row>
    <row r="228" spans="1:24" x14ac:dyDescent="0.2">
      <c r="A228" s="30" t="s">
        <v>207</v>
      </c>
      <c r="B228" s="16" t="s">
        <v>182</v>
      </c>
      <c r="C228" s="16" t="s">
        <v>93</v>
      </c>
      <c r="D228" s="29" t="s">
        <v>190</v>
      </c>
      <c r="E228" s="29" t="s">
        <v>190</v>
      </c>
      <c r="F228" s="29" t="s">
        <v>190</v>
      </c>
      <c r="G228" s="29" t="s">
        <v>190</v>
      </c>
      <c r="H228" s="29" t="s">
        <v>190</v>
      </c>
      <c r="I228" s="29" t="s">
        <v>190</v>
      </c>
      <c r="J228" s="29" t="s">
        <v>190</v>
      </c>
      <c r="K228" s="29" t="s">
        <v>190</v>
      </c>
      <c r="L228" s="29" t="s">
        <v>190</v>
      </c>
      <c r="M228" s="29" t="s">
        <v>208</v>
      </c>
      <c r="N228" s="29" t="s">
        <v>190</v>
      </c>
      <c r="O228" s="29" t="s">
        <v>190</v>
      </c>
      <c r="P228" s="29" t="s">
        <v>190</v>
      </c>
      <c r="Q228" s="29" t="s">
        <v>208</v>
      </c>
      <c r="R228" s="29" t="s">
        <v>208</v>
      </c>
      <c r="S228" s="29" t="s">
        <v>190</v>
      </c>
      <c r="T228" s="29" t="s">
        <v>208</v>
      </c>
      <c r="U228" s="29" t="s">
        <v>208</v>
      </c>
      <c r="V228" s="29" t="s">
        <v>208</v>
      </c>
      <c r="W228" s="117" t="s">
        <v>344</v>
      </c>
      <c r="X228" s="117" t="s">
        <v>344</v>
      </c>
    </row>
    <row r="229" spans="1:24" x14ac:dyDescent="0.2">
      <c r="A229" s="30" t="s">
        <v>207</v>
      </c>
      <c r="B229" s="16" t="s">
        <v>182</v>
      </c>
      <c r="C229" s="16" t="s">
        <v>94</v>
      </c>
      <c r="D229" s="29" t="s">
        <v>190</v>
      </c>
      <c r="E229" s="29" t="s">
        <v>190</v>
      </c>
      <c r="F229" s="29" t="s">
        <v>190</v>
      </c>
      <c r="G229" s="29" t="s">
        <v>190</v>
      </c>
      <c r="H229" s="29" t="s">
        <v>190</v>
      </c>
      <c r="I229" s="29" t="s">
        <v>190</v>
      </c>
      <c r="J229" s="29" t="s">
        <v>190</v>
      </c>
      <c r="K229" s="29" t="s">
        <v>190</v>
      </c>
      <c r="L229" s="29">
        <v>0.187</v>
      </c>
      <c r="M229" s="29">
        <v>0.16300000000000001</v>
      </c>
      <c r="N229" s="29">
        <v>0.17600000000000002</v>
      </c>
      <c r="O229" s="29">
        <v>0.19800000000000001</v>
      </c>
      <c r="P229" s="29">
        <v>0.20600000000000002</v>
      </c>
      <c r="Q229" s="29">
        <v>0.155</v>
      </c>
      <c r="R229" s="29">
        <v>0.16800000000000001</v>
      </c>
      <c r="S229" s="29">
        <v>0.16800000000000001</v>
      </c>
      <c r="T229" s="29">
        <v>0.20199999999999999</v>
      </c>
      <c r="U229" s="29" t="s">
        <v>256</v>
      </c>
      <c r="V229" s="65">
        <v>0.222</v>
      </c>
      <c r="W229" s="117" t="s">
        <v>344</v>
      </c>
      <c r="X229" s="117" t="s">
        <v>344</v>
      </c>
    </row>
    <row r="230" spans="1:24" x14ac:dyDescent="0.2">
      <c r="A230" s="30" t="s">
        <v>207</v>
      </c>
      <c r="B230" s="16" t="s">
        <v>182</v>
      </c>
      <c r="C230" s="16" t="s">
        <v>95</v>
      </c>
      <c r="D230" s="29" t="s">
        <v>190</v>
      </c>
      <c r="E230" s="29" t="s">
        <v>190</v>
      </c>
      <c r="F230" s="29" t="s">
        <v>190</v>
      </c>
      <c r="G230" s="29" t="s">
        <v>190</v>
      </c>
      <c r="H230" s="29" t="s">
        <v>190</v>
      </c>
      <c r="I230" s="29" t="s">
        <v>190</v>
      </c>
      <c r="J230" s="29" t="s">
        <v>190</v>
      </c>
      <c r="K230" s="29" t="s">
        <v>190</v>
      </c>
      <c r="L230" s="29" t="s">
        <v>256</v>
      </c>
      <c r="M230" s="29" t="s">
        <v>208</v>
      </c>
      <c r="N230" s="29" t="s">
        <v>208</v>
      </c>
      <c r="O230" s="29" t="s">
        <v>190</v>
      </c>
      <c r="P230" s="29" t="s">
        <v>208</v>
      </c>
      <c r="Q230" s="29" t="s">
        <v>208</v>
      </c>
      <c r="R230" s="29" t="s">
        <v>190</v>
      </c>
      <c r="S230" s="29" t="s">
        <v>190</v>
      </c>
      <c r="T230" s="29" t="s">
        <v>190</v>
      </c>
      <c r="U230" s="29" t="s">
        <v>190</v>
      </c>
      <c r="V230" s="29" t="s">
        <v>190</v>
      </c>
      <c r="W230" s="117" t="s">
        <v>344</v>
      </c>
      <c r="X230" s="117" t="s">
        <v>344</v>
      </c>
    </row>
    <row r="231" spans="1:24" ht="30" customHeight="1" x14ac:dyDescent="0.2">
      <c r="A231" s="30" t="s">
        <v>207</v>
      </c>
      <c r="B231" s="17" t="s">
        <v>183</v>
      </c>
      <c r="C231" s="17" t="s">
        <v>112</v>
      </c>
      <c r="D231" s="33" t="s">
        <v>190</v>
      </c>
      <c r="E231" s="33" t="s">
        <v>190</v>
      </c>
      <c r="F231" s="33" t="s">
        <v>190</v>
      </c>
      <c r="G231" s="33" t="s">
        <v>190</v>
      </c>
      <c r="H231" s="33" t="s">
        <v>190</v>
      </c>
      <c r="I231" s="33" t="s">
        <v>190</v>
      </c>
      <c r="J231" s="29" t="s">
        <v>190</v>
      </c>
      <c r="K231" s="29" t="s">
        <v>190</v>
      </c>
      <c r="L231" s="29">
        <v>0.152</v>
      </c>
      <c r="M231" s="29">
        <v>0.13</v>
      </c>
      <c r="N231" s="29">
        <v>0.11699999999999999</v>
      </c>
      <c r="O231" s="29">
        <v>0.13600000000000001</v>
      </c>
      <c r="P231" s="29">
        <v>0.127</v>
      </c>
      <c r="Q231" s="29">
        <v>0.1</v>
      </c>
      <c r="R231" s="29">
        <v>0.13200000000000001</v>
      </c>
      <c r="S231" s="29">
        <v>0.13300000000000001</v>
      </c>
      <c r="T231" s="29">
        <v>0.161</v>
      </c>
      <c r="U231" s="29">
        <v>0.19</v>
      </c>
      <c r="V231" s="29" t="s">
        <v>256</v>
      </c>
      <c r="W231" s="117" t="s">
        <v>344</v>
      </c>
      <c r="X231" s="117" t="s">
        <v>344</v>
      </c>
    </row>
    <row r="232" spans="1:24" x14ac:dyDescent="0.2">
      <c r="A232" s="30" t="s">
        <v>207</v>
      </c>
      <c r="B232" s="17" t="s">
        <v>183</v>
      </c>
      <c r="C232" s="9" t="s">
        <v>113</v>
      </c>
      <c r="D232" s="33" t="s">
        <v>190</v>
      </c>
      <c r="E232" s="33" t="s">
        <v>190</v>
      </c>
      <c r="F232" s="33" t="s">
        <v>190</v>
      </c>
      <c r="G232" s="33" t="s">
        <v>190</v>
      </c>
      <c r="H232" s="33" t="s">
        <v>190</v>
      </c>
      <c r="I232" s="33" t="s">
        <v>190</v>
      </c>
      <c r="J232" s="29" t="s">
        <v>190</v>
      </c>
      <c r="K232" s="29" t="s">
        <v>190</v>
      </c>
      <c r="L232" s="29">
        <v>0.21199999999999999</v>
      </c>
      <c r="M232" s="29" t="s">
        <v>256</v>
      </c>
      <c r="N232" s="29" t="s">
        <v>256</v>
      </c>
      <c r="O232" s="29" t="s">
        <v>190</v>
      </c>
      <c r="P232" s="29" t="s">
        <v>256</v>
      </c>
      <c r="Q232" s="29" t="s">
        <v>256</v>
      </c>
      <c r="R232" s="29" t="s">
        <v>256</v>
      </c>
      <c r="S232" s="29" t="s">
        <v>208</v>
      </c>
      <c r="T232" s="29" t="s">
        <v>208</v>
      </c>
      <c r="U232" s="29" t="s">
        <v>208</v>
      </c>
      <c r="V232" s="29" t="s">
        <v>256</v>
      </c>
      <c r="W232" s="117" t="s">
        <v>344</v>
      </c>
      <c r="X232" s="117" t="s">
        <v>344</v>
      </c>
    </row>
    <row r="233" spans="1:24" x14ac:dyDescent="0.2">
      <c r="A233" s="30" t="s">
        <v>207</v>
      </c>
      <c r="B233" s="17" t="s">
        <v>183</v>
      </c>
      <c r="C233" s="9" t="s">
        <v>114</v>
      </c>
      <c r="D233" s="33" t="s">
        <v>190</v>
      </c>
      <c r="E233" s="33" t="s">
        <v>190</v>
      </c>
      <c r="F233" s="33" t="s">
        <v>190</v>
      </c>
      <c r="G233" s="33" t="s">
        <v>190</v>
      </c>
      <c r="H233" s="33" t="s">
        <v>190</v>
      </c>
      <c r="I233" s="33" t="s">
        <v>190</v>
      </c>
      <c r="J233" s="29" t="s">
        <v>190</v>
      </c>
      <c r="K233" s="29" t="s">
        <v>190</v>
      </c>
      <c r="L233" s="29">
        <v>0.11900000000000001</v>
      </c>
      <c r="M233" s="29">
        <v>0.14000000000000001</v>
      </c>
      <c r="N233" s="29">
        <v>0.12300000000000001</v>
      </c>
      <c r="O233" s="29">
        <v>0.114</v>
      </c>
      <c r="P233" s="29">
        <v>0.15</v>
      </c>
      <c r="Q233" s="29">
        <v>0.14899999999999999</v>
      </c>
      <c r="R233" s="29">
        <v>0.13100000000000001</v>
      </c>
      <c r="S233" s="29">
        <v>0.16800000000000001</v>
      </c>
      <c r="T233" s="29">
        <v>0.15</v>
      </c>
      <c r="U233" s="29">
        <v>0.18100000000000002</v>
      </c>
      <c r="V233" s="29" t="s">
        <v>256</v>
      </c>
      <c r="W233" s="117" t="s">
        <v>344</v>
      </c>
      <c r="X233" s="117" t="s">
        <v>344</v>
      </c>
    </row>
    <row r="234" spans="1:24" x14ac:dyDescent="0.2">
      <c r="A234" s="30" t="s">
        <v>207</v>
      </c>
      <c r="B234" s="17" t="s">
        <v>183</v>
      </c>
      <c r="C234" s="9" t="s">
        <v>115</v>
      </c>
      <c r="D234" s="33" t="s">
        <v>190</v>
      </c>
      <c r="E234" s="33" t="s">
        <v>190</v>
      </c>
      <c r="F234" s="33" t="s">
        <v>190</v>
      </c>
      <c r="G234" s="33" t="s">
        <v>190</v>
      </c>
      <c r="H234" s="33" t="s">
        <v>190</v>
      </c>
      <c r="I234" s="33" t="s">
        <v>190</v>
      </c>
      <c r="J234" s="29" t="s">
        <v>190</v>
      </c>
      <c r="K234" s="29" t="s">
        <v>190</v>
      </c>
      <c r="L234" s="29" t="s">
        <v>256</v>
      </c>
      <c r="M234" s="29" t="s">
        <v>256</v>
      </c>
      <c r="N234" s="29" t="s">
        <v>256</v>
      </c>
      <c r="O234" s="29" t="s">
        <v>256</v>
      </c>
      <c r="P234" s="29" t="s">
        <v>256</v>
      </c>
      <c r="Q234" s="29" t="s">
        <v>256</v>
      </c>
      <c r="R234" s="29" t="s">
        <v>208</v>
      </c>
      <c r="S234" s="29" t="s">
        <v>256</v>
      </c>
      <c r="T234" s="29" t="s">
        <v>208</v>
      </c>
      <c r="U234" s="29" t="s">
        <v>256</v>
      </c>
      <c r="V234" s="65" t="s">
        <v>208</v>
      </c>
      <c r="W234" s="117" t="s">
        <v>344</v>
      </c>
      <c r="X234" s="117" t="s">
        <v>344</v>
      </c>
    </row>
    <row r="235" spans="1:24" x14ac:dyDescent="0.2">
      <c r="A235" s="30" t="s">
        <v>207</v>
      </c>
      <c r="B235" s="17" t="s">
        <v>183</v>
      </c>
      <c r="C235" s="9" t="s">
        <v>13</v>
      </c>
      <c r="D235" s="33" t="s">
        <v>190</v>
      </c>
      <c r="E235" s="33" t="s">
        <v>190</v>
      </c>
      <c r="F235" s="33" t="s">
        <v>190</v>
      </c>
      <c r="G235" s="33" t="s">
        <v>190</v>
      </c>
      <c r="H235" s="33" t="s">
        <v>190</v>
      </c>
      <c r="I235" s="33" t="s">
        <v>190</v>
      </c>
      <c r="J235" s="29" t="s">
        <v>190</v>
      </c>
      <c r="K235" s="29" t="s">
        <v>190</v>
      </c>
      <c r="L235" s="29">
        <v>8.6999999999999994E-2</v>
      </c>
      <c r="M235" s="29">
        <v>7.9000000000000001E-2</v>
      </c>
      <c r="N235" s="29">
        <v>8.5999999999999993E-2</v>
      </c>
      <c r="O235" s="29">
        <v>9.9000000000000005E-2</v>
      </c>
      <c r="P235" s="29">
        <v>0.10300000000000001</v>
      </c>
      <c r="Q235" s="29">
        <v>9.6999999999999989E-2</v>
      </c>
      <c r="R235" s="29">
        <v>0.10300000000000001</v>
      </c>
      <c r="S235" s="29">
        <v>0.111</v>
      </c>
      <c r="T235" s="29">
        <v>0.129</v>
      </c>
      <c r="U235" s="29">
        <v>0.155</v>
      </c>
      <c r="V235" s="65">
        <v>0.16899999999999998</v>
      </c>
      <c r="W235" s="117" t="s">
        <v>344</v>
      </c>
      <c r="X235" s="117" t="s">
        <v>344</v>
      </c>
    </row>
    <row r="236" spans="1:24" x14ac:dyDescent="0.2">
      <c r="A236" s="30" t="s">
        <v>207</v>
      </c>
      <c r="B236" s="17" t="s">
        <v>183</v>
      </c>
      <c r="C236" s="9" t="s">
        <v>116</v>
      </c>
      <c r="D236" s="33" t="s">
        <v>190</v>
      </c>
      <c r="E236" s="33" t="s">
        <v>190</v>
      </c>
      <c r="F236" s="33" t="s">
        <v>190</v>
      </c>
      <c r="G236" s="33" t="s">
        <v>190</v>
      </c>
      <c r="H236" s="33" t="s">
        <v>190</v>
      </c>
      <c r="I236" s="33" t="s">
        <v>190</v>
      </c>
      <c r="J236" s="29" t="s">
        <v>190</v>
      </c>
      <c r="K236" s="29" t="s">
        <v>190</v>
      </c>
      <c r="L236" s="29">
        <v>0.21100000000000002</v>
      </c>
      <c r="M236" s="29">
        <v>0.17800000000000002</v>
      </c>
      <c r="N236" s="29">
        <v>0.17100000000000001</v>
      </c>
      <c r="O236" s="29">
        <v>0.182</v>
      </c>
      <c r="P236" s="29" t="s">
        <v>256</v>
      </c>
      <c r="Q236" s="29">
        <v>0.188</v>
      </c>
      <c r="R236" s="29">
        <v>0.187</v>
      </c>
      <c r="S236" s="29">
        <v>0.22699999999999998</v>
      </c>
      <c r="T236" s="29" t="s">
        <v>256</v>
      </c>
      <c r="U236" s="29" t="s">
        <v>256</v>
      </c>
      <c r="V236" s="65" t="s">
        <v>190</v>
      </c>
      <c r="W236" s="117" t="s">
        <v>344</v>
      </c>
      <c r="X236" s="117" t="s">
        <v>344</v>
      </c>
    </row>
    <row r="237" spans="1:24" x14ac:dyDescent="0.2">
      <c r="A237" s="30" t="s">
        <v>207</v>
      </c>
      <c r="B237" s="17" t="s">
        <v>183</v>
      </c>
      <c r="C237" s="9" t="s">
        <v>117</v>
      </c>
      <c r="D237" s="33" t="s">
        <v>190</v>
      </c>
      <c r="E237" s="33" t="s">
        <v>190</v>
      </c>
      <c r="F237" s="33" t="s">
        <v>190</v>
      </c>
      <c r="G237" s="33" t="s">
        <v>190</v>
      </c>
      <c r="H237" s="33" t="s">
        <v>190</v>
      </c>
      <c r="I237" s="33" t="s">
        <v>190</v>
      </c>
      <c r="J237" s="29" t="s">
        <v>190</v>
      </c>
      <c r="K237" s="29" t="s">
        <v>190</v>
      </c>
      <c r="L237" s="29">
        <v>0.187</v>
      </c>
      <c r="M237" s="29">
        <v>0.16300000000000001</v>
      </c>
      <c r="N237" s="29">
        <v>0.17600000000000002</v>
      </c>
      <c r="O237" s="29">
        <v>0.19800000000000001</v>
      </c>
      <c r="P237" s="29">
        <v>0.20600000000000002</v>
      </c>
      <c r="Q237" s="29">
        <v>0.155</v>
      </c>
      <c r="R237" s="29">
        <v>0.16800000000000001</v>
      </c>
      <c r="S237" s="29">
        <v>0.16800000000000001</v>
      </c>
      <c r="T237" s="29">
        <v>0.20199999999999999</v>
      </c>
      <c r="U237" s="29" t="s">
        <v>256</v>
      </c>
      <c r="V237" s="65">
        <v>0.222</v>
      </c>
      <c r="W237" s="117" t="s">
        <v>344</v>
      </c>
      <c r="X237" s="117" t="s">
        <v>344</v>
      </c>
    </row>
    <row r="238" spans="1:24" x14ac:dyDescent="0.2">
      <c r="A238" s="30" t="s">
        <v>207</v>
      </c>
      <c r="B238" s="17" t="s">
        <v>183</v>
      </c>
      <c r="C238" s="9" t="s">
        <v>118</v>
      </c>
      <c r="D238" s="33" t="s">
        <v>190</v>
      </c>
      <c r="E238" s="33" t="s">
        <v>190</v>
      </c>
      <c r="F238" s="33" t="s">
        <v>190</v>
      </c>
      <c r="G238" s="33" t="s">
        <v>190</v>
      </c>
      <c r="H238" s="33" t="s">
        <v>190</v>
      </c>
      <c r="I238" s="33" t="s">
        <v>190</v>
      </c>
      <c r="J238" s="29" t="s">
        <v>190</v>
      </c>
      <c r="K238" s="29" t="s">
        <v>190</v>
      </c>
      <c r="L238" s="29">
        <v>0.21299999999999999</v>
      </c>
      <c r="M238" s="29">
        <v>0.24299999999999999</v>
      </c>
      <c r="N238" s="29">
        <v>0.21600000000000003</v>
      </c>
      <c r="O238" s="29">
        <v>0.153</v>
      </c>
      <c r="P238" s="29">
        <v>0.21899999999999997</v>
      </c>
      <c r="Q238" s="29">
        <v>0.22800000000000001</v>
      </c>
      <c r="R238" s="29" t="s">
        <v>256</v>
      </c>
      <c r="S238" s="29" t="s">
        <v>256</v>
      </c>
      <c r="T238" s="29" t="s">
        <v>256</v>
      </c>
      <c r="U238" s="29" t="s">
        <v>208</v>
      </c>
      <c r="V238" s="65" t="s">
        <v>208</v>
      </c>
      <c r="W238" s="117" t="s">
        <v>344</v>
      </c>
      <c r="X238" s="117" t="s">
        <v>344</v>
      </c>
    </row>
    <row r="239" spans="1:24" x14ac:dyDescent="0.2">
      <c r="A239" s="30" t="s">
        <v>207</v>
      </c>
      <c r="B239" s="17" t="s">
        <v>183</v>
      </c>
      <c r="C239" s="9" t="s">
        <v>184</v>
      </c>
      <c r="D239" s="33" t="s">
        <v>190</v>
      </c>
      <c r="E239" s="33" t="s">
        <v>190</v>
      </c>
      <c r="F239" s="33" t="s">
        <v>190</v>
      </c>
      <c r="G239" s="33" t="s">
        <v>190</v>
      </c>
      <c r="H239" s="33" t="s">
        <v>190</v>
      </c>
      <c r="I239" s="33" t="s">
        <v>190</v>
      </c>
      <c r="J239" s="29" t="s">
        <v>190</v>
      </c>
      <c r="K239" s="29" t="s">
        <v>190</v>
      </c>
      <c r="L239" s="29">
        <v>5.2999999999999999E-2</v>
      </c>
      <c r="M239" s="29">
        <v>5.0999999999999997E-2</v>
      </c>
      <c r="N239" s="29">
        <v>5.2000000000000005E-2</v>
      </c>
      <c r="O239" s="29">
        <v>5.4000000000000006E-2</v>
      </c>
      <c r="P239" s="29">
        <v>5.9000000000000004E-2</v>
      </c>
      <c r="Q239" s="29">
        <v>5.2999999999999999E-2</v>
      </c>
      <c r="R239" s="29">
        <v>0.06</v>
      </c>
      <c r="S239" s="29">
        <v>6.5000000000000002E-2</v>
      </c>
      <c r="T239" s="29">
        <v>7.400000000000001E-2</v>
      </c>
      <c r="U239" s="29">
        <v>8.8000000000000009E-2</v>
      </c>
      <c r="V239" s="65">
        <v>0.10400000000000001</v>
      </c>
      <c r="W239" s="117" t="s">
        <v>344</v>
      </c>
      <c r="X239" s="117" t="s">
        <v>344</v>
      </c>
    </row>
    <row r="240" spans="1:24" ht="30" customHeight="1" x14ac:dyDescent="0.2">
      <c r="A240" s="30" t="s">
        <v>207</v>
      </c>
      <c r="B240" s="17" t="s">
        <v>185</v>
      </c>
      <c r="C240" s="17" t="s">
        <v>111</v>
      </c>
      <c r="D240" s="29" t="s">
        <v>190</v>
      </c>
      <c r="E240" s="29" t="s">
        <v>190</v>
      </c>
      <c r="F240" s="29" t="s">
        <v>190</v>
      </c>
      <c r="G240" s="29" t="s">
        <v>190</v>
      </c>
      <c r="H240" s="29" t="s">
        <v>190</v>
      </c>
      <c r="I240" s="29" t="s">
        <v>190</v>
      </c>
      <c r="J240" s="29" t="s">
        <v>190</v>
      </c>
      <c r="K240" s="29" t="s">
        <v>190</v>
      </c>
      <c r="L240" s="29" t="s">
        <v>208</v>
      </c>
      <c r="M240" s="29" t="s">
        <v>256</v>
      </c>
      <c r="N240" s="29" t="s">
        <v>256</v>
      </c>
      <c r="O240" s="29" t="s">
        <v>256</v>
      </c>
      <c r="P240" s="29" t="s">
        <v>208</v>
      </c>
      <c r="Q240" s="29" t="s">
        <v>208</v>
      </c>
      <c r="R240" s="29" t="s">
        <v>208</v>
      </c>
      <c r="S240" s="29" t="s">
        <v>256</v>
      </c>
      <c r="T240" s="29" t="s">
        <v>190</v>
      </c>
      <c r="U240" s="29" t="s">
        <v>208</v>
      </c>
      <c r="V240" s="29" t="s">
        <v>208</v>
      </c>
      <c r="W240" s="117" t="s">
        <v>344</v>
      </c>
      <c r="X240" s="117" t="s">
        <v>344</v>
      </c>
    </row>
    <row r="241" spans="1:24" x14ac:dyDescent="0.2">
      <c r="A241" s="30" t="s">
        <v>207</v>
      </c>
      <c r="B241" s="17" t="s">
        <v>185</v>
      </c>
      <c r="C241" s="9" t="s">
        <v>186</v>
      </c>
      <c r="D241" s="33" t="s">
        <v>190</v>
      </c>
      <c r="E241" s="33" t="s">
        <v>190</v>
      </c>
      <c r="F241" s="33" t="s">
        <v>190</v>
      </c>
      <c r="G241" s="33" t="s">
        <v>190</v>
      </c>
      <c r="H241" s="33" t="s">
        <v>190</v>
      </c>
      <c r="I241" s="33" t="s">
        <v>190</v>
      </c>
      <c r="J241" s="29" t="s">
        <v>190</v>
      </c>
      <c r="K241" s="29" t="s">
        <v>190</v>
      </c>
      <c r="L241" s="29">
        <v>6.8000000000000005E-2</v>
      </c>
      <c r="M241" s="29">
        <v>7.2000000000000008E-2</v>
      </c>
      <c r="N241" s="29">
        <v>7.0999999999999994E-2</v>
      </c>
      <c r="O241" s="29">
        <v>7.6999999999999999E-2</v>
      </c>
      <c r="P241" s="29">
        <v>7.4999999999999997E-2</v>
      </c>
      <c r="Q241" s="29">
        <v>7.2999999999999995E-2</v>
      </c>
      <c r="R241" s="29">
        <v>8.199999999999999E-2</v>
      </c>
      <c r="S241" s="29">
        <v>7.6999999999999999E-2</v>
      </c>
      <c r="T241" s="29">
        <v>0.10300000000000001</v>
      </c>
      <c r="U241" s="29">
        <v>0.11599999999999999</v>
      </c>
      <c r="V241" s="65">
        <v>0.114</v>
      </c>
      <c r="W241" s="117" t="s">
        <v>344</v>
      </c>
      <c r="X241" s="117" t="s">
        <v>344</v>
      </c>
    </row>
    <row r="242" spans="1:24" x14ac:dyDescent="0.2">
      <c r="A242" s="30" t="s">
        <v>207</v>
      </c>
      <c r="B242" s="17" t="s">
        <v>185</v>
      </c>
      <c r="C242" s="9" t="s">
        <v>151</v>
      </c>
      <c r="D242" s="33" t="s">
        <v>190</v>
      </c>
      <c r="E242" s="33" t="s">
        <v>190</v>
      </c>
      <c r="F242" s="33" t="s">
        <v>190</v>
      </c>
      <c r="G242" s="33" t="s">
        <v>190</v>
      </c>
      <c r="H242" s="33" t="s">
        <v>190</v>
      </c>
      <c r="I242" s="33" t="s">
        <v>190</v>
      </c>
      <c r="J242" s="29" t="s">
        <v>190</v>
      </c>
      <c r="K242" s="29" t="s">
        <v>190</v>
      </c>
      <c r="L242" s="29">
        <v>4.9000000000000002E-2</v>
      </c>
      <c r="M242" s="29">
        <v>5.2999999999999999E-2</v>
      </c>
      <c r="N242" s="29">
        <v>5.2000000000000005E-2</v>
      </c>
      <c r="O242" s="29">
        <v>5.4000000000000006E-2</v>
      </c>
      <c r="P242" s="29">
        <v>5.2999999999999999E-2</v>
      </c>
      <c r="Q242" s="29">
        <v>5.5999999999999994E-2</v>
      </c>
      <c r="R242" s="29">
        <v>6.2E-2</v>
      </c>
      <c r="S242" s="29">
        <v>5.9000000000000004E-2</v>
      </c>
      <c r="T242" s="29">
        <v>8.4000000000000005E-2</v>
      </c>
      <c r="U242" s="29">
        <v>8.3000000000000004E-2</v>
      </c>
      <c r="V242" s="65">
        <v>8.4000000000000005E-2</v>
      </c>
      <c r="W242" s="117" t="s">
        <v>344</v>
      </c>
      <c r="X242" s="117" t="s">
        <v>344</v>
      </c>
    </row>
    <row r="243" spans="1:24" ht="36" customHeight="1" x14ac:dyDescent="0.2">
      <c r="A243" s="30" t="s">
        <v>207</v>
      </c>
      <c r="B243" s="91" t="s">
        <v>270</v>
      </c>
      <c r="C243" s="92" t="s">
        <v>271</v>
      </c>
      <c r="D243" s="18" t="s">
        <v>190</v>
      </c>
      <c r="E243" s="18" t="s">
        <v>190</v>
      </c>
      <c r="F243" s="18" t="s">
        <v>190</v>
      </c>
      <c r="G243" s="18" t="s">
        <v>190</v>
      </c>
      <c r="H243" s="18" t="s">
        <v>190</v>
      </c>
      <c r="I243" s="18" t="s">
        <v>190</v>
      </c>
      <c r="J243" s="18" t="s">
        <v>190</v>
      </c>
      <c r="K243" s="18" t="s">
        <v>190</v>
      </c>
      <c r="L243" s="29" t="s">
        <v>208</v>
      </c>
      <c r="M243" s="29" t="s">
        <v>208</v>
      </c>
      <c r="N243" s="29" t="s">
        <v>256</v>
      </c>
      <c r="O243" s="29" t="s">
        <v>256</v>
      </c>
      <c r="P243" s="29" t="s">
        <v>256</v>
      </c>
      <c r="Q243" s="29" t="s">
        <v>208</v>
      </c>
      <c r="R243" s="29" t="s">
        <v>208</v>
      </c>
      <c r="S243" s="29" t="s">
        <v>190</v>
      </c>
      <c r="T243" s="29" t="s">
        <v>208</v>
      </c>
      <c r="U243" s="29" t="s">
        <v>208</v>
      </c>
      <c r="V243" s="29" t="s">
        <v>190</v>
      </c>
      <c r="W243" s="117" t="s">
        <v>344</v>
      </c>
      <c r="X243" s="117" t="s">
        <v>344</v>
      </c>
    </row>
    <row r="244" spans="1:24" x14ac:dyDescent="0.2">
      <c r="A244" s="30" t="s">
        <v>207</v>
      </c>
      <c r="B244" s="91" t="s">
        <v>270</v>
      </c>
      <c r="C244" s="92" t="s">
        <v>272</v>
      </c>
      <c r="D244" s="18" t="s">
        <v>190</v>
      </c>
      <c r="E244" s="18" t="s">
        <v>190</v>
      </c>
      <c r="F244" s="18" t="s">
        <v>190</v>
      </c>
      <c r="G244" s="18" t="s">
        <v>190</v>
      </c>
      <c r="H244" s="18" t="s">
        <v>190</v>
      </c>
      <c r="I244" s="18" t="s">
        <v>190</v>
      </c>
      <c r="J244" s="18" t="s">
        <v>190</v>
      </c>
      <c r="K244" s="18" t="s">
        <v>190</v>
      </c>
      <c r="L244" s="29" t="s">
        <v>208</v>
      </c>
      <c r="M244" s="29" t="s">
        <v>256</v>
      </c>
      <c r="N244" s="29" t="s">
        <v>190</v>
      </c>
      <c r="O244" s="29" t="s">
        <v>208</v>
      </c>
      <c r="P244" s="29" t="s">
        <v>208</v>
      </c>
      <c r="Q244" s="29" t="s">
        <v>256</v>
      </c>
      <c r="R244" s="29" t="s">
        <v>256</v>
      </c>
      <c r="S244" s="29" t="s">
        <v>190</v>
      </c>
      <c r="T244" s="29" t="s">
        <v>190</v>
      </c>
      <c r="U244" s="29" t="s">
        <v>190</v>
      </c>
      <c r="V244" s="29" t="s">
        <v>190</v>
      </c>
      <c r="W244" s="117" t="s">
        <v>344</v>
      </c>
      <c r="X244" s="117" t="s">
        <v>344</v>
      </c>
    </row>
    <row r="245" spans="1:24" x14ac:dyDescent="0.2">
      <c r="A245" s="30" t="s">
        <v>207</v>
      </c>
      <c r="B245" s="91" t="s">
        <v>270</v>
      </c>
      <c r="C245" s="92" t="s">
        <v>273</v>
      </c>
      <c r="D245" s="18" t="s">
        <v>190</v>
      </c>
      <c r="E245" s="18" t="s">
        <v>190</v>
      </c>
      <c r="F245" s="18" t="s">
        <v>190</v>
      </c>
      <c r="G245" s="18" t="s">
        <v>190</v>
      </c>
      <c r="H245" s="18" t="s">
        <v>190</v>
      </c>
      <c r="I245" s="18" t="s">
        <v>190</v>
      </c>
      <c r="J245" s="18" t="s">
        <v>190</v>
      </c>
      <c r="K245" s="18" t="s">
        <v>190</v>
      </c>
      <c r="L245" s="29" t="s">
        <v>256</v>
      </c>
      <c r="M245" s="29" t="s">
        <v>256</v>
      </c>
      <c r="N245" s="29" t="s">
        <v>208</v>
      </c>
      <c r="O245" s="29" t="s">
        <v>190</v>
      </c>
      <c r="P245" s="29" t="s">
        <v>190</v>
      </c>
      <c r="Q245" s="29" t="s">
        <v>190</v>
      </c>
      <c r="R245" s="29" t="s">
        <v>208</v>
      </c>
      <c r="S245" s="29" t="s">
        <v>208</v>
      </c>
      <c r="T245" s="29" t="s">
        <v>208</v>
      </c>
      <c r="U245" s="29" t="s">
        <v>190</v>
      </c>
      <c r="V245" s="29" t="s">
        <v>190</v>
      </c>
      <c r="W245" s="117" t="s">
        <v>344</v>
      </c>
      <c r="X245" s="117" t="s">
        <v>344</v>
      </c>
    </row>
    <row r="246" spans="1:24" x14ac:dyDescent="0.2">
      <c r="A246" s="30" t="s">
        <v>207</v>
      </c>
      <c r="B246" s="91" t="s">
        <v>270</v>
      </c>
      <c r="C246" s="92" t="s">
        <v>274</v>
      </c>
      <c r="D246" s="18" t="s">
        <v>190</v>
      </c>
      <c r="E246" s="18" t="s">
        <v>190</v>
      </c>
      <c r="F246" s="18" t="s">
        <v>190</v>
      </c>
      <c r="G246" s="18" t="s">
        <v>190</v>
      </c>
      <c r="H246" s="18" t="s">
        <v>190</v>
      </c>
      <c r="I246" s="18" t="s">
        <v>190</v>
      </c>
      <c r="J246" s="18" t="s">
        <v>190</v>
      </c>
      <c r="K246" s="18" t="s">
        <v>190</v>
      </c>
      <c r="L246" s="29">
        <v>0.20399999999999999</v>
      </c>
      <c r="M246" s="29">
        <v>0.17300000000000001</v>
      </c>
      <c r="N246" s="29">
        <v>0.18899999999999997</v>
      </c>
      <c r="O246" s="29">
        <v>0.21199999999999999</v>
      </c>
      <c r="P246" s="29">
        <v>0.21199999999999999</v>
      </c>
      <c r="Q246" s="29">
        <v>0.161</v>
      </c>
      <c r="R246" s="29">
        <v>0.16300000000000001</v>
      </c>
      <c r="S246" s="29">
        <v>0.18899999999999997</v>
      </c>
      <c r="T246" s="29" t="s">
        <v>256</v>
      </c>
      <c r="U246" s="29" t="s">
        <v>256</v>
      </c>
      <c r="V246" s="29" t="s">
        <v>256</v>
      </c>
      <c r="W246" s="117" t="s">
        <v>344</v>
      </c>
      <c r="X246" s="117" t="s">
        <v>344</v>
      </c>
    </row>
    <row r="247" spans="1:24" x14ac:dyDescent="0.2">
      <c r="A247" s="30" t="s">
        <v>207</v>
      </c>
      <c r="B247" s="91" t="s">
        <v>270</v>
      </c>
      <c r="C247" s="92" t="s">
        <v>275</v>
      </c>
      <c r="D247" s="18" t="s">
        <v>190</v>
      </c>
      <c r="E247" s="18" t="s">
        <v>190</v>
      </c>
      <c r="F247" s="18" t="s">
        <v>190</v>
      </c>
      <c r="G247" s="18" t="s">
        <v>190</v>
      </c>
      <c r="H247" s="18" t="s">
        <v>190</v>
      </c>
      <c r="I247" s="18" t="s">
        <v>190</v>
      </c>
      <c r="J247" s="18" t="s">
        <v>190</v>
      </c>
      <c r="K247" s="18" t="s">
        <v>190</v>
      </c>
      <c r="L247" s="29">
        <v>0.21299999999999999</v>
      </c>
      <c r="M247" s="29">
        <v>0.17800000000000002</v>
      </c>
      <c r="N247" s="29">
        <v>0.191</v>
      </c>
      <c r="O247" s="29">
        <v>0.20199999999999999</v>
      </c>
      <c r="P247" s="29" t="s">
        <v>256</v>
      </c>
      <c r="Q247" s="29" t="s">
        <v>190</v>
      </c>
      <c r="R247" s="29" t="s">
        <v>256</v>
      </c>
      <c r="S247" s="29" t="s">
        <v>256</v>
      </c>
      <c r="T247" s="29" t="s">
        <v>256</v>
      </c>
      <c r="U247" s="29" t="s">
        <v>256</v>
      </c>
      <c r="V247" s="29" t="s">
        <v>190</v>
      </c>
      <c r="W247" s="117" t="s">
        <v>344</v>
      </c>
      <c r="X247" s="117" t="s">
        <v>344</v>
      </c>
    </row>
    <row r="248" spans="1:24" x14ac:dyDescent="0.2">
      <c r="A248" s="30" t="s">
        <v>207</v>
      </c>
      <c r="B248" s="91" t="s">
        <v>270</v>
      </c>
      <c r="C248" s="92" t="s">
        <v>276</v>
      </c>
      <c r="D248" s="18" t="s">
        <v>190</v>
      </c>
      <c r="E248" s="18" t="s">
        <v>190</v>
      </c>
      <c r="F248" s="18" t="s">
        <v>190</v>
      </c>
      <c r="G248" s="18" t="s">
        <v>190</v>
      </c>
      <c r="H248" s="18" t="s">
        <v>190</v>
      </c>
      <c r="I248" s="18" t="s">
        <v>190</v>
      </c>
      <c r="J248" s="18" t="s">
        <v>190</v>
      </c>
      <c r="K248" s="18" t="s">
        <v>190</v>
      </c>
      <c r="L248" s="29" t="s">
        <v>208</v>
      </c>
      <c r="M248" s="29" t="s">
        <v>190</v>
      </c>
      <c r="N248" s="29" t="s">
        <v>190</v>
      </c>
      <c r="O248" s="29" t="s">
        <v>190</v>
      </c>
      <c r="P248" s="29" t="s">
        <v>208</v>
      </c>
      <c r="Q248" s="29" t="s">
        <v>208</v>
      </c>
      <c r="R248" s="29" t="s">
        <v>190</v>
      </c>
      <c r="S248" s="29" t="s">
        <v>190</v>
      </c>
      <c r="T248" s="29" t="s">
        <v>208</v>
      </c>
      <c r="U248" s="29" t="s">
        <v>190</v>
      </c>
      <c r="V248" s="29" t="s">
        <v>190</v>
      </c>
      <c r="W248" s="117" t="s">
        <v>344</v>
      </c>
      <c r="X248" s="117" t="s">
        <v>344</v>
      </c>
    </row>
    <row r="249" spans="1:24" x14ac:dyDescent="0.2">
      <c r="A249" s="30" t="s">
        <v>207</v>
      </c>
      <c r="B249" s="91" t="s">
        <v>270</v>
      </c>
      <c r="C249" s="92" t="s">
        <v>277</v>
      </c>
      <c r="D249" s="18" t="s">
        <v>190</v>
      </c>
      <c r="E249" s="18" t="s">
        <v>190</v>
      </c>
      <c r="F249" s="18" t="s">
        <v>190</v>
      </c>
      <c r="G249" s="18" t="s">
        <v>190</v>
      </c>
      <c r="H249" s="18" t="s">
        <v>190</v>
      </c>
      <c r="I249" s="18" t="s">
        <v>190</v>
      </c>
      <c r="J249" s="18" t="s">
        <v>190</v>
      </c>
      <c r="K249" s="18" t="s">
        <v>190</v>
      </c>
      <c r="L249" s="29">
        <v>0.23300000000000001</v>
      </c>
      <c r="M249" s="29" t="s">
        <v>256</v>
      </c>
      <c r="N249" s="29">
        <v>0.23699999999999999</v>
      </c>
      <c r="O249" s="29">
        <v>0.16699999999999998</v>
      </c>
      <c r="P249" s="29">
        <v>0.24299999999999999</v>
      </c>
      <c r="Q249" s="29">
        <v>0.23600000000000002</v>
      </c>
      <c r="R249" s="29" t="s">
        <v>256</v>
      </c>
      <c r="S249" s="29" t="s">
        <v>256</v>
      </c>
      <c r="T249" s="29" t="s">
        <v>256</v>
      </c>
      <c r="U249" s="29" t="s">
        <v>208</v>
      </c>
      <c r="V249" s="29" t="s">
        <v>208</v>
      </c>
      <c r="W249" s="117" t="s">
        <v>344</v>
      </c>
      <c r="X249" s="117" t="s">
        <v>344</v>
      </c>
    </row>
    <row r="250" spans="1:24" x14ac:dyDescent="0.2">
      <c r="A250" s="30" t="s">
        <v>207</v>
      </c>
      <c r="B250" s="91" t="s">
        <v>270</v>
      </c>
      <c r="C250" s="92" t="s">
        <v>278</v>
      </c>
      <c r="D250" s="18" t="s">
        <v>190</v>
      </c>
      <c r="E250" s="18" t="s">
        <v>190</v>
      </c>
      <c r="F250" s="18" t="s">
        <v>190</v>
      </c>
      <c r="G250" s="18" t="s">
        <v>190</v>
      </c>
      <c r="H250" s="18" t="s">
        <v>190</v>
      </c>
      <c r="I250" s="18" t="s">
        <v>190</v>
      </c>
      <c r="J250" s="18" t="s">
        <v>190</v>
      </c>
      <c r="K250" s="18" t="s">
        <v>190</v>
      </c>
      <c r="L250" s="29" t="s">
        <v>190</v>
      </c>
      <c r="M250" s="29" t="s">
        <v>190</v>
      </c>
      <c r="N250" s="29" t="s">
        <v>208</v>
      </c>
      <c r="O250" s="29" t="s">
        <v>190</v>
      </c>
      <c r="P250" s="29" t="s">
        <v>208</v>
      </c>
      <c r="Q250" s="29" t="s">
        <v>208</v>
      </c>
      <c r="R250" s="29" t="s">
        <v>208</v>
      </c>
      <c r="S250" s="29" t="s">
        <v>190</v>
      </c>
      <c r="T250" s="29" t="s">
        <v>190</v>
      </c>
      <c r="U250" s="29" t="s">
        <v>190</v>
      </c>
      <c r="V250" s="29" t="s">
        <v>190</v>
      </c>
      <c r="W250" s="117" t="s">
        <v>344</v>
      </c>
      <c r="X250" s="117" t="s">
        <v>344</v>
      </c>
    </row>
    <row r="251" spans="1:24" x14ac:dyDescent="0.2">
      <c r="A251" s="30" t="s">
        <v>207</v>
      </c>
      <c r="B251" s="91" t="s">
        <v>270</v>
      </c>
      <c r="C251" s="92" t="s">
        <v>279</v>
      </c>
      <c r="D251" s="18" t="s">
        <v>190</v>
      </c>
      <c r="E251" s="18" t="s">
        <v>190</v>
      </c>
      <c r="F251" s="18" t="s">
        <v>190</v>
      </c>
      <c r="G251" s="18" t="s">
        <v>190</v>
      </c>
      <c r="H251" s="18" t="s">
        <v>190</v>
      </c>
      <c r="I251" s="18" t="s">
        <v>190</v>
      </c>
      <c r="J251" s="18" t="s">
        <v>190</v>
      </c>
      <c r="K251" s="18" t="s">
        <v>190</v>
      </c>
      <c r="L251" s="29" t="s">
        <v>256</v>
      </c>
      <c r="M251" s="29" t="s">
        <v>208</v>
      </c>
      <c r="N251" s="29" t="s">
        <v>256</v>
      </c>
      <c r="O251" s="29" t="s">
        <v>208</v>
      </c>
      <c r="P251" s="29" t="s">
        <v>190</v>
      </c>
      <c r="Q251" s="29" t="s">
        <v>208</v>
      </c>
      <c r="R251" s="29" t="s">
        <v>208</v>
      </c>
      <c r="S251" s="29" t="s">
        <v>256</v>
      </c>
      <c r="T251" s="29" t="s">
        <v>256</v>
      </c>
      <c r="U251" s="29" t="s">
        <v>208</v>
      </c>
      <c r="V251" s="29" t="s">
        <v>256</v>
      </c>
      <c r="W251" s="117" t="s">
        <v>344</v>
      </c>
      <c r="X251" s="117" t="s">
        <v>344</v>
      </c>
    </row>
    <row r="252" spans="1:24" ht="33.6" customHeight="1" x14ac:dyDescent="0.2">
      <c r="A252" s="30" t="s">
        <v>207</v>
      </c>
      <c r="B252" s="17" t="s">
        <v>263</v>
      </c>
      <c r="C252" s="9" t="s">
        <v>280</v>
      </c>
      <c r="D252" s="29" t="s">
        <v>190</v>
      </c>
      <c r="E252" s="29" t="s">
        <v>190</v>
      </c>
      <c r="F252" s="29" t="s">
        <v>190</v>
      </c>
      <c r="G252" s="29" t="s">
        <v>190</v>
      </c>
      <c r="H252" s="29" t="s">
        <v>190</v>
      </c>
      <c r="I252" s="29" t="s">
        <v>190</v>
      </c>
      <c r="J252" s="29" t="s">
        <v>190</v>
      </c>
      <c r="K252" s="29" t="s">
        <v>190</v>
      </c>
      <c r="L252" s="29">
        <v>3.6000000000000004E-2</v>
      </c>
      <c r="M252" s="29">
        <v>3.5000000000000003E-2</v>
      </c>
      <c r="N252" s="29">
        <v>3.6000000000000004E-2</v>
      </c>
      <c r="O252" s="29">
        <v>3.9E-2</v>
      </c>
      <c r="P252" s="29">
        <v>4.0999999999999995E-2</v>
      </c>
      <c r="Q252" s="29">
        <v>4.4000000000000004E-2</v>
      </c>
      <c r="R252" s="29">
        <v>4.2999999999999997E-2</v>
      </c>
      <c r="S252" s="29">
        <v>4.4000000000000004E-2</v>
      </c>
      <c r="T252" s="29">
        <v>6.4000000000000001E-2</v>
      </c>
      <c r="U252" s="29">
        <v>7.2000000000000008E-2</v>
      </c>
      <c r="V252" s="29">
        <v>6.7000000000000004E-2</v>
      </c>
      <c r="W252" s="117" t="s">
        <v>344</v>
      </c>
      <c r="X252" s="117" t="s">
        <v>344</v>
      </c>
    </row>
    <row r="253" spans="1:24" x14ac:dyDescent="0.2">
      <c r="A253" s="30" t="s">
        <v>207</v>
      </c>
      <c r="B253" s="17" t="s">
        <v>263</v>
      </c>
      <c r="C253" s="92" t="s">
        <v>264</v>
      </c>
      <c r="D253" s="29" t="s">
        <v>190</v>
      </c>
      <c r="E253" s="29" t="s">
        <v>190</v>
      </c>
      <c r="F253" s="29" t="s">
        <v>190</v>
      </c>
      <c r="G253" s="29" t="s">
        <v>190</v>
      </c>
      <c r="H253" s="29" t="s">
        <v>190</v>
      </c>
      <c r="I253" s="29" t="s">
        <v>190</v>
      </c>
      <c r="J253" s="29" t="s">
        <v>190</v>
      </c>
      <c r="K253" s="29" t="s">
        <v>190</v>
      </c>
      <c r="L253" s="29">
        <v>3.6000000000000004E-2</v>
      </c>
      <c r="M253" s="29">
        <v>3.6000000000000004E-2</v>
      </c>
      <c r="N253" s="29">
        <v>3.7999999999999999E-2</v>
      </c>
      <c r="O253" s="29">
        <v>3.7999999999999999E-2</v>
      </c>
      <c r="P253" s="29">
        <v>4.2000000000000003E-2</v>
      </c>
      <c r="Q253" s="29">
        <v>4.2999999999999997E-2</v>
      </c>
      <c r="R253" s="29">
        <v>4.0999999999999995E-2</v>
      </c>
      <c r="S253" s="29">
        <v>4.2999999999999997E-2</v>
      </c>
      <c r="T253" s="29">
        <v>5.5999999999999994E-2</v>
      </c>
      <c r="U253" s="29">
        <v>6.5000000000000002E-2</v>
      </c>
      <c r="V253" s="29">
        <v>6.3E-2</v>
      </c>
      <c r="W253" s="117" t="s">
        <v>344</v>
      </c>
      <c r="X253" s="117" t="s">
        <v>344</v>
      </c>
    </row>
    <row r="254" spans="1:24" x14ac:dyDescent="0.2">
      <c r="A254" s="30" t="s">
        <v>207</v>
      </c>
      <c r="B254" s="17" t="s">
        <v>263</v>
      </c>
      <c r="C254" s="92" t="s">
        <v>265</v>
      </c>
      <c r="D254" s="29" t="s">
        <v>190</v>
      </c>
      <c r="E254" s="29" t="s">
        <v>190</v>
      </c>
      <c r="F254" s="29" t="s">
        <v>190</v>
      </c>
      <c r="G254" s="29" t="s">
        <v>190</v>
      </c>
      <c r="H254" s="29" t="s">
        <v>190</v>
      </c>
      <c r="I254" s="29" t="s">
        <v>190</v>
      </c>
      <c r="J254" s="29" t="s">
        <v>190</v>
      </c>
      <c r="K254" s="29" t="s">
        <v>190</v>
      </c>
      <c r="L254" s="29">
        <v>3.5000000000000003E-2</v>
      </c>
      <c r="M254" s="29">
        <v>3.6000000000000004E-2</v>
      </c>
      <c r="N254" s="29">
        <v>3.7000000000000005E-2</v>
      </c>
      <c r="O254" s="29">
        <v>3.7000000000000005E-2</v>
      </c>
      <c r="P254" s="29">
        <v>4.0999999999999995E-2</v>
      </c>
      <c r="Q254" s="29">
        <v>3.9E-2</v>
      </c>
      <c r="R254" s="29">
        <v>4.2000000000000003E-2</v>
      </c>
      <c r="S254" s="29">
        <v>0.04</v>
      </c>
      <c r="T254" s="29">
        <v>5.2000000000000005E-2</v>
      </c>
      <c r="U254" s="29">
        <v>6.0999999999999999E-2</v>
      </c>
      <c r="V254" s="29">
        <v>6.3E-2</v>
      </c>
      <c r="W254" s="117" t="s">
        <v>344</v>
      </c>
      <c r="X254" s="117" t="s">
        <v>344</v>
      </c>
    </row>
    <row r="255" spans="1:24" x14ac:dyDescent="0.2">
      <c r="A255" s="30" t="s">
        <v>207</v>
      </c>
      <c r="B255" s="17" t="s">
        <v>263</v>
      </c>
      <c r="C255" s="92" t="s">
        <v>266</v>
      </c>
      <c r="D255" s="29" t="s">
        <v>190</v>
      </c>
      <c r="E255" s="29" t="s">
        <v>190</v>
      </c>
      <c r="F255" s="29" t="s">
        <v>190</v>
      </c>
      <c r="G255" s="29" t="s">
        <v>190</v>
      </c>
      <c r="H255" s="29" t="s">
        <v>190</v>
      </c>
      <c r="I255" s="29" t="s">
        <v>190</v>
      </c>
      <c r="J255" s="29" t="s">
        <v>190</v>
      </c>
      <c r="K255" s="29" t="s">
        <v>190</v>
      </c>
      <c r="L255" s="29">
        <v>3.6000000000000004E-2</v>
      </c>
      <c r="M255" s="29">
        <v>3.6000000000000004E-2</v>
      </c>
      <c r="N255" s="29">
        <v>3.7000000000000005E-2</v>
      </c>
      <c r="O255" s="29">
        <v>3.7000000000000005E-2</v>
      </c>
      <c r="P255" s="29">
        <v>3.9E-2</v>
      </c>
      <c r="Q255" s="29">
        <v>3.7999999999999999E-2</v>
      </c>
      <c r="R255" s="29">
        <v>0.04</v>
      </c>
      <c r="S255" s="29">
        <v>4.0999999999999995E-2</v>
      </c>
      <c r="T255" s="29">
        <v>5.0999999999999997E-2</v>
      </c>
      <c r="U255" s="29">
        <v>5.2999999999999999E-2</v>
      </c>
      <c r="V255" s="29">
        <v>5.7000000000000002E-2</v>
      </c>
      <c r="W255" s="117" t="s">
        <v>344</v>
      </c>
      <c r="X255" s="117" t="s">
        <v>344</v>
      </c>
    </row>
    <row r="256" spans="1:24" x14ac:dyDescent="0.2">
      <c r="A256" s="30" t="s">
        <v>207</v>
      </c>
      <c r="B256" s="17" t="s">
        <v>263</v>
      </c>
      <c r="C256" s="92" t="s">
        <v>281</v>
      </c>
      <c r="D256" s="29" t="s">
        <v>190</v>
      </c>
      <c r="E256" s="29" t="s">
        <v>190</v>
      </c>
      <c r="F256" s="29" t="s">
        <v>190</v>
      </c>
      <c r="G256" s="29" t="s">
        <v>190</v>
      </c>
      <c r="H256" s="29" t="s">
        <v>190</v>
      </c>
      <c r="I256" s="29" t="s">
        <v>190</v>
      </c>
      <c r="J256" s="29" t="s">
        <v>190</v>
      </c>
      <c r="K256" s="29" t="s">
        <v>190</v>
      </c>
      <c r="L256" s="29">
        <v>3.7000000000000005E-2</v>
      </c>
      <c r="M256" s="29">
        <v>3.7000000000000005E-2</v>
      </c>
      <c r="N256" s="29">
        <v>3.7000000000000005E-2</v>
      </c>
      <c r="O256" s="29">
        <v>0.04</v>
      </c>
      <c r="P256" s="29">
        <v>4.0999999999999995E-2</v>
      </c>
      <c r="Q256" s="29">
        <v>4.2000000000000003E-2</v>
      </c>
      <c r="R256" s="29">
        <v>4.2000000000000003E-2</v>
      </c>
      <c r="S256" s="29">
        <v>4.0999999999999995E-2</v>
      </c>
      <c r="T256" s="29">
        <v>0.05</v>
      </c>
      <c r="U256" s="29">
        <v>5.5E-2</v>
      </c>
      <c r="V256" s="29">
        <v>5.7999999999999996E-2</v>
      </c>
      <c r="W256" s="117" t="s">
        <v>344</v>
      </c>
      <c r="X256" s="117" t="s">
        <v>344</v>
      </c>
    </row>
  </sheetData>
  <phoneticPr fontId="44" type="noConversion"/>
  <hyperlinks>
    <hyperlink ref="A11" location="Contents!A1" display="This cell contains a hyperlink to the Table of Contents" xr:uid="{00000000-0004-0000-0D00-000000000000}"/>
    <hyperlink ref="A8" r:id="rId1" xr:uid="{D8777BAC-F412-48F9-A44F-37EC4D391076}"/>
    <hyperlink ref="A9" r:id="rId2" display="Further data available by gender, age, work pattern, employment type, broad industrial group and qualification from Nomis. This link opens in a new window." xr:uid="{8211D748-F25B-4D0E-833E-D281E95AFD4B}"/>
  </hyperlinks>
  <pageMargins left="0.7" right="0.7" top="0.75" bottom="0.75" header="0.3" footer="0.3"/>
  <pageSetup paperSize="9" scale="17" orientation="portrait" r:id="rId3"/>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W135"/>
  <sheetViews>
    <sheetView showGridLines="0" zoomScaleNormal="100" workbookViewId="0"/>
  </sheetViews>
  <sheetFormatPr defaultColWidth="9.140625" defaultRowHeight="15" x14ac:dyDescent="0.2"/>
  <cols>
    <col min="1" max="1" width="61.42578125" style="13" customWidth="1"/>
    <col min="2" max="2" width="54.42578125" style="9" customWidth="1"/>
    <col min="3" max="8" width="12.5703125" style="32" customWidth="1"/>
    <col min="9" max="19" width="12.5703125" style="14" customWidth="1"/>
    <col min="20" max="21" width="12.5703125" style="13" customWidth="1"/>
    <col min="22" max="22" width="17.42578125" style="13" bestFit="1" customWidth="1"/>
    <col min="23" max="23" width="17.42578125" style="13" customWidth="1"/>
    <col min="24" max="16384" width="9.140625" style="13"/>
  </cols>
  <sheetData>
    <row r="1" spans="1:23" ht="20.25" x14ac:dyDescent="0.3">
      <c r="A1" s="22" t="s">
        <v>325</v>
      </c>
      <c r="B1" s="13"/>
      <c r="C1" s="14"/>
      <c r="D1" s="14"/>
      <c r="E1" s="14"/>
      <c r="F1" s="14"/>
      <c r="G1" s="14"/>
      <c r="H1" s="14"/>
      <c r="O1" s="14" t="s">
        <v>0</v>
      </c>
    </row>
    <row r="2" spans="1:23" x14ac:dyDescent="0.2">
      <c r="A2" s="9" t="s">
        <v>152</v>
      </c>
      <c r="B2" s="13"/>
      <c r="C2" s="14"/>
      <c r="D2" s="14"/>
      <c r="E2" s="14"/>
      <c r="F2" s="14"/>
      <c r="G2" s="14"/>
      <c r="H2" s="14"/>
    </row>
    <row r="3" spans="1:23" x14ac:dyDescent="0.2">
      <c r="A3" s="9" t="s">
        <v>291</v>
      </c>
      <c r="B3" s="13"/>
      <c r="C3" s="14"/>
      <c r="D3" s="14"/>
      <c r="E3" s="14"/>
      <c r="F3" s="14"/>
      <c r="G3" s="14"/>
      <c r="H3" s="14"/>
      <c r="S3" s="13"/>
    </row>
    <row r="4" spans="1:23" x14ac:dyDescent="0.2">
      <c r="A4" s="9" t="s">
        <v>297</v>
      </c>
      <c r="B4" s="13"/>
      <c r="C4" s="14"/>
      <c r="D4" s="14"/>
      <c r="E4" s="14"/>
      <c r="F4" s="14"/>
      <c r="G4" s="14"/>
      <c r="H4" s="14"/>
    </row>
    <row r="5" spans="1:23" x14ac:dyDescent="0.2">
      <c r="A5" s="9" t="s">
        <v>302</v>
      </c>
      <c r="B5" s="13"/>
      <c r="C5" s="14"/>
      <c r="D5" s="14"/>
      <c r="E5" s="14"/>
      <c r="F5" s="14"/>
      <c r="G5" s="14"/>
      <c r="H5" s="14"/>
    </row>
    <row r="6" spans="1:23" x14ac:dyDescent="0.2">
      <c r="A6" s="9" t="s">
        <v>195</v>
      </c>
      <c r="B6" s="13"/>
      <c r="C6" s="14"/>
      <c r="D6" s="14"/>
      <c r="E6" s="14"/>
      <c r="F6" s="14"/>
      <c r="G6" s="14"/>
      <c r="H6" s="14"/>
      <c r="V6" s="14"/>
      <c r="W6" s="14"/>
    </row>
    <row r="7" spans="1:23" ht="15.75" x14ac:dyDescent="0.25">
      <c r="A7" s="9" t="s">
        <v>323</v>
      </c>
      <c r="B7" s="13"/>
      <c r="C7" s="8"/>
      <c r="D7" s="8"/>
      <c r="E7" s="8"/>
      <c r="F7" s="8"/>
      <c r="G7" s="8"/>
      <c r="H7" s="8"/>
      <c r="I7" s="8"/>
      <c r="J7" s="8"/>
      <c r="K7" s="8"/>
      <c r="L7" s="8"/>
      <c r="M7" s="8"/>
      <c r="N7" s="8"/>
      <c r="O7" s="8"/>
      <c r="P7" s="8"/>
      <c r="Q7" s="8"/>
      <c r="R7" s="8"/>
      <c r="S7" s="8"/>
      <c r="T7" s="8"/>
      <c r="U7" s="8"/>
      <c r="V7" s="8"/>
    </row>
    <row r="8" spans="1:23" ht="15" customHeight="1" x14ac:dyDescent="0.25">
      <c r="A8" s="9" t="s">
        <v>204</v>
      </c>
      <c r="B8" s="13"/>
      <c r="C8" s="8"/>
      <c r="D8" s="8"/>
      <c r="E8" s="8"/>
      <c r="F8" s="8"/>
      <c r="G8" s="8"/>
      <c r="H8" s="8"/>
      <c r="I8" s="8"/>
      <c r="J8" s="8"/>
      <c r="K8" s="8"/>
      <c r="L8" s="8"/>
      <c r="M8" s="8"/>
      <c r="N8" s="8"/>
      <c r="O8" s="8"/>
      <c r="P8" s="8"/>
      <c r="Q8" s="8"/>
      <c r="R8" s="8"/>
      <c r="S8" s="8"/>
      <c r="T8" s="8"/>
      <c r="U8" s="8"/>
      <c r="V8" s="8"/>
    </row>
    <row r="9" spans="1:23" ht="15.75" x14ac:dyDescent="0.25">
      <c r="A9" s="3" t="s">
        <v>310</v>
      </c>
      <c r="B9" s="13"/>
      <c r="C9" s="8"/>
      <c r="D9" s="8"/>
      <c r="E9" s="8"/>
      <c r="F9" s="8"/>
      <c r="G9" s="8"/>
      <c r="H9" s="8"/>
      <c r="I9" s="8"/>
      <c r="J9" s="8"/>
      <c r="K9" s="8"/>
      <c r="L9" s="8"/>
      <c r="M9" s="8"/>
      <c r="N9" s="8"/>
      <c r="O9" s="8"/>
      <c r="P9" s="8"/>
      <c r="Q9" s="8"/>
      <c r="R9" s="8"/>
      <c r="S9" s="8"/>
      <c r="T9" s="8"/>
      <c r="U9" s="8"/>
      <c r="V9" s="8"/>
    </row>
    <row r="10" spans="1:23" x14ac:dyDescent="0.25">
      <c r="A10" s="35" t="s">
        <v>314</v>
      </c>
      <c r="B10" s="13"/>
      <c r="C10" s="8"/>
      <c r="D10" s="8"/>
      <c r="E10" s="8"/>
      <c r="F10" s="8"/>
      <c r="G10" s="8"/>
      <c r="H10" s="8"/>
      <c r="I10" s="8"/>
      <c r="J10" s="8"/>
      <c r="K10" s="8"/>
      <c r="L10" s="8"/>
      <c r="M10" s="8"/>
      <c r="N10" s="8"/>
      <c r="O10" s="8"/>
      <c r="P10" s="8"/>
      <c r="Q10" s="8"/>
      <c r="R10" s="8"/>
      <c r="S10" s="8"/>
      <c r="T10" s="8"/>
      <c r="U10" s="8"/>
      <c r="V10" s="8"/>
    </row>
    <row r="11" spans="1:23" s="27" customFormat="1" x14ac:dyDescent="0.25">
      <c r="A11" s="26" t="s">
        <v>154</v>
      </c>
      <c r="C11" s="8"/>
      <c r="D11" s="8"/>
      <c r="E11" s="8"/>
      <c r="F11" s="8"/>
      <c r="G11" s="8"/>
      <c r="H11" s="8"/>
      <c r="I11" s="8"/>
      <c r="J11" s="8"/>
      <c r="K11" s="8"/>
      <c r="L11" s="8"/>
      <c r="M11" s="8"/>
      <c r="N11" s="8"/>
      <c r="O11" s="8"/>
      <c r="P11" s="8"/>
      <c r="Q11" s="8"/>
      <c r="R11" s="8"/>
      <c r="S11" s="8"/>
      <c r="T11" s="8"/>
      <c r="U11" s="8"/>
      <c r="V11" s="8"/>
    </row>
    <row r="12" spans="1:23" s="27" customFormat="1" ht="30" customHeight="1" x14ac:dyDescent="0.25">
      <c r="A12" s="35" t="s">
        <v>232</v>
      </c>
      <c r="C12" s="28"/>
      <c r="D12" s="28"/>
      <c r="E12" s="28"/>
      <c r="F12" s="28"/>
      <c r="G12" s="28"/>
      <c r="H12" s="28"/>
      <c r="I12" s="28"/>
      <c r="J12" s="28"/>
      <c r="K12" s="28"/>
      <c r="L12" s="28"/>
      <c r="M12" s="28"/>
      <c r="N12" s="28"/>
      <c r="O12" s="28"/>
      <c r="P12" s="28"/>
      <c r="Q12" s="28"/>
      <c r="R12" s="28"/>
      <c r="S12" s="39"/>
    </row>
    <row r="13" spans="1:23" ht="15.75" customHeight="1" x14ac:dyDescent="0.25">
      <c r="A13" s="23" t="s">
        <v>156</v>
      </c>
      <c r="B13" s="23" t="s">
        <v>157</v>
      </c>
      <c r="C13" s="24" t="s">
        <v>164</v>
      </c>
      <c r="D13" s="24" t="s">
        <v>165</v>
      </c>
      <c r="E13" s="24" t="s">
        <v>166</v>
      </c>
      <c r="F13" s="24" t="s">
        <v>167</v>
      </c>
      <c r="G13" s="24" t="s">
        <v>168</v>
      </c>
      <c r="H13" s="24" t="s">
        <v>169</v>
      </c>
      <c r="I13" s="24" t="s">
        <v>170</v>
      </c>
      <c r="J13" s="24" t="s">
        <v>171</v>
      </c>
      <c r="K13" s="24" t="s">
        <v>172</v>
      </c>
      <c r="L13" s="24" t="s">
        <v>173</v>
      </c>
      <c r="M13" s="24" t="s">
        <v>174</v>
      </c>
      <c r="N13" s="24" t="s">
        <v>175</v>
      </c>
      <c r="O13" s="24" t="s">
        <v>176</v>
      </c>
      <c r="P13" s="24" t="s">
        <v>177</v>
      </c>
      <c r="Q13" s="24" t="s">
        <v>123</v>
      </c>
      <c r="R13" s="25" t="s">
        <v>150</v>
      </c>
      <c r="S13" s="24" t="s">
        <v>187</v>
      </c>
      <c r="T13" s="24" t="s">
        <v>189</v>
      </c>
      <c r="U13" s="80" t="s">
        <v>257</v>
      </c>
      <c r="V13" s="24" t="s">
        <v>316</v>
      </c>
      <c r="W13" s="24" t="s">
        <v>337</v>
      </c>
    </row>
    <row r="14" spans="1:23" x14ac:dyDescent="0.2">
      <c r="A14" s="16" t="s">
        <v>178</v>
      </c>
      <c r="B14" s="17" t="s">
        <v>48</v>
      </c>
      <c r="C14" s="18">
        <v>3574900</v>
      </c>
      <c r="D14" s="18">
        <v>3677100</v>
      </c>
      <c r="E14" s="18">
        <v>3762400</v>
      </c>
      <c r="F14" s="18">
        <v>3824300</v>
      </c>
      <c r="G14" s="18">
        <v>3799400</v>
      </c>
      <c r="H14" s="18">
        <v>3839900</v>
      </c>
      <c r="I14" s="18">
        <v>3954300</v>
      </c>
      <c r="J14" s="18">
        <v>4058700</v>
      </c>
      <c r="K14" s="18">
        <v>4213900</v>
      </c>
      <c r="L14" s="18">
        <v>4299600</v>
      </c>
      <c r="M14" s="18">
        <v>4498700</v>
      </c>
      <c r="N14" s="18">
        <v>4602400</v>
      </c>
      <c r="O14" s="18">
        <v>4797800</v>
      </c>
      <c r="P14" s="18">
        <v>4840900</v>
      </c>
      <c r="Q14" s="18">
        <v>4840200</v>
      </c>
      <c r="R14" s="18">
        <v>4970000</v>
      </c>
      <c r="S14" s="18">
        <v>4537500</v>
      </c>
      <c r="T14" s="18">
        <v>4271800</v>
      </c>
      <c r="U14" s="83">
        <v>4298200</v>
      </c>
      <c r="V14" s="117">
        <v>4371700</v>
      </c>
      <c r="W14" s="117">
        <v>4370600</v>
      </c>
    </row>
    <row r="15" spans="1:23" x14ac:dyDescent="0.2">
      <c r="A15" s="16" t="s">
        <v>178</v>
      </c>
      <c r="B15" s="17" t="s">
        <v>1</v>
      </c>
      <c r="C15" s="18">
        <v>247100</v>
      </c>
      <c r="D15" s="18">
        <v>243400</v>
      </c>
      <c r="E15" s="18">
        <v>264200</v>
      </c>
      <c r="F15" s="18">
        <v>264000</v>
      </c>
      <c r="G15" s="18">
        <v>268600</v>
      </c>
      <c r="H15" s="18">
        <v>265200</v>
      </c>
      <c r="I15" s="18">
        <v>271200</v>
      </c>
      <c r="J15" s="18">
        <v>283900</v>
      </c>
      <c r="K15" s="18">
        <v>301800</v>
      </c>
      <c r="L15" s="18">
        <v>287800</v>
      </c>
      <c r="M15" s="18">
        <v>302500</v>
      </c>
      <c r="N15" s="18">
        <v>298000</v>
      </c>
      <c r="O15" s="18">
        <v>329200</v>
      </c>
      <c r="P15" s="18">
        <v>325200</v>
      </c>
      <c r="Q15" s="18">
        <v>321300</v>
      </c>
      <c r="R15" s="18">
        <v>329600</v>
      </c>
      <c r="S15" s="18">
        <v>301600</v>
      </c>
      <c r="T15" s="18">
        <v>286000</v>
      </c>
      <c r="U15" s="83">
        <v>288100</v>
      </c>
      <c r="V15" s="117">
        <v>300100</v>
      </c>
      <c r="W15" s="117">
        <v>312800</v>
      </c>
    </row>
    <row r="16" spans="1:23" ht="30" customHeight="1" x14ac:dyDescent="0.2">
      <c r="A16" s="17" t="s">
        <v>179</v>
      </c>
      <c r="B16" s="17" t="s">
        <v>35</v>
      </c>
      <c r="C16" s="18">
        <v>27100</v>
      </c>
      <c r="D16" s="18">
        <v>24500</v>
      </c>
      <c r="E16" s="18">
        <v>26400</v>
      </c>
      <c r="F16" s="18">
        <v>24800</v>
      </c>
      <c r="G16" s="18">
        <v>25300</v>
      </c>
      <c r="H16" s="18">
        <v>24000</v>
      </c>
      <c r="I16" s="18">
        <v>29200</v>
      </c>
      <c r="J16" s="18">
        <v>28700</v>
      </c>
      <c r="K16" s="18">
        <v>29600</v>
      </c>
      <c r="L16" s="18">
        <v>28300</v>
      </c>
      <c r="M16" s="18">
        <v>27000</v>
      </c>
      <c r="N16" s="18">
        <v>26900</v>
      </c>
      <c r="O16" s="18">
        <v>30400</v>
      </c>
      <c r="P16" s="18">
        <v>37400</v>
      </c>
      <c r="Q16" s="18">
        <v>31500</v>
      </c>
      <c r="R16" s="18">
        <v>31200</v>
      </c>
      <c r="S16" s="18">
        <v>26200</v>
      </c>
      <c r="T16" s="18">
        <v>28800</v>
      </c>
      <c r="U16" s="18">
        <v>28900</v>
      </c>
      <c r="V16" s="117" t="s">
        <v>344</v>
      </c>
      <c r="W16" s="117" t="s">
        <v>344</v>
      </c>
    </row>
    <row r="17" spans="1:23" x14ac:dyDescent="0.2">
      <c r="A17" s="16" t="s">
        <v>179</v>
      </c>
      <c r="B17" s="17" t="s">
        <v>36</v>
      </c>
      <c r="C17" s="18">
        <v>63900</v>
      </c>
      <c r="D17" s="18">
        <v>64500</v>
      </c>
      <c r="E17" s="18">
        <v>71600</v>
      </c>
      <c r="F17" s="18">
        <v>73300</v>
      </c>
      <c r="G17" s="18">
        <v>79100</v>
      </c>
      <c r="H17" s="18">
        <v>75700</v>
      </c>
      <c r="I17" s="18">
        <v>71300</v>
      </c>
      <c r="J17" s="18">
        <v>82500</v>
      </c>
      <c r="K17" s="18">
        <v>86300</v>
      </c>
      <c r="L17" s="18">
        <v>76400</v>
      </c>
      <c r="M17" s="18">
        <v>90200</v>
      </c>
      <c r="N17" s="18">
        <v>89300</v>
      </c>
      <c r="O17" s="18">
        <v>96200</v>
      </c>
      <c r="P17" s="18">
        <v>101300</v>
      </c>
      <c r="Q17" s="18">
        <v>96700</v>
      </c>
      <c r="R17" s="18">
        <v>90500</v>
      </c>
      <c r="S17" s="18">
        <v>91700</v>
      </c>
      <c r="T17" s="18">
        <v>78800</v>
      </c>
      <c r="U17" s="18">
        <v>84800</v>
      </c>
      <c r="V17" s="117" t="s">
        <v>344</v>
      </c>
      <c r="W17" s="117" t="s">
        <v>344</v>
      </c>
    </row>
    <row r="18" spans="1:23" x14ac:dyDescent="0.2">
      <c r="A18" s="16" t="s">
        <v>179</v>
      </c>
      <c r="B18" s="17" t="s">
        <v>37</v>
      </c>
      <c r="C18" s="18">
        <v>63300</v>
      </c>
      <c r="D18" s="18">
        <v>62800</v>
      </c>
      <c r="E18" s="18">
        <v>67200</v>
      </c>
      <c r="F18" s="18">
        <v>66900</v>
      </c>
      <c r="G18" s="18">
        <v>64300</v>
      </c>
      <c r="H18" s="18">
        <v>68200</v>
      </c>
      <c r="I18" s="18">
        <v>68100</v>
      </c>
      <c r="J18" s="18">
        <v>70600</v>
      </c>
      <c r="K18" s="18">
        <v>81200</v>
      </c>
      <c r="L18" s="18">
        <v>75800</v>
      </c>
      <c r="M18" s="18">
        <v>74200</v>
      </c>
      <c r="N18" s="18">
        <v>75900</v>
      </c>
      <c r="O18" s="18">
        <v>85500</v>
      </c>
      <c r="P18" s="18">
        <v>71500</v>
      </c>
      <c r="Q18" s="18">
        <v>82000</v>
      </c>
      <c r="R18" s="18">
        <v>90700</v>
      </c>
      <c r="S18" s="18">
        <v>77900</v>
      </c>
      <c r="T18" s="18">
        <v>78900</v>
      </c>
      <c r="U18" s="18">
        <v>79900</v>
      </c>
      <c r="V18" s="117" t="s">
        <v>344</v>
      </c>
      <c r="W18" s="117" t="s">
        <v>344</v>
      </c>
    </row>
    <row r="19" spans="1:23" x14ac:dyDescent="0.2">
      <c r="A19" s="16" t="s">
        <v>179</v>
      </c>
      <c r="B19" s="17" t="s">
        <v>236</v>
      </c>
      <c r="C19" s="18">
        <v>14000</v>
      </c>
      <c r="D19" s="18">
        <v>13100</v>
      </c>
      <c r="E19" s="18">
        <v>12900</v>
      </c>
      <c r="F19" s="18">
        <v>14000</v>
      </c>
      <c r="G19" s="18">
        <v>12900</v>
      </c>
      <c r="H19" s="18">
        <v>13800</v>
      </c>
      <c r="I19" s="18">
        <v>15200</v>
      </c>
      <c r="J19" s="18">
        <v>14800</v>
      </c>
      <c r="K19" s="18">
        <v>16000</v>
      </c>
      <c r="L19" s="18">
        <v>15000</v>
      </c>
      <c r="M19" s="18">
        <v>15700</v>
      </c>
      <c r="N19" s="18">
        <v>14600</v>
      </c>
      <c r="O19" s="18">
        <v>16800</v>
      </c>
      <c r="P19" s="18">
        <v>16200</v>
      </c>
      <c r="Q19" s="18">
        <v>14100</v>
      </c>
      <c r="R19" s="18">
        <v>14000</v>
      </c>
      <c r="S19" s="18">
        <v>15900</v>
      </c>
      <c r="T19" s="18">
        <v>16800</v>
      </c>
      <c r="U19" s="18">
        <v>12900</v>
      </c>
      <c r="V19" s="117" t="s">
        <v>344</v>
      </c>
      <c r="W19" s="117" t="s">
        <v>344</v>
      </c>
    </row>
    <row r="20" spans="1:23" x14ac:dyDescent="0.2">
      <c r="A20" s="16" t="s">
        <v>179</v>
      </c>
      <c r="B20" s="17" t="s">
        <v>38</v>
      </c>
      <c r="C20" s="18">
        <v>31800</v>
      </c>
      <c r="D20" s="18">
        <v>33600</v>
      </c>
      <c r="E20" s="18">
        <v>39300</v>
      </c>
      <c r="F20" s="18">
        <v>37200</v>
      </c>
      <c r="G20" s="18">
        <v>34000</v>
      </c>
      <c r="H20" s="18">
        <v>37300</v>
      </c>
      <c r="I20" s="18">
        <v>35800</v>
      </c>
      <c r="J20" s="18">
        <v>38200</v>
      </c>
      <c r="K20" s="18">
        <v>39100</v>
      </c>
      <c r="L20" s="18">
        <v>35800</v>
      </c>
      <c r="M20" s="18">
        <v>42100</v>
      </c>
      <c r="N20" s="18">
        <v>42600</v>
      </c>
      <c r="O20" s="18">
        <v>49600</v>
      </c>
      <c r="P20" s="18">
        <v>39400</v>
      </c>
      <c r="Q20" s="18">
        <v>43200</v>
      </c>
      <c r="R20" s="18">
        <v>53600</v>
      </c>
      <c r="S20" s="18">
        <v>38000</v>
      </c>
      <c r="T20" s="18">
        <v>36300</v>
      </c>
      <c r="U20" s="18">
        <v>40300</v>
      </c>
      <c r="V20" s="117" t="s">
        <v>344</v>
      </c>
      <c r="W20" s="117" t="s">
        <v>344</v>
      </c>
    </row>
    <row r="21" spans="1:23" x14ac:dyDescent="0.2">
      <c r="A21" s="16" t="s">
        <v>179</v>
      </c>
      <c r="B21" s="17" t="s">
        <v>121</v>
      </c>
      <c r="C21" s="18">
        <v>33700</v>
      </c>
      <c r="D21" s="18">
        <v>33400</v>
      </c>
      <c r="E21" s="18">
        <v>35300</v>
      </c>
      <c r="F21" s="18">
        <v>33500</v>
      </c>
      <c r="G21" s="18">
        <v>34200</v>
      </c>
      <c r="H21" s="18">
        <v>31800</v>
      </c>
      <c r="I21" s="18">
        <v>36300</v>
      </c>
      <c r="J21" s="18">
        <v>35500</v>
      </c>
      <c r="K21" s="18">
        <v>36700</v>
      </c>
      <c r="L21" s="18">
        <v>38900</v>
      </c>
      <c r="M21" s="18">
        <v>37600</v>
      </c>
      <c r="N21" s="18">
        <v>34100</v>
      </c>
      <c r="O21" s="18">
        <v>38300</v>
      </c>
      <c r="P21" s="18">
        <v>35700</v>
      </c>
      <c r="Q21" s="18">
        <v>39200</v>
      </c>
      <c r="R21" s="18">
        <v>36700</v>
      </c>
      <c r="S21" s="18">
        <v>40200</v>
      </c>
      <c r="T21" s="18">
        <v>33000</v>
      </c>
      <c r="U21" s="18">
        <v>36000</v>
      </c>
      <c r="V21" s="117" t="s">
        <v>344</v>
      </c>
      <c r="W21" s="117" t="s">
        <v>344</v>
      </c>
    </row>
    <row r="22" spans="1:23" x14ac:dyDescent="0.2">
      <c r="A22" s="16" t="s">
        <v>179</v>
      </c>
      <c r="B22" s="17" t="s">
        <v>39</v>
      </c>
      <c r="C22" s="18">
        <v>16400</v>
      </c>
      <c r="D22" s="18">
        <v>15600</v>
      </c>
      <c r="E22" s="18">
        <v>17000</v>
      </c>
      <c r="F22" s="18">
        <v>17600</v>
      </c>
      <c r="G22" s="18">
        <v>18100</v>
      </c>
      <c r="H22" s="18">
        <v>17600</v>
      </c>
      <c r="I22" s="18">
        <v>17900</v>
      </c>
      <c r="J22" s="18">
        <v>19100</v>
      </c>
      <c r="K22" s="18">
        <v>18100</v>
      </c>
      <c r="L22" s="18">
        <v>18900</v>
      </c>
      <c r="M22" s="18">
        <v>20000</v>
      </c>
      <c r="N22" s="18">
        <v>18800</v>
      </c>
      <c r="O22" s="18">
        <v>20800</v>
      </c>
      <c r="P22" s="18">
        <v>21800</v>
      </c>
      <c r="Q22" s="18">
        <v>18800</v>
      </c>
      <c r="R22" s="18">
        <v>21400</v>
      </c>
      <c r="S22" s="18">
        <v>15300</v>
      </c>
      <c r="T22" s="18">
        <v>17200</v>
      </c>
      <c r="U22" s="18">
        <v>15200</v>
      </c>
      <c r="V22" s="117" t="s">
        <v>344</v>
      </c>
      <c r="W22" s="117" t="s">
        <v>344</v>
      </c>
    </row>
    <row r="23" spans="1:23" x14ac:dyDescent="0.2">
      <c r="A23" s="16" t="s">
        <v>179</v>
      </c>
      <c r="B23" s="17" t="s">
        <v>40</v>
      </c>
      <c r="C23" s="18">
        <v>19100</v>
      </c>
      <c r="D23" s="18">
        <v>18400</v>
      </c>
      <c r="E23" s="18">
        <v>19600</v>
      </c>
      <c r="F23" s="18">
        <v>20100</v>
      </c>
      <c r="G23" s="18">
        <v>21000</v>
      </c>
      <c r="H23" s="18">
        <v>20700</v>
      </c>
      <c r="I23" s="18">
        <v>20100</v>
      </c>
      <c r="J23" s="18">
        <v>20300</v>
      </c>
      <c r="K23" s="18">
        <v>22800</v>
      </c>
      <c r="L23" s="18">
        <v>23000</v>
      </c>
      <c r="M23" s="18">
        <v>23700</v>
      </c>
      <c r="N23" s="18">
        <v>23600</v>
      </c>
      <c r="O23" s="18">
        <v>23700</v>
      </c>
      <c r="P23" s="18">
        <v>24600</v>
      </c>
      <c r="Q23" s="18">
        <v>24600</v>
      </c>
      <c r="R23" s="18">
        <v>24200</v>
      </c>
      <c r="S23" s="18">
        <v>23900</v>
      </c>
      <c r="T23" s="18">
        <v>20900</v>
      </c>
      <c r="U23" s="18">
        <v>22000</v>
      </c>
      <c r="V23" s="117" t="s">
        <v>344</v>
      </c>
      <c r="W23" s="117" t="s">
        <v>344</v>
      </c>
    </row>
    <row r="24" spans="1:23" ht="30" customHeight="1" x14ac:dyDescent="0.2">
      <c r="A24" s="17" t="s">
        <v>180</v>
      </c>
      <c r="B24" s="17" t="s">
        <v>41</v>
      </c>
      <c r="C24" s="18">
        <v>11900</v>
      </c>
      <c r="D24" s="18">
        <v>12300</v>
      </c>
      <c r="E24" s="18">
        <v>12500</v>
      </c>
      <c r="F24" s="18">
        <v>13000</v>
      </c>
      <c r="G24" s="18">
        <v>12200</v>
      </c>
      <c r="H24" s="18">
        <v>11200</v>
      </c>
      <c r="I24" s="18">
        <v>12800</v>
      </c>
      <c r="J24" s="18">
        <v>11600</v>
      </c>
      <c r="K24" s="18">
        <v>12600</v>
      </c>
      <c r="L24" s="18">
        <v>13200</v>
      </c>
      <c r="M24" s="18">
        <v>12600</v>
      </c>
      <c r="N24" s="18">
        <v>13000</v>
      </c>
      <c r="O24" s="18">
        <v>12600</v>
      </c>
      <c r="P24" s="18">
        <v>13000</v>
      </c>
      <c r="Q24" s="18">
        <v>14400</v>
      </c>
      <c r="R24" s="18">
        <v>13600</v>
      </c>
      <c r="S24" s="18">
        <v>13400</v>
      </c>
      <c r="T24" s="18">
        <v>10400</v>
      </c>
      <c r="U24" s="18">
        <v>11900</v>
      </c>
      <c r="V24" s="117" t="s">
        <v>344</v>
      </c>
      <c r="W24" s="117" t="s">
        <v>344</v>
      </c>
    </row>
    <row r="25" spans="1:23" x14ac:dyDescent="0.2">
      <c r="A25" s="16" t="s">
        <v>180</v>
      </c>
      <c r="B25" s="17" t="s">
        <v>42</v>
      </c>
      <c r="C25" s="18">
        <v>92900</v>
      </c>
      <c r="D25" s="18">
        <v>87600</v>
      </c>
      <c r="E25" s="18">
        <v>96200</v>
      </c>
      <c r="F25" s="18">
        <v>96500</v>
      </c>
      <c r="G25" s="18">
        <v>97600</v>
      </c>
      <c r="H25" s="18">
        <v>96200</v>
      </c>
      <c r="I25" s="18">
        <v>100500</v>
      </c>
      <c r="J25" s="18">
        <v>102800</v>
      </c>
      <c r="K25" s="18">
        <v>105300</v>
      </c>
      <c r="L25" s="18">
        <v>105600</v>
      </c>
      <c r="M25" s="18">
        <v>109500</v>
      </c>
      <c r="N25" s="18">
        <v>102700</v>
      </c>
      <c r="O25" s="18">
        <v>110400</v>
      </c>
      <c r="P25" s="18">
        <v>114600</v>
      </c>
      <c r="Q25" s="18">
        <v>109600</v>
      </c>
      <c r="R25" s="18">
        <v>113000</v>
      </c>
      <c r="S25" s="18">
        <v>103600</v>
      </c>
      <c r="T25" s="18">
        <v>101200</v>
      </c>
      <c r="U25" s="18">
        <v>98200</v>
      </c>
      <c r="V25" s="117" t="s">
        <v>344</v>
      </c>
      <c r="W25" s="117" t="s">
        <v>344</v>
      </c>
    </row>
    <row r="26" spans="1:23" x14ac:dyDescent="0.2">
      <c r="A26" s="16" t="s">
        <v>180</v>
      </c>
      <c r="B26" s="17" t="s">
        <v>43</v>
      </c>
      <c r="C26" s="18">
        <v>87700</v>
      </c>
      <c r="D26" s="18">
        <v>87800</v>
      </c>
      <c r="E26" s="18">
        <v>94300</v>
      </c>
      <c r="F26" s="18">
        <v>94300</v>
      </c>
      <c r="G26" s="18">
        <v>92700</v>
      </c>
      <c r="H26" s="18">
        <v>94600</v>
      </c>
      <c r="I26" s="18">
        <v>97600</v>
      </c>
      <c r="J26" s="18">
        <v>104000</v>
      </c>
      <c r="K26" s="18">
        <v>109700</v>
      </c>
      <c r="L26" s="18">
        <v>100100</v>
      </c>
      <c r="M26" s="18">
        <v>111600</v>
      </c>
      <c r="N26" s="18">
        <v>106500</v>
      </c>
      <c r="O26" s="18">
        <v>122700</v>
      </c>
      <c r="P26" s="18">
        <v>109300</v>
      </c>
      <c r="Q26" s="18">
        <v>120200</v>
      </c>
      <c r="R26" s="18">
        <v>111500</v>
      </c>
      <c r="S26" s="18">
        <v>106200</v>
      </c>
      <c r="T26" s="18">
        <v>94200</v>
      </c>
      <c r="U26" s="18">
        <v>101000</v>
      </c>
      <c r="V26" s="117" t="s">
        <v>344</v>
      </c>
      <c r="W26" s="117" t="s">
        <v>344</v>
      </c>
    </row>
    <row r="27" spans="1:23" x14ac:dyDescent="0.2">
      <c r="A27" s="16" t="s">
        <v>180</v>
      </c>
      <c r="B27" s="17" t="s">
        <v>44</v>
      </c>
      <c r="C27" s="18">
        <v>54700</v>
      </c>
      <c r="D27" s="18">
        <v>55800</v>
      </c>
      <c r="E27" s="18">
        <v>61100</v>
      </c>
      <c r="F27" s="18">
        <v>60200</v>
      </c>
      <c r="G27" s="18">
        <v>66100</v>
      </c>
      <c r="H27" s="18">
        <v>63300</v>
      </c>
      <c r="I27" s="18">
        <v>60400</v>
      </c>
      <c r="J27" s="18">
        <v>65500</v>
      </c>
      <c r="K27" s="18">
        <v>74100</v>
      </c>
      <c r="L27" s="18">
        <v>68800</v>
      </c>
      <c r="M27" s="18">
        <v>68800</v>
      </c>
      <c r="N27" s="18">
        <v>75800</v>
      </c>
      <c r="O27" s="18">
        <v>83600</v>
      </c>
      <c r="P27" s="18">
        <v>88300</v>
      </c>
      <c r="Q27" s="18">
        <v>77000</v>
      </c>
      <c r="R27" s="18">
        <v>91500</v>
      </c>
      <c r="S27" s="18">
        <v>78300</v>
      </c>
      <c r="T27" s="18">
        <v>80200</v>
      </c>
      <c r="U27" s="18">
        <v>77000</v>
      </c>
      <c r="V27" s="117" t="s">
        <v>344</v>
      </c>
      <c r="W27" s="117" t="s">
        <v>344</v>
      </c>
    </row>
    <row r="28" spans="1:23" ht="30" customHeight="1" x14ac:dyDescent="0.2">
      <c r="A28" s="17" t="s">
        <v>181</v>
      </c>
      <c r="B28" s="17" t="s">
        <v>45</v>
      </c>
      <c r="C28" s="18">
        <f>C21</f>
        <v>33700</v>
      </c>
      <c r="D28" s="18">
        <f t="shared" ref="D28:S28" si="0">D21</f>
        <v>33400</v>
      </c>
      <c r="E28" s="18">
        <f t="shared" si="0"/>
        <v>35300</v>
      </c>
      <c r="F28" s="18">
        <f t="shared" si="0"/>
        <v>33500</v>
      </c>
      <c r="G28" s="18">
        <f t="shared" si="0"/>
        <v>34200</v>
      </c>
      <c r="H28" s="18">
        <f t="shared" si="0"/>
        <v>31800</v>
      </c>
      <c r="I28" s="18">
        <f t="shared" si="0"/>
        <v>36300</v>
      </c>
      <c r="J28" s="18">
        <f t="shared" si="0"/>
        <v>35500</v>
      </c>
      <c r="K28" s="18">
        <f t="shared" si="0"/>
        <v>36700</v>
      </c>
      <c r="L28" s="18">
        <f t="shared" si="0"/>
        <v>38900</v>
      </c>
      <c r="M28" s="18">
        <f t="shared" si="0"/>
        <v>37600</v>
      </c>
      <c r="N28" s="18">
        <f t="shared" si="0"/>
        <v>34100</v>
      </c>
      <c r="O28" s="18">
        <f t="shared" si="0"/>
        <v>38300</v>
      </c>
      <c r="P28" s="18">
        <f t="shared" si="0"/>
        <v>35700</v>
      </c>
      <c r="Q28" s="18">
        <f t="shared" si="0"/>
        <v>39200</v>
      </c>
      <c r="R28" s="18">
        <f t="shared" si="0"/>
        <v>36700</v>
      </c>
      <c r="S28" s="18">
        <f t="shared" si="0"/>
        <v>40200</v>
      </c>
      <c r="T28" s="18">
        <f>T21</f>
        <v>33000</v>
      </c>
      <c r="U28" s="18">
        <f t="shared" ref="U28" si="1">U21</f>
        <v>36000</v>
      </c>
      <c r="V28" s="117" t="s">
        <v>344</v>
      </c>
      <c r="W28" s="117" t="s">
        <v>344</v>
      </c>
    </row>
    <row r="29" spans="1:23" x14ac:dyDescent="0.2">
      <c r="A29" s="16" t="s">
        <v>181</v>
      </c>
      <c r="B29" s="17" t="s">
        <v>120</v>
      </c>
      <c r="C29" s="18">
        <f>C23</f>
        <v>19100</v>
      </c>
      <c r="D29" s="18">
        <f t="shared" ref="D29:S29" si="2">D23</f>
        <v>18400</v>
      </c>
      <c r="E29" s="18">
        <f t="shared" si="2"/>
        <v>19600</v>
      </c>
      <c r="F29" s="18">
        <f t="shared" si="2"/>
        <v>20100</v>
      </c>
      <c r="G29" s="18">
        <f t="shared" si="2"/>
        <v>21000</v>
      </c>
      <c r="H29" s="18">
        <f t="shared" si="2"/>
        <v>20700</v>
      </c>
      <c r="I29" s="18">
        <f t="shared" si="2"/>
        <v>20100</v>
      </c>
      <c r="J29" s="18">
        <f t="shared" si="2"/>
        <v>20300</v>
      </c>
      <c r="K29" s="18">
        <f t="shared" si="2"/>
        <v>22800</v>
      </c>
      <c r="L29" s="18">
        <f t="shared" si="2"/>
        <v>23000</v>
      </c>
      <c r="M29" s="18">
        <f t="shared" si="2"/>
        <v>23700</v>
      </c>
      <c r="N29" s="18">
        <f t="shared" si="2"/>
        <v>23600</v>
      </c>
      <c r="O29" s="18">
        <f t="shared" si="2"/>
        <v>23700</v>
      </c>
      <c r="P29" s="18">
        <f t="shared" si="2"/>
        <v>24600</v>
      </c>
      <c r="Q29" s="18">
        <f t="shared" si="2"/>
        <v>24600</v>
      </c>
      <c r="R29" s="18">
        <f t="shared" si="2"/>
        <v>24200</v>
      </c>
      <c r="S29" s="18">
        <f t="shared" si="2"/>
        <v>23900</v>
      </c>
      <c r="T29" s="18">
        <f>T23</f>
        <v>20900</v>
      </c>
      <c r="U29" s="18">
        <f t="shared" ref="U29" si="3">U23</f>
        <v>22000</v>
      </c>
      <c r="V29" s="117" t="s">
        <v>344</v>
      </c>
      <c r="W29" s="117" t="s">
        <v>344</v>
      </c>
    </row>
    <row r="30" spans="1:23" x14ac:dyDescent="0.2">
      <c r="A30" s="16" t="s">
        <v>181</v>
      </c>
      <c r="B30" s="17" t="s">
        <v>46</v>
      </c>
      <c r="C30" s="18">
        <v>194300</v>
      </c>
      <c r="D30" s="18">
        <v>191600</v>
      </c>
      <c r="E30" s="18">
        <v>209300</v>
      </c>
      <c r="F30" s="18">
        <v>210500</v>
      </c>
      <c r="G30" s="18">
        <v>213400</v>
      </c>
      <c r="H30" s="18">
        <v>212700</v>
      </c>
      <c r="I30" s="18">
        <v>214900</v>
      </c>
      <c r="J30" s="18">
        <v>228100</v>
      </c>
      <c r="K30" s="18">
        <v>242300</v>
      </c>
      <c r="L30" s="18">
        <v>225900</v>
      </c>
      <c r="M30" s="18">
        <v>241200</v>
      </c>
      <c r="N30" s="18">
        <v>240400</v>
      </c>
      <c r="O30" s="18">
        <v>267300</v>
      </c>
      <c r="P30" s="18">
        <v>264900</v>
      </c>
      <c r="Q30" s="18">
        <v>257500</v>
      </c>
      <c r="R30" s="18">
        <v>268700</v>
      </c>
      <c r="S30" s="18">
        <v>237500</v>
      </c>
      <c r="T30" s="18">
        <v>232100</v>
      </c>
      <c r="U30" s="18">
        <v>230100</v>
      </c>
      <c r="V30" s="117" t="s">
        <v>344</v>
      </c>
      <c r="W30" s="117" t="s">
        <v>344</v>
      </c>
    </row>
    <row r="31" spans="1:23" ht="30" customHeight="1" x14ac:dyDescent="0.2">
      <c r="A31" s="17" t="s">
        <v>47</v>
      </c>
      <c r="B31" s="17" t="s">
        <v>22</v>
      </c>
      <c r="C31" s="18">
        <v>9000</v>
      </c>
      <c r="D31" s="18">
        <v>8900</v>
      </c>
      <c r="E31" s="18">
        <v>8900</v>
      </c>
      <c r="F31" s="18">
        <v>7300</v>
      </c>
      <c r="G31" s="18">
        <v>7600</v>
      </c>
      <c r="H31" s="18">
        <v>6100</v>
      </c>
      <c r="I31" s="18">
        <v>8100</v>
      </c>
      <c r="J31" s="18">
        <v>8200</v>
      </c>
      <c r="K31" s="18">
        <v>9900</v>
      </c>
      <c r="L31" s="18">
        <v>10900</v>
      </c>
      <c r="M31" s="18">
        <v>8700</v>
      </c>
      <c r="N31" s="18">
        <v>9500</v>
      </c>
      <c r="O31" s="18">
        <v>11800</v>
      </c>
      <c r="P31" s="18">
        <v>13600</v>
      </c>
      <c r="Q31" s="18">
        <v>12300</v>
      </c>
      <c r="R31" s="18">
        <v>12900</v>
      </c>
      <c r="S31" s="18">
        <v>10200</v>
      </c>
      <c r="T31" s="18">
        <v>11900</v>
      </c>
      <c r="U31" s="83">
        <v>11100</v>
      </c>
      <c r="V31" s="117" t="s">
        <v>344</v>
      </c>
      <c r="W31" s="117" t="s">
        <v>344</v>
      </c>
    </row>
    <row r="32" spans="1:23" x14ac:dyDescent="0.2">
      <c r="A32" s="16" t="s">
        <v>47</v>
      </c>
      <c r="B32" s="17" t="s">
        <v>23</v>
      </c>
      <c r="C32" s="18">
        <v>18100</v>
      </c>
      <c r="D32" s="18">
        <v>15600</v>
      </c>
      <c r="E32" s="18">
        <v>17500</v>
      </c>
      <c r="F32" s="18">
        <v>17600</v>
      </c>
      <c r="G32" s="18">
        <v>17700</v>
      </c>
      <c r="H32" s="18">
        <v>17900</v>
      </c>
      <c r="I32" s="21">
        <v>21100</v>
      </c>
      <c r="J32" s="21">
        <v>20600</v>
      </c>
      <c r="K32" s="21">
        <v>19600</v>
      </c>
      <c r="L32" s="21">
        <v>17300</v>
      </c>
      <c r="M32" s="21">
        <v>18300</v>
      </c>
      <c r="N32" s="21">
        <v>17400</v>
      </c>
      <c r="O32" s="21">
        <v>18600</v>
      </c>
      <c r="P32" s="21">
        <v>23700</v>
      </c>
      <c r="Q32" s="21">
        <v>19200</v>
      </c>
      <c r="R32" s="21">
        <v>18300</v>
      </c>
      <c r="S32" s="18">
        <v>16000</v>
      </c>
      <c r="T32" s="18">
        <v>16900</v>
      </c>
      <c r="U32" s="83">
        <v>17800</v>
      </c>
      <c r="V32" s="117" t="s">
        <v>344</v>
      </c>
      <c r="W32" s="117" t="s">
        <v>344</v>
      </c>
    </row>
    <row r="33" spans="1:23" x14ac:dyDescent="0.2">
      <c r="A33" s="16" t="s">
        <v>47</v>
      </c>
      <c r="B33" s="17" t="s">
        <v>29</v>
      </c>
      <c r="C33" s="18">
        <v>6200</v>
      </c>
      <c r="D33" s="18">
        <v>6400</v>
      </c>
      <c r="E33" s="18">
        <v>7200</v>
      </c>
      <c r="F33" s="18">
        <v>7600</v>
      </c>
      <c r="G33" s="18">
        <v>7700</v>
      </c>
      <c r="H33" s="18">
        <v>7600</v>
      </c>
      <c r="I33" s="21">
        <v>7300</v>
      </c>
      <c r="J33" s="21">
        <v>7100</v>
      </c>
      <c r="K33" s="21">
        <v>6700</v>
      </c>
      <c r="L33" s="21">
        <v>8000</v>
      </c>
      <c r="M33" s="21">
        <v>7700</v>
      </c>
      <c r="N33" s="21">
        <v>7200</v>
      </c>
      <c r="O33" s="21">
        <v>8900</v>
      </c>
      <c r="P33" s="21">
        <v>8300</v>
      </c>
      <c r="Q33" s="21">
        <v>6800</v>
      </c>
      <c r="R33" s="21">
        <v>7900</v>
      </c>
      <c r="S33" s="18">
        <v>6200</v>
      </c>
      <c r="T33" s="18">
        <v>5300</v>
      </c>
      <c r="U33" s="83">
        <v>5100</v>
      </c>
      <c r="V33" s="117" t="s">
        <v>344</v>
      </c>
      <c r="W33" s="117" t="s">
        <v>344</v>
      </c>
    </row>
    <row r="34" spans="1:23" x14ac:dyDescent="0.2">
      <c r="A34" s="16" t="s">
        <v>47</v>
      </c>
      <c r="B34" s="17" t="s">
        <v>24</v>
      </c>
      <c r="C34" s="18">
        <v>7300</v>
      </c>
      <c r="D34" s="18">
        <v>7000</v>
      </c>
      <c r="E34" s="18">
        <v>7100</v>
      </c>
      <c r="F34" s="18">
        <v>7000</v>
      </c>
      <c r="G34" s="18">
        <v>7000</v>
      </c>
      <c r="H34" s="18">
        <v>6700</v>
      </c>
      <c r="I34" s="21">
        <v>7600</v>
      </c>
      <c r="J34" s="21">
        <v>6100</v>
      </c>
      <c r="K34" s="21">
        <v>7400</v>
      </c>
      <c r="L34" s="21">
        <v>7500</v>
      </c>
      <c r="M34" s="21">
        <v>7400</v>
      </c>
      <c r="N34" s="21">
        <v>7200</v>
      </c>
      <c r="O34" s="21">
        <v>7400</v>
      </c>
      <c r="P34" s="21">
        <v>7400</v>
      </c>
      <c r="Q34" s="21">
        <v>8400</v>
      </c>
      <c r="R34" s="21">
        <v>8200</v>
      </c>
      <c r="S34" s="18">
        <v>7600</v>
      </c>
      <c r="T34" s="18">
        <v>5900</v>
      </c>
      <c r="U34" s="83">
        <v>6400</v>
      </c>
      <c r="V34" s="117" t="s">
        <v>344</v>
      </c>
      <c r="W34" s="117" t="s">
        <v>344</v>
      </c>
    </row>
    <row r="35" spans="1:23" x14ac:dyDescent="0.2">
      <c r="A35" s="16" t="s">
        <v>47</v>
      </c>
      <c r="B35" s="17" t="s">
        <v>25</v>
      </c>
      <c r="C35" s="18">
        <v>25400</v>
      </c>
      <c r="D35" s="18">
        <v>24000</v>
      </c>
      <c r="E35" s="18">
        <v>25600</v>
      </c>
      <c r="F35" s="18">
        <v>26200</v>
      </c>
      <c r="G35" s="18">
        <v>27800</v>
      </c>
      <c r="H35" s="18">
        <v>27600</v>
      </c>
      <c r="I35" s="21">
        <v>27900</v>
      </c>
      <c r="J35" s="21">
        <v>26700</v>
      </c>
      <c r="K35" s="21">
        <v>32400</v>
      </c>
      <c r="L35" s="21">
        <v>32000</v>
      </c>
      <c r="M35" s="21">
        <v>23500</v>
      </c>
      <c r="N35" s="21">
        <v>28200</v>
      </c>
      <c r="O35" s="21">
        <v>33200</v>
      </c>
      <c r="P35" s="21">
        <v>26900</v>
      </c>
      <c r="Q35" s="21">
        <v>28400</v>
      </c>
      <c r="R35" s="21">
        <v>37000</v>
      </c>
      <c r="S35" s="18">
        <v>27500</v>
      </c>
      <c r="T35" s="18">
        <v>32700</v>
      </c>
      <c r="U35" s="83">
        <v>30000</v>
      </c>
      <c r="V35" s="117" t="s">
        <v>344</v>
      </c>
      <c r="W35" s="117" t="s">
        <v>344</v>
      </c>
    </row>
    <row r="36" spans="1:23" x14ac:dyDescent="0.2">
      <c r="A36" s="16" t="s">
        <v>47</v>
      </c>
      <c r="B36" s="17" t="s">
        <v>2</v>
      </c>
      <c r="C36" s="18">
        <v>2100</v>
      </c>
      <c r="D36" s="18">
        <v>1900</v>
      </c>
      <c r="E36" s="18">
        <v>2100</v>
      </c>
      <c r="F36" s="18">
        <v>2100</v>
      </c>
      <c r="G36" s="18">
        <v>1800</v>
      </c>
      <c r="H36" s="18">
        <v>2100</v>
      </c>
      <c r="I36" s="21">
        <v>2200</v>
      </c>
      <c r="J36" s="21">
        <v>2000</v>
      </c>
      <c r="K36" s="21">
        <v>2700</v>
      </c>
      <c r="L36" s="21">
        <v>2100</v>
      </c>
      <c r="M36" s="21">
        <v>2300</v>
      </c>
      <c r="N36" s="21">
        <v>1800</v>
      </c>
      <c r="O36" s="21">
        <v>2000</v>
      </c>
      <c r="P36" s="21">
        <v>2000</v>
      </c>
      <c r="Q36" s="21">
        <v>2200</v>
      </c>
      <c r="R36" s="21">
        <v>2000</v>
      </c>
      <c r="S36" s="18">
        <v>2300</v>
      </c>
      <c r="T36" s="18">
        <v>2200</v>
      </c>
      <c r="U36" s="83">
        <v>1900</v>
      </c>
      <c r="V36" s="117" t="s">
        <v>344</v>
      </c>
      <c r="W36" s="117" t="s">
        <v>344</v>
      </c>
    </row>
    <row r="37" spans="1:23" x14ac:dyDescent="0.2">
      <c r="A37" s="16" t="s">
        <v>47</v>
      </c>
      <c r="B37" s="17" t="s">
        <v>3</v>
      </c>
      <c r="C37" s="18">
        <v>10300</v>
      </c>
      <c r="D37" s="18">
        <v>10400</v>
      </c>
      <c r="E37" s="18">
        <v>12000</v>
      </c>
      <c r="F37" s="18">
        <v>11300</v>
      </c>
      <c r="G37" s="18">
        <v>11900</v>
      </c>
      <c r="H37" s="18">
        <v>11400</v>
      </c>
      <c r="I37" s="21">
        <v>11400</v>
      </c>
      <c r="J37" s="21">
        <v>11100</v>
      </c>
      <c r="K37" s="21">
        <v>13000</v>
      </c>
      <c r="L37" s="21">
        <v>13300</v>
      </c>
      <c r="M37" s="21">
        <v>13800</v>
      </c>
      <c r="N37" s="21">
        <v>13900</v>
      </c>
      <c r="O37" s="21">
        <v>12900</v>
      </c>
      <c r="P37" s="21">
        <v>14300</v>
      </c>
      <c r="Q37" s="21">
        <v>14600</v>
      </c>
      <c r="R37" s="21">
        <v>12900</v>
      </c>
      <c r="S37" s="18">
        <v>12000</v>
      </c>
      <c r="T37" s="18">
        <v>10300</v>
      </c>
      <c r="U37" s="83">
        <v>10700</v>
      </c>
      <c r="V37" s="117" t="s">
        <v>344</v>
      </c>
      <c r="W37" s="117" t="s">
        <v>344</v>
      </c>
    </row>
    <row r="38" spans="1:23" x14ac:dyDescent="0.2">
      <c r="A38" s="16" t="s">
        <v>47</v>
      </c>
      <c r="B38" s="17" t="s">
        <v>30</v>
      </c>
      <c r="C38" s="18">
        <v>3600</v>
      </c>
      <c r="D38" s="18">
        <v>4400</v>
      </c>
      <c r="E38" s="18">
        <v>5200</v>
      </c>
      <c r="F38" s="18">
        <v>4800</v>
      </c>
      <c r="G38" s="18">
        <v>5900</v>
      </c>
      <c r="H38" s="18">
        <v>5900</v>
      </c>
      <c r="I38" s="21">
        <v>5800</v>
      </c>
      <c r="J38" s="21">
        <v>4700</v>
      </c>
      <c r="K38" s="21">
        <v>4500</v>
      </c>
      <c r="L38" s="21">
        <v>3800</v>
      </c>
      <c r="M38" s="21">
        <v>5300</v>
      </c>
      <c r="N38" s="21">
        <v>6100</v>
      </c>
      <c r="O38" s="21">
        <v>7000</v>
      </c>
      <c r="P38" s="21">
        <v>8100</v>
      </c>
      <c r="Q38" s="21">
        <v>6600</v>
      </c>
      <c r="R38" s="21">
        <v>8500</v>
      </c>
      <c r="S38" s="18">
        <v>6800</v>
      </c>
      <c r="T38" s="18">
        <v>5600</v>
      </c>
      <c r="U38" s="83">
        <v>4000</v>
      </c>
      <c r="V38" s="117" t="s">
        <v>344</v>
      </c>
      <c r="W38" s="117" t="s">
        <v>344</v>
      </c>
    </row>
    <row r="39" spans="1:23" x14ac:dyDescent="0.2">
      <c r="A39" s="16" t="s">
        <v>47</v>
      </c>
      <c r="B39" s="17" t="s">
        <v>4</v>
      </c>
      <c r="C39" s="18">
        <v>5100</v>
      </c>
      <c r="D39" s="18">
        <v>4300</v>
      </c>
      <c r="E39" s="18">
        <v>5200</v>
      </c>
      <c r="F39" s="18">
        <v>6100</v>
      </c>
      <c r="G39" s="18">
        <v>6100</v>
      </c>
      <c r="H39" s="18">
        <v>5400</v>
      </c>
      <c r="I39" s="21">
        <v>5600</v>
      </c>
      <c r="J39" s="21">
        <v>5800</v>
      </c>
      <c r="K39" s="21">
        <v>6100</v>
      </c>
      <c r="L39" s="21">
        <v>5600</v>
      </c>
      <c r="M39" s="21">
        <v>6200</v>
      </c>
      <c r="N39" s="21">
        <v>5700</v>
      </c>
      <c r="O39" s="21">
        <v>6600</v>
      </c>
      <c r="P39" s="21">
        <v>8000</v>
      </c>
      <c r="Q39" s="21">
        <v>6300</v>
      </c>
      <c r="R39" s="21">
        <v>8300</v>
      </c>
      <c r="S39" s="18">
        <v>6000</v>
      </c>
      <c r="T39" s="18">
        <v>6800</v>
      </c>
      <c r="U39" s="83">
        <v>3800</v>
      </c>
      <c r="V39" s="117" t="s">
        <v>344</v>
      </c>
      <c r="W39" s="117" t="s">
        <v>344</v>
      </c>
    </row>
    <row r="40" spans="1:23" x14ac:dyDescent="0.2">
      <c r="A40" s="16" t="s">
        <v>47</v>
      </c>
      <c r="B40" s="17" t="s">
        <v>32</v>
      </c>
      <c r="C40" s="18">
        <v>5700</v>
      </c>
      <c r="D40" s="18">
        <v>5800</v>
      </c>
      <c r="E40" s="18">
        <v>5400</v>
      </c>
      <c r="F40" s="18">
        <v>5200</v>
      </c>
      <c r="G40" s="18">
        <v>6500</v>
      </c>
      <c r="H40" s="18">
        <v>7100</v>
      </c>
      <c r="I40" s="21">
        <v>6500</v>
      </c>
      <c r="J40" s="21">
        <v>6900</v>
      </c>
      <c r="K40" s="21">
        <v>7000</v>
      </c>
      <c r="L40" s="21">
        <v>7000</v>
      </c>
      <c r="M40" s="21">
        <v>7000</v>
      </c>
      <c r="N40" s="21">
        <v>5600</v>
      </c>
      <c r="O40" s="21">
        <v>6500</v>
      </c>
      <c r="P40" s="21">
        <v>6100</v>
      </c>
      <c r="Q40" s="21">
        <v>5900</v>
      </c>
      <c r="R40" s="21">
        <v>6100</v>
      </c>
      <c r="S40" s="18">
        <v>5800</v>
      </c>
      <c r="T40" s="18">
        <v>5100</v>
      </c>
      <c r="U40" s="83">
        <v>4900</v>
      </c>
      <c r="V40" s="117" t="s">
        <v>344</v>
      </c>
      <c r="W40" s="117" t="s">
        <v>344</v>
      </c>
    </row>
    <row r="41" spans="1:23" x14ac:dyDescent="0.2">
      <c r="A41" s="16" t="s">
        <v>47</v>
      </c>
      <c r="B41" s="17" t="s">
        <v>5</v>
      </c>
      <c r="C41" s="18">
        <v>5700</v>
      </c>
      <c r="D41" s="18">
        <v>6100</v>
      </c>
      <c r="E41" s="18">
        <v>6200</v>
      </c>
      <c r="F41" s="18">
        <v>6300</v>
      </c>
      <c r="G41" s="18">
        <v>5700</v>
      </c>
      <c r="H41" s="18">
        <v>5200</v>
      </c>
      <c r="I41" s="21">
        <v>5600</v>
      </c>
      <c r="J41" s="21">
        <v>6700</v>
      </c>
      <c r="K41" s="21">
        <v>7100</v>
      </c>
      <c r="L41" s="21">
        <v>7400</v>
      </c>
      <c r="M41" s="21">
        <v>8700</v>
      </c>
      <c r="N41" s="21">
        <v>8000</v>
      </c>
      <c r="O41" s="21">
        <v>6200</v>
      </c>
      <c r="P41" s="21">
        <v>7700</v>
      </c>
      <c r="Q41" s="21">
        <v>8400</v>
      </c>
      <c r="R41" s="21">
        <v>5600</v>
      </c>
      <c r="S41" s="18">
        <v>8000</v>
      </c>
      <c r="T41" s="18">
        <v>8400</v>
      </c>
      <c r="U41" s="83">
        <v>6200</v>
      </c>
      <c r="V41" s="117" t="s">
        <v>344</v>
      </c>
      <c r="W41" s="117" t="s">
        <v>344</v>
      </c>
    </row>
    <row r="42" spans="1:23" x14ac:dyDescent="0.2">
      <c r="A42" s="16" t="s">
        <v>47</v>
      </c>
      <c r="B42" s="17" t="s">
        <v>6</v>
      </c>
      <c r="C42" s="18">
        <v>5900</v>
      </c>
      <c r="D42" s="18">
        <v>5500</v>
      </c>
      <c r="E42" s="18">
        <v>4900</v>
      </c>
      <c r="F42" s="18">
        <v>5800</v>
      </c>
      <c r="G42" s="18">
        <v>5300</v>
      </c>
      <c r="H42" s="18">
        <v>5300</v>
      </c>
      <c r="I42" s="21">
        <v>5000</v>
      </c>
      <c r="J42" s="21">
        <v>5800</v>
      </c>
      <c r="K42" s="21">
        <v>5500</v>
      </c>
      <c r="L42" s="21">
        <v>5400</v>
      </c>
      <c r="M42" s="21">
        <v>5800</v>
      </c>
      <c r="N42" s="21">
        <v>5800</v>
      </c>
      <c r="O42" s="21">
        <v>6300</v>
      </c>
      <c r="P42" s="21">
        <v>6900</v>
      </c>
      <c r="Q42" s="21">
        <v>5800</v>
      </c>
      <c r="R42" s="21">
        <v>5700</v>
      </c>
      <c r="S42" s="18">
        <v>5200</v>
      </c>
      <c r="T42" s="18">
        <v>3200</v>
      </c>
      <c r="U42" s="83">
        <v>5400</v>
      </c>
      <c r="V42" s="117" t="s">
        <v>344</v>
      </c>
      <c r="W42" s="117" t="s">
        <v>344</v>
      </c>
    </row>
    <row r="43" spans="1:23" x14ac:dyDescent="0.2">
      <c r="A43" s="16" t="s">
        <v>47</v>
      </c>
      <c r="B43" s="17" t="s">
        <v>8</v>
      </c>
      <c r="C43" s="18">
        <v>6000</v>
      </c>
      <c r="D43" s="18">
        <v>5400</v>
      </c>
      <c r="E43" s="18">
        <v>5800</v>
      </c>
      <c r="F43" s="18">
        <v>6200</v>
      </c>
      <c r="G43" s="18">
        <v>5500</v>
      </c>
      <c r="H43" s="18">
        <v>6400</v>
      </c>
      <c r="I43" s="21">
        <v>6700</v>
      </c>
      <c r="J43" s="21">
        <v>7000</v>
      </c>
      <c r="K43" s="21">
        <v>6500</v>
      </c>
      <c r="L43" s="21">
        <v>7400</v>
      </c>
      <c r="M43" s="21">
        <v>7900</v>
      </c>
      <c r="N43" s="21">
        <v>7900</v>
      </c>
      <c r="O43" s="21">
        <v>8200</v>
      </c>
      <c r="P43" s="21">
        <v>7400</v>
      </c>
      <c r="Q43" s="21">
        <v>6300</v>
      </c>
      <c r="R43" s="21">
        <v>6500</v>
      </c>
      <c r="S43" s="18">
        <v>7400</v>
      </c>
      <c r="T43" s="18">
        <v>8900</v>
      </c>
      <c r="U43" s="83">
        <v>6300</v>
      </c>
      <c r="V43" s="117" t="s">
        <v>344</v>
      </c>
      <c r="W43" s="117" t="s">
        <v>344</v>
      </c>
    </row>
    <row r="44" spans="1:23" x14ac:dyDescent="0.2">
      <c r="A44" s="16" t="s">
        <v>47</v>
      </c>
      <c r="B44" s="17" t="s">
        <v>9</v>
      </c>
      <c r="C44" s="18">
        <v>13400</v>
      </c>
      <c r="D44" s="18">
        <v>14600</v>
      </c>
      <c r="E44" s="18">
        <v>17600</v>
      </c>
      <c r="F44" s="18">
        <v>14600</v>
      </c>
      <c r="G44" s="18">
        <v>11200</v>
      </c>
      <c r="H44" s="18">
        <v>14700</v>
      </c>
      <c r="I44" s="21">
        <v>13800</v>
      </c>
      <c r="J44" s="21">
        <v>16700</v>
      </c>
      <c r="K44" s="21">
        <v>18300</v>
      </c>
      <c r="L44" s="21">
        <v>14600</v>
      </c>
      <c r="M44" s="21">
        <v>18100</v>
      </c>
      <c r="N44" s="21">
        <v>17900</v>
      </c>
      <c r="O44" s="21">
        <v>21200</v>
      </c>
      <c r="P44" s="21">
        <v>12400</v>
      </c>
      <c r="Q44" s="21">
        <v>18700</v>
      </c>
      <c r="R44" s="21">
        <v>21400</v>
      </c>
      <c r="S44" s="18">
        <v>15500</v>
      </c>
      <c r="T44" s="18">
        <v>14100</v>
      </c>
      <c r="U44" s="83">
        <v>20500</v>
      </c>
      <c r="V44" s="117" t="s">
        <v>344</v>
      </c>
      <c r="W44" s="117" t="s">
        <v>344</v>
      </c>
    </row>
    <row r="45" spans="1:23" x14ac:dyDescent="0.2">
      <c r="A45" s="16" t="s">
        <v>47</v>
      </c>
      <c r="B45" s="17" t="s">
        <v>33</v>
      </c>
      <c r="C45" s="18">
        <v>16700</v>
      </c>
      <c r="D45" s="18">
        <v>18400</v>
      </c>
      <c r="E45" s="18">
        <v>21500</v>
      </c>
      <c r="F45" s="18">
        <v>22000</v>
      </c>
      <c r="G45" s="18">
        <v>24800</v>
      </c>
      <c r="H45" s="18">
        <v>23700</v>
      </c>
      <c r="I45" s="21">
        <v>18600</v>
      </c>
      <c r="J45" s="21">
        <v>25900</v>
      </c>
      <c r="K45" s="21">
        <v>27300</v>
      </c>
      <c r="L45" s="21">
        <v>22100</v>
      </c>
      <c r="M45" s="21">
        <v>31300</v>
      </c>
      <c r="N45" s="21">
        <v>32000</v>
      </c>
      <c r="O45" s="21">
        <v>31600</v>
      </c>
      <c r="P45" s="21">
        <v>39600</v>
      </c>
      <c r="Q45" s="21">
        <v>29800</v>
      </c>
      <c r="R45" s="21">
        <v>33100</v>
      </c>
      <c r="S45" s="18">
        <v>33800</v>
      </c>
      <c r="T45" s="18">
        <v>30100</v>
      </c>
      <c r="U45" s="83">
        <v>31800</v>
      </c>
      <c r="V45" s="117" t="s">
        <v>344</v>
      </c>
      <c r="W45" s="117" t="s">
        <v>344</v>
      </c>
    </row>
    <row r="46" spans="1:23" x14ac:dyDescent="0.2">
      <c r="A46" s="16" t="s">
        <v>47</v>
      </c>
      <c r="B46" s="17" t="s">
        <v>10</v>
      </c>
      <c r="C46" s="18">
        <v>16400</v>
      </c>
      <c r="D46" s="18">
        <v>14900</v>
      </c>
      <c r="E46" s="18">
        <v>16900</v>
      </c>
      <c r="F46" s="18">
        <v>14800</v>
      </c>
      <c r="G46" s="18">
        <v>14900</v>
      </c>
      <c r="H46" s="18">
        <v>14900</v>
      </c>
      <c r="I46" s="21">
        <v>17000</v>
      </c>
      <c r="J46" s="21">
        <v>18300</v>
      </c>
      <c r="K46" s="21">
        <v>18100</v>
      </c>
      <c r="L46" s="21">
        <v>20100</v>
      </c>
      <c r="M46" s="21">
        <v>19500</v>
      </c>
      <c r="N46" s="21">
        <v>15800</v>
      </c>
      <c r="O46" s="21">
        <v>18800</v>
      </c>
      <c r="P46" s="21">
        <v>15800</v>
      </c>
      <c r="Q46" s="21">
        <v>16700</v>
      </c>
      <c r="R46" s="21">
        <v>16200</v>
      </c>
      <c r="S46" s="18">
        <v>21000</v>
      </c>
      <c r="T46" s="18">
        <v>16100</v>
      </c>
      <c r="U46" s="83">
        <v>17600</v>
      </c>
      <c r="V46" s="117" t="s">
        <v>344</v>
      </c>
      <c r="W46" s="117" t="s">
        <v>344</v>
      </c>
    </row>
    <row r="47" spans="1:23" x14ac:dyDescent="0.2">
      <c r="A47" s="16" t="s">
        <v>47</v>
      </c>
      <c r="B47" s="17" t="s">
        <v>11</v>
      </c>
      <c r="C47" s="18">
        <v>2800</v>
      </c>
      <c r="D47" s="18">
        <v>2600</v>
      </c>
      <c r="E47" s="18">
        <v>3600</v>
      </c>
      <c r="F47" s="18">
        <v>2900</v>
      </c>
      <c r="G47" s="18">
        <v>2600</v>
      </c>
      <c r="H47" s="18">
        <v>2700</v>
      </c>
      <c r="I47" s="21">
        <v>3300</v>
      </c>
      <c r="J47" s="21">
        <v>3400</v>
      </c>
      <c r="K47" s="21">
        <v>3700</v>
      </c>
      <c r="L47" s="21">
        <v>2800</v>
      </c>
      <c r="M47" s="21">
        <v>3100</v>
      </c>
      <c r="N47" s="21">
        <v>3900</v>
      </c>
      <c r="O47" s="21">
        <v>3600</v>
      </c>
      <c r="P47" s="21">
        <v>3200</v>
      </c>
      <c r="Q47" s="21">
        <v>3200</v>
      </c>
      <c r="R47" s="21">
        <v>2700</v>
      </c>
      <c r="S47" s="18">
        <v>3800</v>
      </c>
      <c r="T47" s="18">
        <v>2900</v>
      </c>
      <c r="U47" s="83">
        <v>3600</v>
      </c>
      <c r="V47" s="117" t="s">
        <v>344</v>
      </c>
      <c r="W47" s="117" t="s">
        <v>344</v>
      </c>
    </row>
    <row r="48" spans="1:23" x14ac:dyDescent="0.2">
      <c r="A48" s="16" t="s">
        <v>47</v>
      </c>
      <c r="B48" s="17" t="s">
        <v>12</v>
      </c>
      <c r="C48" s="18">
        <v>3600</v>
      </c>
      <c r="D48" s="18">
        <v>4400</v>
      </c>
      <c r="E48" s="18">
        <v>3900</v>
      </c>
      <c r="F48" s="18">
        <v>4200</v>
      </c>
      <c r="G48" s="18">
        <v>4100</v>
      </c>
      <c r="H48" s="18">
        <v>4800</v>
      </c>
      <c r="I48" s="21">
        <v>4800</v>
      </c>
      <c r="J48" s="21">
        <v>4900</v>
      </c>
      <c r="K48" s="21">
        <v>5400</v>
      </c>
      <c r="L48" s="21">
        <v>5700</v>
      </c>
      <c r="M48" s="21">
        <v>6700</v>
      </c>
      <c r="N48" s="21">
        <v>6400</v>
      </c>
      <c r="O48" s="21">
        <v>5900</v>
      </c>
      <c r="P48" s="21">
        <v>4300</v>
      </c>
      <c r="Q48" s="21">
        <v>5200</v>
      </c>
      <c r="R48" s="21">
        <v>5100</v>
      </c>
      <c r="S48" s="18">
        <v>3400</v>
      </c>
      <c r="T48" s="18">
        <v>5200</v>
      </c>
      <c r="U48" s="83">
        <v>4000</v>
      </c>
      <c r="V48" s="117" t="s">
        <v>344</v>
      </c>
      <c r="W48" s="117" t="s">
        <v>344</v>
      </c>
    </row>
    <row r="49" spans="1:23" x14ac:dyDescent="0.2">
      <c r="A49" s="16" t="s">
        <v>47</v>
      </c>
      <c r="B49" s="17" t="s">
        <v>13</v>
      </c>
      <c r="C49" s="18">
        <v>5400</v>
      </c>
      <c r="D49" s="18">
        <v>6300</v>
      </c>
      <c r="E49" s="18">
        <v>5800</v>
      </c>
      <c r="F49" s="18">
        <v>5600</v>
      </c>
      <c r="G49" s="18">
        <v>7000</v>
      </c>
      <c r="H49" s="18">
        <v>5800</v>
      </c>
      <c r="I49" s="21">
        <v>6500</v>
      </c>
      <c r="J49" s="21">
        <v>5700</v>
      </c>
      <c r="K49" s="21">
        <v>5900</v>
      </c>
      <c r="L49" s="21">
        <v>5600</v>
      </c>
      <c r="M49" s="21">
        <v>5500</v>
      </c>
      <c r="N49" s="21">
        <v>5300</v>
      </c>
      <c r="O49" s="21">
        <v>6900</v>
      </c>
      <c r="P49" s="21">
        <v>7000</v>
      </c>
      <c r="Q49" s="21">
        <v>8000</v>
      </c>
      <c r="R49" s="21">
        <v>6900</v>
      </c>
      <c r="S49" s="18">
        <v>5800</v>
      </c>
      <c r="T49" s="18">
        <v>6500</v>
      </c>
      <c r="U49" s="83">
        <v>6400</v>
      </c>
      <c r="V49" s="117" t="s">
        <v>344</v>
      </c>
      <c r="W49" s="117" t="s">
        <v>344</v>
      </c>
    </row>
    <row r="50" spans="1:23" x14ac:dyDescent="0.2">
      <c r="A50" s="16" t="s">
        <v>47</v>
      </c>
      <c r="B50" s="17" t="s">
        <v>7</v>
      </c>
      <c r="C50" s="18">
        <v>1300</v>
      </c>
      <c r="D50" s="18">
        <v>1600</v>
      </c>
      <c r="E50" s="18">
        <v>1600</v>
      </c>
      <c r="F50" s="18">
        <v>2000</v>
      </c>
      <c r="G50" s="18">
        <v>1800</v>
      </c>
      <c r="H50" s="18">
        <v>1300</v>
      </c>
      <c r="I50" s="21">
        <v>1700</v>
      </c>
      <c r="J50" s="21">
        <v>1800</v>
      </c>
      <c r="K50" s="21">
        <v>1800</v>
      </c>
      <c r="L50" s="21">
        <v>2000</v>
      </c>
      <c r="M50" s="21">
        <v>1800</v>
      </c>
      <c r="N50" s="21">
        <v>2100</v>
      </c>
      <c r="O50" s="21">
        <v>2000</v>
      </c>
      <c r="P50" s="21">
        <v>1500</v>
      </c>
      <c r="Q50" s="21">
        <v>2200</v>
      </c>
      <c r="R50" s="21">
        <v>2000</v>
      </c>
      <c r="S50" s="18">
        <v>2500</v>
      </c>
      <c r="T50" s="18">
        <v>2100</v>
      </c>
      <c r="U50" s="83">
        <v>2800</v>
      </c>
      <c r="V50" s="117" t="s">
        <v>344</v>
      </c>
      <c r="W50" s="117" t="s">
        <v>344</v>
      </c>
    </row>
    <row r="51" spans="1:23" x14ac:dyDescent="0.2">
      <c r="A51" s="16" t="s">
        <v>47</v>
      </c>
      <c r="B51" s="17" t="s">
        <v>14</v>
      </c>
      <c r="C51" s="18">
        <v>5200</v>
      </c>
      <c r="D51" s="18">
        <v>5700</v>
      </c>
      <c r="E51" s="18">
        <v>5600</v>
      </c>
      <c r="F51" s="18">
        <v>5300</v>
      </c>
      <c r="G51" s="18">
        <v>5600</v>
      </c>
      <c r="H51" s="18">
        <v>4700</v>
      </c>
      <c r="I51" s="21">
        <v>6000</v>
      </c>
      <c r="J51" s="21">
        <v>6700</v>
      </c>
      <c r="K51" s="21">
        <v>5300</v>
      </c>
      <c r="L51" s="21">
        <v>6300</v>
      </c>
      <c r="M51" s="21">
        <v>7100</v>
      </c>
      <c r="N51" s="21">
        <v>6600</v>
      </c>
      <c r="O51" s="21">
        <v>8000</v>
      </c>
      <c r="P51" s="21">
        <v>6800</v>
      </c>
      <c r="Q51" s="21">
        <v>6100</v>
      </c>
      <c r="R51" s="21">
        <v>5300</v>
      </c>
      <c r="S51" s="18">
        <v>4300</v>
      </c>
      <c r="T51" s="18">
        <v>3700</v>
      </c>
      <c r="U51" s="83">
        <v>4800</v>
      </c>
      <c r="V51" s="117" t="s">
        <v>344</v>
      </c>
      <c r="W51" s="117" t="s">
        <v>344</v>
      </c>
    </row>
    <row r="52" spans="1:23" x14ac:dyDescent="0.2">
      <c r="A52" s="16" t="s">
        <v>47</v>
      </c>
      <c r="B52" s="17" t="s">
        <v>31</v>
      </c>
      <c r="C52" s="18">
        <v>9600</v>
      </c>
      <c r="D52" s="18">
        <v>10300</v>
      </c>
      <c r="E52" s="18">
        <v>13000</v>
      </c>
      <c r="F52" s="18">
        <v>16000</v>
      </c>
      <c r="G52" s="18">
        <v>16700</v>
      </c>
      <c r="H52" s="18">
        <v>12000</v>
      </c>
      <c r="I52" s="21">
        <v>12200</v>
      </c>
      <c r="J52" s="21">
        <v>13900</v>
      </c>
      <c r="K52" s="21">
        <v>13600</v>
      </c>
      <c r="L52" s="21">
        <v>13500</v>
      </c>
      <c r="M52" s="21">
        <v>14600</v>
      </c>
      <c r="N52" s="21">
        <v>13700</v>
      </c>
      <c r="O52" s="21">
        <v>16700</v>
      </c>
      <c r="P52" s="21">
        <v>14200</v>
      </c>
      <c r="Q52" s="21">
        <v>18100</v>
      </c>
      <c r="R52" s="21">
        <v>12000</v>
      </c>
      <c r="S52" s="18">
        <v>10700</v>
      </c>
      <c r="T52" s="18">
        <v>9800</v>
      </c>
      <c r="U52" s="83">
        <v>14900</v>
      </c>
      <c r="V52" s="117" t="s">
        <v>344</v>
      </c>
      <c r="W52" s="117" t="s">
        <v>344</v>
      </c>
    </row>
    <row r="53" spans="1:23" x14ac:dyDescent="0.2">
      <c r="A53" s="16" t="s">
        <v>47</v>
      </c>
      <c r="B53" s="17" t="s">
        <v>15</v>
      </c>
      <c r="C53" s="18">
        <v>1700</v>
      </c>
      <c r="D53" s="18">
        <v>2000</v>
      </c>
      <c r="E53" s="18">
        <v>2300</v>
      </c>
      <c r="F53" s="18">
        <v>2600</v>
      </c>
      <c r="G53" s="18">
        <v>1600</v>
      </c>
      <c r="H53" s="18">
        <v>1700</v>
      </c>
      <c r="I53" s="21">
        <v>1800</v>
      </c>
      <c r="J53" s="21">
        <v>1900</v>
      </c>
      <c r="K53" s="21">
        <v>1900</v>
      </c>
      <c r="L53" s="21">
        <v>2300</v>
      </c>
      <c r="M53" s="21">
        <v>2200</v>
      </c>
      <c r="N53" s="21">
        <v>2100</v>
      </c>
      <c r="O53" s="21">
        <v>2000</v>
      </c>
      <c r="P53" s="21">
        <v>2700</v>
      </c>
      <c r="Q53" s="21">
        <v>1900</v>
      </c>
      <c r="R53" s="21">
        <v>1900</v>
      </c>
      <c r="S53" s="18">
        <v>1800</v>
      </c>
      <c r="T53" s="18" t="s">
        <v>296</v>
      </c>
      <c r="U53" s="83">
        <v>1300</v>
      </c>
      <c r="V53" s="117" t="s">
        <v>344</v>
      </c>
      <c r="W53" s="117" t="s">
        <v>344</v>
      </c>
    </row>
    <row r="54" spans="1:23" x14ac:dyDescent="0.2">
      <c r="A54" s="16" t="s">
        <v>47</v>
      </c>
      <c r="B54" s="17" t="s">
        <v>16</v>
      </c>
      <c r="C54" s="18">
        <v>8600</v>
      </c>
      <c r="D54" s="18">
        <v>8200</v>
      </c>
      <c r="E54" s="18">
        <v>9400</v>
      </c>
      <c r="F54" s="18">
        <v>10300</v>
      </c>
      <c r="G54" s="18">
        <v>9200</v>
      </c>
      <c r="H54" s="18">
        <v>9200</v>
      </c>
      <c r="I54" s="21">
        <v>8900</v>
      </c>
      <c r="J54" s="21">
        <v>9800</v>
      </c>
      <c r="K54" s="21">
        <v>9600</v>
      </c>
      <c r="L54" s="21">
        <v>9500</v>
      </c>
      <c r="M54" s="21">
        <v>11000</v>
      </c>
      <c r="N54" s="21">
        <v>11400</v>
      </c>
      <c r="O54" s="21">
        <v>12500</v>
      </c>
      <c r="P54" s="21">
        <v>10600</v>
      </c>
      <c r="Q54" s="21">
        <v>11100</v>
      </c>
      <c r="R54" s="21">
        <v>15800</v>
      </c>
      <c r="S54" s="18">
        <v>9500</v>
      </c>
      <c r="T54" s="18">
        <v>11300</v>
      </c>
      <c r="U54" s="83">
        <v>10700</v>
      </c>
      <c r="V54" s="117" t="s">
        <v>344</v>
      </c>
      <c r="W54" s="117" t="s">
        <v>344</v>
      </c>
    </row>
    <row r="55" spans="1:23" x14ac:dyDescent="0.2">
      <c r="A55" s="16" t="s">
        <v>47</v>
      </c>
      <c r="B55" s="17" t="s">
        <v>26</v>
      </c>
      <c r="C55" s="18">
        <v>6200</v>
      </c>
      <c r="D55" s="18">
        <v>5500</v>
      </c>
      <c r="E55" s="18">
        <v>5400</v>
      </c>
      <c r="F55" s="18">
        <v>6100</v>
      </c>
      <c r="G55" s="18">
        <v>5600</v>
      </c>
      <c r="H55" s="18">
        <v>6000</v>
      </c>
      <c r="I55" s="21">
        <v>7700</v>
      </c>
      <c r="J55" s="21">
        <v>8300</v>
      </c>
      <c r="K55" s="21">
        <v>8000</v>
      </c>
      <c r="L55" s="21">
        <v>8700</v>
      </c>
      <c r="M55" s="21">
        <v>8000</v>
      </c>
      <c r="N55" s="21">
        <v>7900</v>
      </c>
      <c r="O55" s="21">
        <v>7600</v>
      </c>
      <c r="P55" s="21">
        <v>10200</v>
      </c>
      <c r="Q55" s="21">
        <v>7500</v>
      </c>
      <c r="R55" s="21">
        <v>7400</v>
      </c>
      <c r="S55" s="18">
        <v>8600</v>
      </c>
      <c r="T55" s="18">
        <v>5900</v>
      </c>
      <c r="U55" s="83">
        <v>4300</v>
      </c>
      <c r="V55" s="117" t="s">
        <v>344</v>
      </c>
      <c r="W55" s="117" t="s">
        <v>344</v>
      </c>
    </row>
    <row r="56" spans="1:23" x14ac:dyDescent="0.2">
      <c r="A56" s="16" t="s">
        <v>47</v>
      </c>
      <c r="B56" s="17" t="s">
        <v>17</v>
      </c>
      <c r="C56" s="18">
        <v>8800</v>
      </c>
      <c r="D56" s="18">
        <v>8100</v>
      </c>
      <c r="E56" s="18">
        <v>7600</v>
      </c>
      <c r="F56" s="18">
        <v>8700</v>
      </c>
      <c r="G56" s="18">
        <v>9100</v>
      </c>
      <c r="H56" s="18">
        <v>9300</v>
      </c>
      <c r="I56" s="21">
        <v>8700</v>
      </c>
      <c r="J56" s="21">
        <v>9200</v>
      </c>
      <c r="K56" s="21">
        <v>9700</v>
      </c>
      <c r="L56" s="21">
        <v>9700</v>
      </c>
      <c r="M56" s="21">
        <v>9900</v>
      </c>
      <c r="N56" s="21">
        <v>9700</v>
      </c>
      <c r="O56" s="21">
        <v>10800</v>
      </c>
      <c r="P56" s="21">
        <v>10300</v>
      </c>
      <c r="Q56" s="21">
        <v>10000</v>
      </c>
      <c r="R56" s="21">
        <v>11400</v>
      </c>
      <c r="S56" s="18">
        <v>11900</v>
      </c>
      <c r="T56" s="18">
        <v>10700</v>
      </c>
      <c r="U56" s="83">
        <v>11300</v>
      </c>
      <c r="V56" s="117" t="s">
        <v>344</v>
      </c>
      <c r="W56" s="117" t="s">
        <v>344</v>
      </c>
    </row>
    <row r="57" spans="1:23" x14ac:dyDescent="0.2">
      <c r="A57" s="16" t="s">
        <v>47</v>
      </c>
      <c r="B57" s="17" t="s">
        <v>18</v>
      </c>
      <c r="C57" s="18">
        <v>1600</v>
      </c>
      <c r="D57" s="18">
        <v>1700</v>
      </c>
      <c r="E57" s="18">
        <v>1600</v>
      </c>
      <c r="F57" s="18">
        <v>1500</v>
      </c>
      <c r="G57" s="18">
        <v>1800</v>
      </c>
      <c r="H57" s="18">
        <v>1500</v>
      </c>
      <c r="I57" s="21">
        <v>1700</v>
      </c>
      <c r="J57" s="21">
        <v>1800</v>
      </c>
      <c r="K57" s="21">
        <v>1500</v>
      </c>
      <c r="L57" s="21">
        <v>1500</v>
      </c>
      <c r="M57" s="21">
        <v>1200</v>
      </c>
      <c r="N57" s="21">
        <v>1600</v>
      </c>
      <c r="O57" s="21">
        <v>1200</v>
      </c>
      <c r="P57" s="21">
        <v>1300</v>
      </c>
      <c r="Q57" s="21">
        <v>1900</v>
      </c>
      <c r="R57" s="21">
        <v>1500</v>
      </c>
      <c r="S57" s="18">
        <v>1500</v>
      </c>
      <c r="T57" s="18" t="s">
        <v>192</v>
      </c>
      <c r="U57" s="83">
        <v>1500</v>
      </c>
      <c r="V57" s="117" t="s">
        <v>344</v>
      </c>
      <c r="W57" s="117" t="s">
        <v>344</v>
      </c>
    </row>
    <row r="58" spans="1:23" x14ac:dyDescent="0.2">
      <c r="A58" s="16" t="s">
        <v>47</v>
      </c>
      <c r="B58" s="17" t="s">
        <v>19</v>
      </c>
      <c r="C58" s="18">
        <v>6200</v>
      </c>
      <c r="D58" s="18">
        <v>5700</v>
      </c>
      <c r="E58" s="18">
        <v>6100</v>
      </c>
      <c r="F58" s="18">
        <v>6100</v>
      </c>
      <c r="G58" s="18">
        <v>6300</v>
      </c>
      <c r="H58" s="18">
        <v>7500</v>
      </c>
      <c r="I58" s="21">
        <v>6200</v>
      </c>
      <c r="J58" s="21">
        <v>6700</v>
      </c>
      <c r="K58" s="21">
        <v>6800</v>
      </c>
      <c r="L58" s="21">
        <v>7100</v>
      </c>
      <c r="M58" s="21">
        <v>6700</v>
      </c>
      <c r="N58" s="21">
        <v>6500</v>
      </c>
      <c r="O58" s="21">
        <v>6200</v>
      </c>
      <c r="P58" s="21">
        <v>7000</v>
      </c>
      <c r="Q58" s="21">
        <v>6400</v>
      </c>
      <c r="R58" s="21">
        <v>7800</v>
      </c>
      <c r="S58" s="18">
        <v>5000</v>
      </c>
      <c r="T58" s="18">
        <v>6700</v>
      </c>
      <c r="U58" s="83">
        <v>6700</v>
      </c>
      <c r="V58" s="117" t="s">
        <v>344</v>
      </c>
      <c r="W58" s="117" t="s">
        <v>344</v>
      </c>
    </row>
    <row r="59" spans="1:23" x14ac:dyDescent="0.2">
      <c r="A59" s="16" t="s">
        <v>47</v>
      </c>
      <c r="B59" s="17" t="s">
        <v>20</v>
      </c>
      <c r="C59" s="18">
        <v>14200</v>
      </c>
      <c r="D59" s="18">
        <v>13700</v>
      </c>
      <c r="E59" s="18">
        <v>14500</v>
      </c>
      <c r="F59" s="18">
        <v>12300</v>
      </c>
      <c r="G59" s="18">
        <v>14300</v>
      </c>
      <c r="H59" s="18">
        <v>15400</v>
      </c>
      <c r="I59" s="21">
        <v>14700</v>
      </c>
      <c r="J59" s="21">
        <v>15000</v>
      </c>
      <c r="K59" s="21">
        <v>18700</v>
      </c>
      <c r="L59" s="21">
        <v>14500</v>
      </c>
      <c r="M59" s="21">
        <v>17000</v>
      </c>
      <c r="N59" s="21">
        <v>17800</v>
      </c>
      <c r="O59" s="21">
        <v>21400</v>
      </c>
      <c r="P59" s="21">
        <v>17900</v>
      </c>
      <c r="Q59" s="21">
        <v>23600</v>
      </c>
      <c r="R59" s="21">
        <v>19500</v>
      </c>
      <c r="S59" s="18">
        <v>21000</v>
      </c>
      <c r="T59" s="18">
        <v>18400</v>
      </c>
      <c r="U59" s="83">
        <v>16400</v>
      </c>
      <c r="V59" s="117" t="s">
        <v>344</v>
      </c>
      <c r="W59" s="117" t="s">
        <v>344</v>
      </c>
    </row>
    <row r="60" spans="1:23" x14ac:dyDescent="0.2">
      <c r="A60" s="16" t="s">
        <v>47</v>
      </c>
      <c r="B60" s="17" t="s">
        <v>21</v>
      </c>
      <c r="C60" s="18">
        <v>5900</v>
      </c>
      <c r="D60" s="18">
        <v>5900</v>
      </c>
      <c r="E60" s="18">
        <v>5100</v>
      </c>
      <c r="F60" s="18">
        <v>5700</v>
      </c>
      <c r="G60" s="18">
        <v>5600</v>
      </c>
      <c r="H60" s="18">
        <v>5400</v>
      </c>
      <c r="I60" s="21">
        <v>6200</v>
      </c>
      <c r="J60" s="21">
        <v>5800</v>
      </c>
      <c r="K60" s="21">
        <v>6900</v>
      </c>
      <c r="L60" s="21">
        <v>5400</v>
      </c>
      <c r="M60" s="21">
        <v>5600</v>
      </c>
      <c r="N60" s="21">
        <v>4800</v>
      </c>
      <c r="O60" s="21">
        <v>6600</v>
      </c>
      <c r="P60" s="21">
        <v>6900</v>
      </c>
      <c r="Q60" s="21">
        <v>5600</v>
      </c>
      <c r="R60" s="21">
        <v>5600</v>
      </c>
      <c r="S60" s="18">
        <v>6200</v>
      </c>
      <c r="T60" s="18">
        <v>5700</v>
      </c>
      <c r="U60" s="83">
        <v>4600</v>
      </c>
      <c r="V60" s="117" t="s">
        <v>344</v>
      </c>
      <c r="W60" s="117" t="s">
        <v>344</v>
      </c>
    </row>
    <row r="61" spans="1:23" x14ac:dyDescent="0.2">
      <c r="A61" s="16" t="s">
        <v>47</v>
      </c>
      <c r="B61" s="17" t="s">
        <v>27</v>
      </c>
      <c r="C61" s="18">
        <v>2800</v>
      </c>
      <c r="D61" s="18">
        <v>2600</v>
      </c>
      <c r="E61" s="18">
        <v>3400</v>
      </c>
      <c r="F61" s="18">
        <v>3200</v>
      </c>
      <c r="G61" s="18">
        <v>3300</v>
      </c>
      <c r="H61" s="18">
        <v>3500</v>
      </c>
      <c r="I61" s="21">
        <v>3300</v>
      </c>
      <c r="J61" s="21">
        <v>3300</v>
      </c>
      <c r="K61" s="21">
        <v>2400</v>
      </c>
      <c r="L61" s="21">
        <v>2400</v>
      </c>
      <c r="M61" s="21">
        <v>3400</v>
      </c>
      <c r="N61" s="21">
        <v>2600</v>
      </c>
      <c r="O61" s="21">
        <v>2600</v>
      </c>
      <c r="P61" s="21">
        <v>3300</v>
      </c>
      <c r="Q61" s="21">
        <v>2800</v>
      </c>
      <c r="R61" s="21">
        <v>4000</v>
      </c>
      <c r="S61" s="18">
        <v>2800</v>
      </c>
      <c r="T61" s="18">
        <v>3300</v>
      </c>
      <c r="U61" s="83">
        <v>3400</v>
      </c>
      <c r="V61" s="117" t="s">
        <v>344</v>
      </c>
      <c r="W61" s="117" t="s">
        <v>344</v>
      </c>
    </row>
    <row r="62" spans="1:23" x14ac:dyDescent="0.2">
      <c r="A62" s="16" t="s">
        <v>47</v>
      </c>
      <c r="B62" s="17" t="s">
        <v>28</v>
      </c>
      <c r="C62" s="18">
        <v>6500</v>
      </c>
      <c r="D62" s="18">
        <v>5600</v>
      </c>
      <c r="E62" s="18">
        <v>6400</v>
      </c>
      <c r="F62" s="18">
        <v>6900</v>
      </c>
      <c r="G62" s="18">
        <v>6400</v>
      </c>
      <c r="H62" s="18">
        <v>6700</v>
      </c>
      <c r="I62" s="21">
        <v>7300</v>
      </c>
      <c r="J62" s="21">
        <v>6400</v>
      </c>
      <c r="K62" s="21">
        <v>8300</v>
      </c>
      <c r="L62" s="21">
        <v>6500</v>
      </c>
      <c r="M62" s="21">
        <v>7400</v>
      </c>
      <c r="N62" s="21">
        <v>5600</v>
      </c>
      <c r="O62" s="21">
        <v>8200</v>
      </c>
      <c r="P62" s="21">
        <v>9800</v>
      </c>
      <c r="Q62" s="21">
        <v>11400</v>
      </c>
      <c r="R62" s="21">
        <v>10200</v>
      </c>
      <c r="S62" s="18">
        <v>11600</v>
      </c>
      <c r="T62" s="18">
        <v>7900</v>
      </c>
      <c r="U62" s="83">
        <v>7800</v>
      </c>
      <c r="V62" s="117" t="s">
        <v>344</v>
      </c>
      <c r="W62" s="117" t="s">
        <v>344</v>
      </c>
    </row>
    <row r="63" spans="1:23" ht="30" customHeight="1" x14ac:dyDescent="0.2">
      <c r="A63" s="17" t="s">
        <v>182</v>
      </c>
      <c r="B63" s="17" t="s">
        <v>54</v>
      </c>
      <c r="C63" s="18" t="s">
        <v>190</v>
      </c>
      <c r="D63" s="18" t="s">
        <v>190</v>
      </c>
      <c r="E63" s="18" t="s">
        <v>190</v>
      </c>
      <c r="F63" s="18" t="s">
        <v>190</v>
      </c>
      <c r="G63" s="18" t="s">
        <v>190</v>
      </c>
      <c r="H63" s="18" t="s">
        <v>190</v>
      </c>
      <c r="I63" s="18" t="s">
        <v>190</v>
      </c>
      <c r="J63" s="18" t="s">
        <v>190</v>
      </c>
      <c r="K63" s="18">
        <v>23500</v>
      </c>
      <c r="L63" s="18">
        <v>22500</v>
      </c>
      <c r="M63" s="18">
        <v>22000</v>
      </c>
      <c r="N63" s="18">
        <v>21900</v>
      </c>
      <c r="O63" s="18">
        <v>25700</v>
      </c>
      <c r="P63" s="18">
        <v>29500</v>
      </c>
      <c r="Q63" s="18">
        <v>27700</v>
      </c>
      <c r="R63" s="18">
        <v>26300</v>
      </c>
      <c r="S63" s="18">
        <v>21700</v>
      </c>
      <c r="T63" s="18">
        <v>26000</v>
      </c>
      <c r="U63" s="83">
        <v>26000</v>
      </c>
      <c r="V63" s="117" t="s">
        <v>344</v>
      </c>
      <c r="W63" s="117" t="s">
        <v>344</v>
      </c>
    </row>
    <row r="64" spans="1:23" x14ac:dyDescent="0.2">
      <c r="A64" s="16" t="s">
        <v>182</v>
      </c>
      <c r="B64" s="16" t="s">
        <v>55</v>
      </c>
      <c r="C64" s="18" t="s">
        <v>190</v>
      </c>
      <c r="D64" s="18" t="s">
        <v>190</v>
      </c>
      <c r="E64" s="18" t="s">
        <v>190</v>
      </c>
      <c r="F64" s="18" t="s">
        <v>190</v>
      </c>
      <c r="G64" s="18" t="s">
        <v>190</v>
      </c>
      <c r="H64" s="18" t="s">
        <v>190</v>
      </c>
      <c r="I64" s="21" t="s">
        <v>190</v>
      </c>
      <c r="J64" s="21" t="s">
        <v>190</v>
      </c>
      <c r="K64" s="21">
        <v>1400</v>
      </c>
      <c r="L64" s="21">
        <v>900</v>
      </c>
      <c r="M64" s="21">
        <v>1700</v>
      </c>
      <c r="N64" s="21">
        <v>2500</v>
      </c>
      <c r="O64" s="21">
        <v>2000</v>
      </c>
      <c r="P64" s="21">
        <v>2200</v>
      </c>
      <c r="Q64" s="21">
        <v>1800</v>
      </c>
      <c r="R64" s="21">
        <v>2100</v>
      </c>
      <c r="S64" s="18">
        <v>1600</v>
      </c>
      <c r="T64" s="31" t="s">
        <v>208</v>
      </c>
      <c r="U64" s="83">
        <v>3200</v>
      </c>
      <c r="V64" s="117" t="s">
        <v>344</v>
      </c>
      <c r="W64" s="117" t="s">
        <v>344</v>
      </c>
    </row>
    <row r="65" spans="1:23" x14ac:dyDescent="0.2">
      <c r="A65" s="16" t="s">
        <v>182</v>
      </c>
      <c r="B65" s="16" t="s">
        <v>56</v>
      </c>
      <c r="C65" s="18" t="s">
        <v>190</v>
      </c>
      <c r="D65" s="18" t="s">
        <v>190</v>
      </c>
      <c r="E65" s="18" t="s">
        <v>190</v>
      </c>
      <c r="F65" s="18" t="s">
        <v>190</v>
      </c>
      <c r="G65" s="18" t="s">
        <v>190</v>
      </c>
      <c r="H65" s="18" t="s">
        <v>190</v>
      </c>
      <c r="I65" s="21" t="s">
        <v>190</v>
      </c>
      <c r="J65" s="21" t="s">
        <v>190</v>
      </c>
      <c r="K65" s="21">
        <v>1900</v>
      </c>
      <c r="L65" s="21">
        <v>3500</v>
      </c>
      <c r="M65" s="21">
        <v>2700</v>
      </c>
      <c r="N65" s="21">
        <v>2800</v>
      </c>
      <c r="O65" s="21">
        <v>2700</v>
      </c>
      <c r="P65" s="21">
        <v>2900</v>
      </c>
      <c r="Q65" s="21">
        <v>2600</v>
      </c>
      <c r="R65" s="21">
        <v>3400</v>
      </c>
      <c r="S65" s="18">
        <v>2000</v>
      </c>
      <c r="T65" s="31">
        <v>1800</v>
      </c>
      <c r="U65" s="83">
        <v>2600</v>
      </c>
      <c r="V65" s="117" t="s">
        <v>344</v>
      </c>
      <c r="W65" s="117" t="s">
        <v>344</v>
      </c>
    </row>
    <row r="66" spans="1:23" x14ac:dyDescent="0.2">
      <c r="A66" s="16" t="s">
        <v>182</v>
      </c>
      <c r="B66" s="16" t="s">
        <v>57</v>
      </c>
      <c r="C66" s="18" t="s">
        <v>190</v>
      </c>
      <c r="D66" s="18" t="s">
        <v>190</v>
      </c>
      <c r="E66" s="18" t="s">
        <v>190</v>
      </c>
      <c r="F66" s="18" t="s">
        <v>190</v>
      </c>
      <c r="G66" s="18" t="s">
        <v>190</v>
      </c>
      <c r="H66" s="18" t="s">
        <v>190</v>
      </c>
      <c r="I66" s="21" t="s">
        <v>190</v>
      </c>
      <c r="J66" s="21" t="s">
        <v>190</v>
      </c>
      <c r="K66" s="21">
        <v>1800</v>
      </c>
      <c r="L66" s="21">
        <v>1700</v>
      </c>
      <c r="M66" s="21">
        <v>1300</v>
      </c>
      <c r="N66" s="21">
        <v>900</v>
      </c>
      <c r="O66" s="21">
        <v>1100</v>
      </c>
      <c r="P66" s="21">
        <v>600</v>
      </c>
      <c r="Q66" s="21">
        <v>1400</v>
      </c>
      <c r="R66" s="21">
        <v>1100</v>
      </c>
      <c r="S66" s="18">
        <v>1700</v>
      </c>
      <c r="T66" s="31">
        <v>3000</v>
      </c>
      <c r="U66" s="83">
        <v>1400</v>
      </c>
      <c r="V66" s="117" t="s">
        <v>344</v>
      </c>
      <c r="W66" s="117" t="s">
        <v>344</v>
      </c>
    </row>
    <row r="67" spans="1:23" x14ac:dyDescent="0.2">
      <c r="A67" s="16" t="s">
        <v>182</v>
      </c>
      <c r="B67" s="16" t="s">
        <v>58</v>
      </c>
      <c r="C67" s="18" t="s">
        <v>190</v>
      </c>
      <c r="D67" s="18" t="s">
        <v>190</v>
      </c>
      <c r="E67" s="18" t="s">
        <v>190</v>
      </c>
      <c r="F67" s="18" t="s">
        <v>190</v>
      </c>
      <c r="G67" s="18" t="s">
        <v>190</v>
      </c>
      <c r="H67" s="18" t="s">
        <v>190</v>
      </c>
      <c r="I67" s="21" t="s">
        <v>190</v>
      </c>
      <c r="J67" s="21" t="s">
        <v>190</v>
      </c>
      <c r="K67" s="21">
        <v>8300</v>
      </c>
      <c r="L67" s="21">
        <v>8200</v>
      </c>
      <c r="M67" s="21">
        <v>8200</v>
      </c>
      <c r="N67" s="21">
        <v>7100</v>
      </c>
      <c r="O67" s="21">
        <v>7500</v>
      </c>
      <c r="P67" s="21">
        <v>9200</v>
      </c>
      <c r="Q67" s="21">
        <v>7600</v>
      </c>
      <c r="R67" s="21">
        <v>8600</v>
      </c>
      <c r="S67" s="18">
        <v>7300</v>
      </c>
      <c r="T67" s="31">
        <v>8500</v>
      </c>
      <c r="U67" s="83">
        <v>6300</v>
      </c>
      <c r="V67" s="117" t="s">
        <v>344</v>
      </c>
      <c r="W67" s="117" t="s">
        <v>344</v>
      </c>
    </row>
    <row r="68" spans="1:23" x14ac:dyDescent="0.2">
      <c r="A68" s="16" t="s">
        <v>182</v>
      </c>
      <c r="B68" s="16" t="s">
        <v>96</v>
      </c>
      <c r="C68" s="18" t="s">
        <v>190</v>
      </c>
      <c r="D68" s="18" t="s">
        <v>190</v>
      </c>
      <c r="E68" s="18" t="s">
        <v>190</v>
      </c>
      <c r="F68" s="18" t="s">
        <v>190</v>
      </c>
      <c r="G68" s="18" t="s">
        <v>190</v>
      </c>
      <c r="H68" s="18" t="s">
        <v>190</v>
      </c>
      <c r="I68" s="21" t="s">
        <v>190</v>
      </c>
      <c r="J68" s="21" t="s">
        <v>190</v>
      </c>
      <c r="K68" s="21">
        <v>1200</v>
      </c>
      <c r="L68" s="21">
        <v>1500</v>
      </c>
      <c r="M68" s="21">
        <v>1900</v>
      </c>
      <c r="N68" s="21">
        <v>1600</v>
      </c>
      <c r="O68" s="21">
        <v>2300</v>
      </c>
      <c r="P68" s="21">
        <v>1600</v>
      </c>
      <c r="Q68" s="21">
        <v>2200</v>
      </c>
      <c r="R68" s="21">
        <v>1900</v>
      </c>
      <c r="S68" s="18">
        <v>2000</v>
      </c>
      <c r="T68" s="31">
        <v>2900</v>
      </c>
      <c r="U68" s="83">
        <v>2200</v>
      </c>
      <c r="V68" s="117" t="s">
        <v>344</v>
      </c>
      <c r="W68" s="117" t="s">
        <v>344</v>
      </c>
    </row>
    <row r="69" spans="1:23" x14ac:dyDescent="0.2">
      <c r="A69" s="16" t="s">
        <v>182</v>
      </c>
      <c r="B69" s="16" t="s">
        <v>59</v>
      </c>
      <c r="C69" s="18" t="s">
        <v>190</v>
      </c>
      <c r="D69" s="18" t="s">
        <v>190</v>
      </c>
      <c r="E69" s="18" t="s">
        <v>190</v>
      </c>
      <c r="F69" s="18" t="s">
        <v>190</v>
      </c>
      <c r="G69" s="18" t="s">
        <v>190</v>
      </c>
      <c r="H69" s="18" t="s">
        <v>190</v>
      </c>
      <c r="I69" s="21" t="s">
        <v>190</v>
      </c>
      <c r="J69" s="21" t="s">
        <v>190</v>
      </c>
      <c r="K69" s="21">
        <v>600</v>
      </c>
      <c r="L69" s="21">
        <v>900</v>
      </c>
      <c r="M69" s="62" t="s">
        <v>192</v>
      </c>
      <c r="N69" s="62" t="s">
        <v>192</v>
      </c>
      <c r="O69" s="21">
        <v>900</v>
      </c>
      <c r="P69" s="21">
        <v>700</v>
      </c>
      <c r="Q69" s="21">
        <v>900</v>
      </c>
      <c r="R69" s="21">
        <v>1000</v>
      </c>
      <c r="S69" s="18">
        <v>1200</v>
      </c>
      <c r="T69" s="31">
        <v>1600</v>
      </c>
      <c r="U69" s="83">
        <v>1400</v>
      </c>
      <c r="V69" s="117" t="s">
        <v>344</v>
      </c>
      <c r="W69" s="117" t="s">
        <v>344</v>
      </c>
    </row>
    <row r="70" spans="1:23" x14ac:dyDescent="0.2">
      <c r="A70" s="16" t="s">
        <v>182</v>
      </c>
      <c r="B70" s="16" t="s">
        <v>60</v>
      </c>
      <c r="C70" s="18" t="s">
        <v>190</v>
      </c>
      <c r="D70" s="18" t="s">
        <v>190</v>
      </c>
      <c r="E70" s="18" t="s">
        <v>190</v>
      </c>
      <c r="F70" s="18" t="s">
        <v>190</v>
      </c>
      <c r="G70" s="18" t="s">
        <v>190</v>
      </c>
      <c r="H70" s="18" t="s">
        <v>190</v>
      </c>
      <c r="I70" s="21" t="s">
        <v>190</v>
      </c>
      <c r="J70" s="21" t="s">
        <v>190</v>
      </c>
      <c r="K70" s="21">
        <v>600</v>
      </c>
      <c r="L70" s="21">
        <v>600</v>
      </c>
      <c r="M70" s="62" t="s">
        <v>192</v>
      </c>
      <c r="N70" s="62" t="s">
        <v>192</v>
      </c>
      <c r="O70" s="21">
        <v>500</v>
      </c>
      <c r="P70" s="21">
        <v>600</v>
      </c>
      <c r="Q70" s="21">
        <v>800</v>
      </c>
      <c r="R70" s="21">
        <v>700</v>
      </c>
      <c r="S70" s="18">
        <v>600</v>
      </c>
      <c r="T70" s="31" t="s">
        <v>208</v>
      </c>
      <c r="U70" s="62" t="s">
        <v>208</v>
      </c>
      <c r="V70" s="117" t="s">
        <v>344</v>
      </c>
      <c r="W70" s="117" t="s">
        <v>344</v>
      </c>
    </row>
    <row r="71" spans="1:23" x14ac:dyDescent="0.2">
      <c r="A71" s="16" t="s">
        <v>182</v>
      </c>
      <c r="B71" s="16" t="s">
        <v>97</v>
      </c>
      <c r="C71" s="18" t="s">
        <v>190</v>
      </c>
      <c r="D71" s="18" t="s">
        <v>190</v>
      </c>
      <c r="E71" s="18" t="s">
        <v>190</v>
      </c>
      <c r="F71" s="18" t="s">
        <v>190</v>
      </c>
      <c r="G71" s="18" t="s">
        <v>190</v>
      </c>
      <c r="H71" s="18" t="s">
        <v>190</v>
      </c>
      <c r="I71" s="21" t="s">
        <v>190</v>
      </c>
      <c r="J71" s="21" t="s">
        <v>190</v>
      </c>
      <c r="K71" s="21">
        <v>600</v>
      </c>
      <c r="L71" s="21">
        <v>600</v>
      </c>
      <c r="M71" s="21">
        <v>700</v>
      </c>
      <c r="N71" s="21">
        <v>800</v>
      </c>
      <c r="O71" s="21">
        <v>1000</v>
      </c>
      <c r="P71" s="21">
        <v>1500</v>
      </c>
      <c r="Q71" s="21">
        <v>1400</v>
      </c>
      <c r="R71" s="62" t="s">
        <v>192</v>
      </c>
      <c r="S71" s="18">
        <v>800</v>
      </c>
      <c r="T71" s="31">
        <v>900</v>
      </c>
      <c r="U71" s="83">
        <v>700</v>
      </c>
      <c r="V71" s="117" t="s">
        <v>344</v>
      </c>
      <c r="W71" s="117" t="s">
        <v>344</v>
      </c>
    </row>
    <row r="72" spans="1:23" x14ac:dyDescent="0.2">
      <c r="A72" s="16" t="s">
        <v>182</v>
      </c>
      <c r="B72" s="16" t="s">
        <v>61</v>
      </c>
      <c r="C72" s="18" t="s">
        <v>190</v>
      </c>
      <c r="D72" s="18" t="s">
        <v>190</v>
      </c>
      <c r="E72" s="18" t="s">
        <v>190</v>
      </c>
      <c r="F72" s="18" t="s">
        <v>190</v>
      </c>
      <c r="G72" s="18" t="s">
        <v>190</v>
      </c>
      <c r="H72" s="18" t="s">
        <v>190</v>
      </c>
      <c r="I72" s="21" t="s">
        <v>190</v>
      </c>
      <c r="J72" s="21" t="s">
        <v>190</v>
      </c>
      <c r="K72" s="21">
        <v>2200</v>
      </c>
      <c r="L72" s="21">
        <v>2100</v>
      </c>
      <c r="M72" s="21">
        <v>2100</v>
      </c>
      <c r="N72" s="21">
        <v>1600</v>
      </c>
      <c r="O72" s="21">
        <v>2100</v>
      </c>
      <c r="P72" s="21">
        <v>2300</v>
      </c>
      <c r="Q72" s="21">
        <v>2900</v>
      </c>
      <c r="R72" s="21">
        <v>2100</v>
      </c>
      <c r="S72" s="18">
        <v>1700</v>
      </c>
      <c r="T72" s="31">
        <v>1600</v>
      </c>
      <c r="U72" s="83">
        <v>2000</v>
      </c>
      <c r="V72" s="117" t="s">
        <v>344</v>
      </c>
      <c r="W72" s="117" t="s">
        <v>344</v>
      </c>
    </row>
    <row r="73" spans="1:23" x14ac:dyDescent="0.2">
      <c r="A73" s="16" t="s">
        <v>182</v>
      </c>
      <c r="B73" s="16" t="s">
        <v>62</v>
      </c>
      <c r="C73" s="18" t="s">
        <v>190</v>
      </c>
      <c r="D73" s="18" t="s">
        <v>190</v>
      </c>
      <c r="E73" s="18" t="s">
        <v>190</v>
      </c>
      <c r="F73" s="18" t="s">
        <v>190</v>
      </c>
      <c r="G73" s="18" t="s">
        <v>190</v>
      </c>
      <c r="H73" s="18" t="s">
        <v>190</v>
      </c>
      <c r="I73" s="21" t="s">
        <v>190</v>
      </c>
      <c r="J73" s="21" t="s">
        <v>190</v>
      </c>
      <c r="K73" s="21">
        <v>3300</v>
      </c>
      <c r="L73" s="21">
        <v>3400</v>
      </c>
      <c r="M73" s="21">
        <v>3900</v>
      </c>
      <c r="N73" s="21">
        <v>3300</v>
      </c>
      <c r="O73" s="21">
        <v>3300</v>
      </c>
      <c r="P73" s="21">
        <v>3500</v>
      </c>
      <c r="Q73" s="21">
        <v>3600</v>
      </c>
      <c r="R73" s="21">
        <v>4000</v>
      </c>
      <c r="S73" s="18">
        <v>3200</v>
      </c>
      <c r="T73" s="31">
        <v>3100</v>
      </c>
      <c r="U73" s="83">
        <v>3700</v>
      </c>
      <c r="V73" s="117" t="s">
        <v>344</v>
      </c>
      <c r="W73" s="117" t="s">
        <v>344</v>
      </c>
    </row>
    <row r="74" spans="1:23" x14ac:dyDescent="0.2">
      <c r="A74" s="16" t="s">
        <v>182</v>
      </c>
      <c r="B74" s="16" t="s">
        <v>63</v>
      </c>
      <c r="C74" s="18" t="s">
        <v>190</v>
      </c>
      <c r="D74" s="18" t="s">
        <v>190</v>
      </c>
      <c r="E74" s="18" t="s">
        <v>190</v>
      </c>
      <c r="F74" s="18" t="s">
        <v>190</v>
      </c>
      <c r="G74" s="18" t="s">
        <v>190</v>
      </c>
      <c r="H74" s="18" t="s">
        <v>190</v>
      </c>
      <c r="I74" s="21" t="s">
        <v>190</v>
      </c>
      <c r="J74" s="21" t="s">
        <v>190</v>
      </c>
      <c r="K74" s="21">
        <v>6400</v>
      </c>
      <c r="L74" s="21">
        <v>7500</v>
      </c>
      <c r="M74" s="21">
        <v>7800</v>
      </c>
      <c r="N74" s="21">
        <v>8500</v>
      </c>
      <c r="O74" s="21">
        <v>7300</v>
      </c>
      <c r="P74" s="21">
        <v>8000</v>
      </c>
      <c r="Q74" s="21">
        <v>8000</v>
      </c>
      <c r="R74" s="21">
        <v>8000</v>
      </c>
      <c r="S74" s="18">
        <v>6800</v>
      </c>
      <c r="T74" s="31">
        <v>6000</v>
      </c>
      <c r="U74" s="83">
        <v>6100</v>
      </c>
      <c r="V74" s="117" t="s">
        <v>344</v>
      </c>
      <c r="W74" s="117" t="s">
        <v>344</v>
      </c>
    </row>
    <row r="75" spans="1:23" x14ac:dyDescent="0.2">
      <c r="A75" s="16" t="s">
        <v>182</v>
      </c>
      <c r="B75" s="16" t="s">
        <v>64</v>
      </c>
      <c r="C75" s="18" t="s">
        <v>190</v>
      </c>
      <c r="D75" s="18" t="s">
        <v>190</v>
      </c>
      <c r="E75" s="18" t="s">
        <v>190</v>
      </c>
      <c r="F75" s="18" t="s">
        <v>190</v>
      </c>
      <c r="G75" s="18" t="s">
        <v>190</v>
      </c>
      <c r="H75" s="18" t="s">
        <v>190</v>
      </c>
      <c r="I75" s="21" t="s">
        <v>190</v>
      </c>
      <c r="J75" s="21" t="s">
        <v>190</v>
      </c>
      <c r="K75" s="21">
        <v>10700</v>
      </c>
      <c r="L75" s="21">
        <v>9200</v>
      </c>
      <c r="M75" s="21">
        <v>12100</v>
      </c>
      <c r="N75" s="21">
        <v>13100</v>
      </c>
      <c r="O75" s="21">
        <v>14100</v>
      </c>
      <c r="P75" s="21">
        <v>14300</v>
      </c>
      <c r="Q75" s="21">
        <v>11800</v>
      </c>
      <c r="R75" s="21">
        <v>13300</v>
      </c>
      <c r="S75" s="18">
        <v>11300</v>
      </c>
      <c r="T75" s="31">
        <v>10400</v>
      </c>
      <c r="U75" s="83">
        <v>8000</v>
      </c>
      <c r="V75" s="117" t="s">
        <v>344</v>
      </c>
      <c r="W75" s="117" t="s">
        <v>344</v>
      </c>
    </row>
    <row r="76" spans="1:23" x14ac:dyDescent="0.2">
      <c r="A76" s="16" t="s">
        <v>182</v>
      </c>
      <c r="B76" s="16" t="s">
        <v>65</v>
      </c>
      <c r="C76" s="18" t="s">
        <v>190</v>
      </c>
      <c r="D76" s="18" t="s">
        <v>190</v>
      </c>
      <c r="E76" s="18" t="s">
        <v>190</v>
      </c>
      <c r="F76" s="18" t="s">
        <v>190</v>
      </c>
      <c r="G76" s="18" t="s">
        <v>190</v>
      </c>
      <c r="H76" s="18" t="s">
        <v>190</v>
      </c>
      <c r="I76" s="21" t="s">
        <v>190</v>
      </c>
      <c r="J76" s="21" t="s">
        <v>190</v>
      </c>
      <c r="K76" s="21">
        <v>12900</v>
      </c>
      <c r="L76" s="21">
        <v>9700</v>
      </c>
      <c r="M76" s="21">
        <v>11500</v>
      </c>
      <c r="N76" s="21">
        <v>10400</v>
      </c>
      <c r="O76" s="21">
        <v>16100</v>
      </c>
      <c r="P76" s="21">
        <v>9700</v>
      </c>
      <c r="Q76" s="21">
        <v>13300</v>
      </c>
      <c r="R76" s="21">
        <v>17500</v>
      </c>
      <c r="S76" s="18">
        <v>10100</v>
      </c>
      <c r="T76" s="31">
        <v>8300</v>
      </c>
      <c r="U76" s="83">
        <v>14600</v>
      </c>
      <c r="V76" s="117" t="s">
        <v>344</v>
      </c>
      <c r="W76" s="117" t="s">
        <v>344</v>
      </c>
    </row>
    <row r="77" spans="1:23" x14ac:dyDescent="0.2">
      <c r="A77" s="16" t="s">
        <v>182</v>
      </c>
      <c r="B77" s="16" t="s">
        <v>66</v>
      </c>
      <c r="C77" s="18" t="s">
        <v>190</v>
      </c>
      <c r="D77" s="18" t="s">
        <v>190</v>
      </c>
      <c r="E77" s="18" t="s">
        <v>190</v>
      </c>
      <c r="F77" s="18" t="s">
        <v>190</v>
      </c>
      <c r="G77" s="18" t="s">
        <v>190</v>
      </c>
      <c r="H77" s="18" t="s">
        <v>190</v>
      </c>
      <c r="I77" s="21" t="s">
        <v>190</v>
      </c>
      <c r="J77" s="21" t="s">
        <v>190</v>
      </c>
      <c r="K77" s="21">
        <v>1800</v>
      </c>
      <c r="L77" s="21">
        <v>1500</v>
      </c>
      <c r="M77" s="21">
        <v>1700</v>
      </c>
      <c r="N77" s="21">
        <v>1700</v>
      </c>
      <c r="O77" s="21">
        <v>1700</v>
      </c>
      <c r="P77" s="21">
        <v>2000</v>
      </c>
      <c r="Q77" s="21">
        <v>2000</v>
      </c>
      <c r="R77" s="21">
        <v>2300</v>
      </c>
      <c r="S77" s="18">
        <v>2200</v>
      </c>
      <c r="T77" s="31">
        <v>1700</v>
      </c>
      <c r="U77" s="83">
        <v>1400</v>
      </c>
      <c r="V77" s="117" t="s">
        <v>344</v>
      </c>
      <c r="W77" s="117" t="s">
        <v>344</v>
      </c>
    </row>
    <row r="78" spans="1:23" x14ac:dyDescent="0.2">
      <c r="A78" s="16" t="s">
        <v>182</v>
      </c>
      <c r="B78" s="16" t="s">
        <v>67</v>
      </c>
      <c r="C78" s="18" t="s">
        <v>190</v>
      </c>
      <c r="D78" s="18" t="s">
        <v>190</v>
      </c>
      <c r="E78" s="18" t="s">
        <v>190</v>
      </c>
      <c r="F78" s="18" t="s">
        <v>190</v>
      </c>
      <c r="G78" s="18" t="s">
        <v>190</v>
      </c>
      <c r="H78" s="18" t="s">
        <v>190</v>
      </c>
      <c r="I78" s="21" t="s">
        <v>190</v>
      </c>
      <c r="J78" s="21" t="s">
        <v>190</v>
      </c>
      <c r="K78" s="21">
        <v>45200</v>
      </c>
      <c r="L78" s="21">
        <v>45800</v>
      </c>
      <c r="M78" s="21">
        <v>39500</v>
      </c>
      <c r="N78" s="21">
        <v>43400</v>
      </c>
      <c r="O78" s="21">
        <v>46100</v>
      </c>
      <c r="P78" s="21">
        <v>39500</v>
      </c>
      <c r="Q78" s="21">
        <v>42400</v>
      </c>
      <c r="R78" s="21">
        <v>47800</v>
      </c>
      <c r="S78" s="18">
        <v>39300</v>
      </c>
      <c r="T78" s="31">
        <v>47300</v>
      </c>
      <c r="U78" s="83">
        <v>41200</v>
      </c>
      <c r="V78" s="117" t="s">
        <v>344</v>
      </c>
      <c r="W78" s="117" t="s">
        <v>344</v>
      </c>
    </row>
    <row r="79" spans="1:23" x14ac:dyDescent="0.2">
      <c r="A79" s="16" t="s">
        <v>182</v>
      </c>
      <c r="B79" s="16" t="s">
        <v>68</v>
      </c>
      <c r="C79" s="18" t="s">
        <v>190</v>
      </c>
      <c r="D79" s="18" t="s">
        <v>190</v>
      </c>
      <c r="E79" s="18" t="s">
        <v>190</v>
      </c>
      <c r="F79" s="18" t="s">
        <v>190</v>
      </c>
      <c r="G79" s="18" t="s">
        <v>190</v>
      </c>
      <c r="H79" s="18" t="s">
        <v>190</v>
      </c>
      <c r="I79" s="21" t="s">
        <v>190</v>
      </c>
      <c r="J79" s="21" t="s">
        <v>190</v>
      </c>
      <c r="K79" s="21">
        <v>5900</v>
      </c>
      <c r="L79" s="21">
        <v>6100</v>
      </c>
      <c r="M79" s="21">
        <v>6400</v>
      </c>
      <c r="N79" s="21">
        <v>6900</v>
      </c>
      <c r="O79" s="21">
        <v>8300</v>
      </c>
      <c r="P79" s="21">
        <v>8300</v>
      </c>
      <c r="Q79" s="21">
        <v>8000</v>
      </c>
      <c r="R79" s="21">
        <v>6900</v>
      </c>
      <c r="S79" s="18">
        <v>6500</v>
      </c>
      <c r="T79" s="31">
        <v>6500</v>
      </c>
      <c r="U79" s="83">
        <v>6400</v>
      </c>
      <c r="V79" s="117" t="s">
        <v>344</v>
      </c>
      <c r="W79" s="117" t="s">
        <v>344</v>
      </c>
    </row>
    <row r="80" spans="1:23" x14ac:dyDescent="0.2">
      <c r="A80" s="16" t="s">
        <v>182</v>
      </c>
      <c r="B80" s="16" t="s">
        <v>69</v>
      </c>
      <c r="C80" s="18" t="s">
        <v>190</v>
      </c>
      <c r="D80" s="18" t="s">
        <v>190</v>
      </c>
      <c r="E80" s="18" t="s">
        <v>190</v>
      </c>
      <c r="F80" s="18" t="s">
        <v>190</v>
      </c>
      <c r="G80" s="18" t="s">
        <v>190</v>
      </c>
      <c r="H80" s="18" t="s">
        <v>190</v>
      </c>
      <c r="I80" s="21" t="s">
        <v>190</v>
      </c>
      <c r="J80" s="21" t="s">
        <v>190</v>
      </c>
      <c r="K80" s="21">
        <v>15500</v>
      </c>
      <c r="L80" s="21">
        <v>13900</v>
      </c>
      <c r="M80" s="21">
        <v>15000</v>
      </c>
      <c r="N80" s="21">
        <v>14400</v>
      </c>
      <c r="O80" s="21">
        <v>15500</v>
      </c>
      <c r="P80" s="21">
        <v>15000</v>
      </c>
      <c r="Q80" s="21">
        <v>13200</v>
      </c>
      <c r="R80" s="21">
        <v>13300</v>
      </c>
      <c r="S80" s="18">
        <v>14900</v>
      </c>
      <c r="T80" s="31">
        <v>15200</v>
      </c>
      <c r="U80" s="83">
        <v>12200</v>
      </c>
      <c r="V80" s="117" t="s">
        <v>344</v>
      </c>
      <c r="W80" s="117" t="s">
        <v>344</v>
      </c>
    </row>
    <row r="81" spans="1:23" x14ac:dyDescent="0.2">
      <c r="A81" s="16" t="s">
        <v>182</v>
      </c>
      <c r="B81" s="16" t="s">
        <v>70</v>
      </c>
      <c r="C81" s="18" t="s">
        <v>190</v>
      </c>
      <c r="D81" s="18" t="s">
        <v>190</v>
      </c>
      <c r="E81" s="18" t="s">
        <v>190</v>
      </c>
      <c r="F81" s="18" t="s">
        <v>190</v>
      </c>
      <c r="G81" s="18" t="s">
        <v>190</v>
      </c>
      <c r="H81" s="18" t="s">
        <v>190</v>
      </c>
      <c r="I81" s="21" t="s">
        <v>190</v>
      </c>
      <c r="J81" s="21" t="s">
        <v>190</v>
      </c>
      <c r="K81" s="21">
        <v>1900</v>
      </c>
      <c r="L81" s="21">
        <v>1500</v>
      </c>
      <c r="M81" s="21">
        <v>800</v>
      </c>
      <c r="N81" s="21">
        <v>700</v>
      </c>
      <c r="O81" s="21">
        <v>1100</v>
      </c>
      <c r="P81" s="21">
        <v>1200</v>
      </c>
      <c r="Q81" s="21">
        <v>900</v>
      </c>
      <c r="R81" s="21">
        <v>1000</v>
      </c>
      <c r="S81" s="18">
        <v>1600</v>
      </c>
      <c r="T81" s="31" t="s">
        <v>208</v>
      </c>
      <c r="U81" s="83">
        <v>2500</v>
      </c>
      <c r="V81" s="117" t="s">
        <v>344</v>
      </c>
      <c r="W81" s="117" t="s">
        <v>344</v>
      </c>
    </row>
    <row r="82" spans="1:23" x14ac:dyDescent="0.2">
      <c r="A82" s="16" t="s">
        <v>182</v>
      </c>
      <c r="B82" s="16" t="s">
        <v>71</v>
      </c>
      <c r="C82" s="18" t="s">
        <v>190</v>
      </c>
      <c r="D82" s="18" t="s">
        <v>190</v>
      </c>
      <c r="E82" s="18" t="s">
        <v>190</v>
      </c>
      <c r="F82" s="18" t="s">
        <v>190</v>
      </c>
      <c r="G82" s="18" t="s">
        <v>190</v>
      </c>
      <c r="H82" s="18" t="s">
        <v>190</v>
      </c>
      <c r="I82" s="21" t="s">
        <v>190</v>
      </c>
      <c r="J82" s="21" t="s">
        <v>190</v>
      </c>
      <c r="K82" s="21">
        <v>1000</v>
      </c>
      <c r="L82" s="21">
        <v>1900</v>
      </c>
      <c r="M82" s="21">
        <v>1000</v>
      </c>
      <c r="N82" s="21">
        <v>600</v>
      </c>
      <c r="O82" s="62" t="s">
        <v>208</v>
      </c>
      <c r="P82" s="21" t="s">
        <v>194</v>
      </c>
      <c r="Q82" s="62" t="s">
        <v>208</v>
      </c>
      <c r="R82" s="21" t="s">
        <v>194</v>
      </c>
      <c r="S82" s="18">
        <v>1000</v>
      </c>
      <c r="T82" s="31" t="s">
        <v>208</v>
      </c>
      <c r="U82" s="62" t="s">
        <v>208</v>
      </c>
      <c r="V82" s="117" t="s">
        <v>344</v>
      </c>
      <c r="W82" s="117" t="s">
        <v>344</v>
      </c>
    </row>
    <row r="83" spans="1:23" x14ac:dyDescent="0.2">
      <c r="A83" s="16" t="s">
        <v>182</v>
      </c>
      <c r="B83" s="16" t="s">
        <v>72</v>
      </c>
      <c r="C83" s="18" t="s">
        <v>190</v>
      </c>
      <c r="D83" s="18" t="s">
        <v>190</v>
      </c>
      <c r="E83" s="18" t="s">
        <v>190</v>
      </c>
      <c r="F83" s="18" t="s">
        <v>190</v>
      </c>
      <c r="G83" s="18" t="s">
        <v>190</v>
      </c>
      <c r="H83" s="18" t="s">
        <v>190</v>
      </c>
      <c r="I83" s="21" t="s">
        <v>190</v>
      </c>
      <c r="J83" s="21" t="s">
        <v>190</v>
      </c>
      <c r="K83" s="21">
        <v>5100</v>
      </c>
      <c r="L83" s="21">
        <v>4400</v>
      </c>
      <c r="M83" s="21">
        <v>4600</v>
      </c>
      <c r="N83" s="21">
        <v>4600</v>
      </c>
      <c r="O83" s="21">
        <v>5600</v>
      </c>
      <c r="P83" s="21">
        <v>5100</v>
      </c>
      <c r="Q83" s="21">
        <v>4500</v>
      </c>
      <c r="R83" s="21">
        <v>7100</v>
      </c>
      <c r="S83" s="18">
        <v>6100</v>
      </c>
      <c r="T83" s="31">
        <v>4800</v>
      </c>
      <c r="U83" s="83">
        <v>5000</v>
      </c>
      <c r="V83" s="117" t="s">
        <v>344</v>
      </c>
      <c r="W83" s="117" t="s">
        <v>344</v>
      </c>
    </row>
    <row r="84" spans="1:23" x14ac:dyDescent="0.2">
      <c r="A84" s="16" t="s">
        <v>182</v>
      </c>
      <c r="B84" s="16" t="s">
        <v>73</v>
      </c>
      <c r="C84" s="18" t="s">
        <v>190</v>
      </c>
      <c r="D84" s="18" t="s">
        <v>190</v>
      </c>
      <c r="E84" s="18" t="s">
        <v>190</v>
      </c>
      <c r="F84" s="18" t="s">
        <v>190</v>
      </c>
      <c r="G84" s="18" t="s">
        <v>190</v>
      </c>
      <c r="H84" s="18" t="s">
        <v>190</v>
      </c>
      <c r="I84" s="21" t="s">
        <v>190</v>
      </c>
      <c r="J84" s="21" t="s">
        <v>190</v>
      </c>
      <c r="K84" s="62" t="s">
        <v>192</v>
      </c>
      <c r="L84" s="21">
        <v>600</v>
      </c>
      <c r="M84" s="21">
        <v>800</v>
      </c>
      <c r="N84" s="21">
        <v>1200</v>
      </c>
      <c r="O84" s="21">
        <v>500</v>
      </c>
      <c r="P84" s="21">
        <v>500</v>
      </c>
      <c r="Q84" s="21">
        <v>700</v>
      </c>
      <c r="R84" s="21">
        <v>1700</v>
      </c>
      <c r="S84" s="62" t="s">
        <v>208</v>
      </c>
      <c r="T84" s="31" t="s">
        <v>192</v>
      </c>
      <c r="U84" s="83">
        <v>1300</v>
      </c>
      <c r="V84" s="117" t="s">
        <v>344</v>
      </c>
      <c r="W84" s="117" t="s">
        <v>344</v>
      </c>
    </row>
    <row r="85" spans="1:23" x14ac:dyDescent="0.2">
      <c r="A85" s="16" t="s">
        <v>182</v>
      </c>
      <c r="B85" s="16" t="s">
        <v>53</v>
      </c>
      <c r="C85" s="18" t="s">
        <v>190</v>
      </c>
      <c r="D85" s="18" t="s">
        <v>190</v>
      </c>
      <c r="E85" s="18" t="s">
        <v>190</v>
      </c>
      <c r="F85" s="18" t="s">
        <v>190</v>
      </c>
      <c r="G85" s="18" t="s">
        <v>190</v>
      </c>
      <c r="H85" s="18" t="s">
        <v>190</v>
      </c>
      <c r="I85" s="21" t="s">
        <v>190</v>
      </c>
      <c r="J85" s="21" t="s">
        <v>190</v>
      </c>
      <c r="K85" s="21">
        <v>60600</v>
      </c>
      <c r="L85" s="21">
        <v>54300</v>
      </c>
      <c r="M85" s="21">
        <v>64600</v>
      </c>
      <c r="N85" s="21">
        <v>62800</v>
      </c>
      <c r="O85" s="21">
        <v>65000</v>
      </c>
      <c r="P85" s="21">
        <v>78000</v>
      </c>
      <c r="Q85" s="21">
        <v>63200</v>
      </c>
      <c r="R85" s="21">
        <v>67000</v>
      </c>
      <c r="S85" s="18">
        <v>66500</v>
      </c>
      <c r="T85" s="31">
        <v>58300</v>
      </c>
      <c r="U85" s="83">
        <v>60400</v>
      </c>
      <c r="V85" s="117" t="s">
        <v>344</v>
      </c>
      <c r="W85" s="117" t="s">
        <v>344</v>
      </c>
    </row>
    <row r="86" spans="1:23" x14ac:dyDescent="0.2">
      <c r="A86" s="16" t="s">
        <v>182</v>
      </c>
      <c r="B86" s="16" t="s">
        <v>74</v>
      </c>
      <c r="C86" s="18" t="s">
        <v>190</v>
      </c>
      <c r="D86" s="18" t="s">
        <v>190</v>
      </c>
      <c r="E86" s="18" t="s">
        <v>190</v>
      </c>
      <c r="F86" s="18" t="s">
        <v>190</v>
      </c>
      <c r="G86" s="18" t="s">
        <v>190</v>
      </c>
      <c r="H86" s="18" t="s">
        <v>190</v>
      </c>
      <c r="I86" s="21" t="s">
        <v>190</v>
      </c>
      <c r="J86" s="21" t="s">
        <v>190</v>
      </c>
      <c r="K86" s="21">
        <v>700</v>
      </c>
      <c r="L86" s="21">
        <v>1100</v>
      </c>
      <c r="M86" s="21">
        <v>900</v>
      </c>
      <c r="N86" s="21">
        <v>700</v>
      </c>
      <c r="O86" s="21">
        <v>800</v>
      </c>
      <c r="P86" s="21">
        <v>900</v>
      </c>
      <c r="Q86" s="62" t="s">
        <v>208</v>
      </c>
      <c r="R86" s="62" t="s">
        <v>192</v>
      </c>
      <c r="S86" s="62" t="s">
        <v>208</v>
      </c>
      <c r="T86" s="31" t="s">
        <v>208</v>
      </c>
      <c r="U86" s="62" t="s">
        <v>208</v>
      </c>
      <c r="V86" s="117" t="s">
        <v>344</v>
      </c>
      <c r="W86" s="117" t="s">
        <v>344</v>
      </c>
    </row>
    <row r="87" spans="1:23" x14ac:dyDescent="0.2">
      <c r="A87" s="16" t="s">
        <v>182</v>
      </c>
      <c r="B87" s="16" t="s">
        <v>75</v>
      </c>
      <c r="C87" s="18" t="s">
        <v>190</v>
      </c>
      <c r="D87" s="18" t="s">
        <v>190</v>
      </c>
      <c r="E87" s="18" t="s">
        <v>190</v>
      </c>
      <c r="F87" s="18" t="s">
        <v>190</v>
      </c>
      <c r="G87" s="18" t="s">
        <v>190</v>
      </c>
      <c r="H87" s="18" t="s">
        <v>190</v>
      </c>
      <c r="I87" s="21" t="s">
        <v>190</v>
      </c>
      <c r="J87" s="21" t="s">
        <v>190</v>
      </c>
      <c r="K87" s="21">
        <v>3900</v>
      </c>
      <c r="L87" s="21">
        <v>3000</v>
      </c>
      <c r="M87" s="21">
        <v>3300</v>
      </c>
      <c r="N87" s="21">
        <v>4300</v>
      </c>
      <c r="O87" s="21">
        <v>3600</v>
      </c>
      <c r="P87" s="21">
        <v>3400</v>
      </c>
      <c r="Q87" s="21">
        <v>3400</v>
      </c>
      <c r="R87" s="21">
        <v>3000</v>
      </c>
      <c r="S87" s="18">
        <v>4100</v>
      </c>
      <c r="T87" s="31">
        <v>2900</v>
      </c>
      <c r="U87" s="83">
        <v>3700</v>
      </c>
      <c r="V87" s="117" t="s">
        <v>344</v>
      </c>
      <c r="W87" s="117" t="s">
        <v>344</v>
      </c>
    </row>
    <row r="88" spans="1:23" x14ac:dyDescent="0.2">
      <c r="A88" s="16" t="s">
        <v>182</v>
      </c>
      <c r="B88" s="16" t="s">
        <v>76</v>
      </c>
      <c r="C88" s="18" t="s">
        <v>190</v>
      </c>
      <c r="D88" s="18" t="s">
        <v>190</v>
      </c>
      <c r="E88" s="18" t="s">
        <v>190</v>
      </c>
      <c r="F88" s="18" t="s">
        <v>190</v>
      </c>
      <c r="G88" s="18" t="s">
        <v>190</v>
      </c>
      <c r="H88" s="18" t="s">
        <v>190</v>
      </c>
      <c r="I88" s="21" t="s">
        <v>190</v>
      </c>
      <c r="J88" s="21" t="s">
        <v>190</v>
      </c>
      <c r="K88" s="21">
        <v>3200</v>
      </c>
      <c r="L88" s="21">
        <v>3100</v>
      </c>
      <c r="M88" s="21">
        <v>2700</v>
      </c>
      <c r="N88" s="21">
        <v>2800</v>
      </c>
      <c r="O88" s="21">
        <v>2300</v>
      </c>
      <c r="P88" s="21">
        <v>3400</v>
      </c>
      <c r="Q88" s="21">
        <v>3100</v>
      </c>
      <c r="R88" s="21">
        <v>2300</v>
      </c>
      <c r="S88" s="18">
        <v>3500</v>
      </c>
      <c r="T88" s="31">
        <v>2000</v>
      </c>
      <c r="U88" s="83">
        <v>3500</v>
      </c>
      <c r="V88" s="117" t="s">
        <v>344</v>
      </c>
      <c r="W88" s="117" t="s">
        <v>344</v>
      </c>
    </row>
    <row r="89" spans="1:23" x14ac:dyDescent="0.2">
      <c r="A89" s="16" t="s">
        <v>182</v>
      </c>
      <c r="B89" s="16" t="s">
        <v>77</v>
      </c>
      <c r="C89" s="18" t="s">
        <v>190</v>
      </c>
      <c r="D89" s="18" t="s">
        <v>190</v>
      </c>
      <c r="E89" s="18" t="s">
        <v>190</v>
      </c>
      <c r="F89" s="18" t="s">
        <v>190</v>
      </c>
      <c r="G89" s="18" t="s">
        <v>190</v>
      </c>
      <c r="H89" s="18" t="s">
        <v>190</v>
      </c>
      <c r="I89" s="21" t="s">
        <v>190</v>
      </c>
      <c r="J89" s="21" t="s">
        <v>190</v>
      </c>
      <c r="K89" s="21">
        <v>7200</v>
      </c>
      <c r="L89" s="21">
        <v>10100</v>
      </c>
      <c r="M89" s="21">
        <v>9500</v>
      </c>
      <c r="N89" s="21">
        <v>7100</v>
      </c>
      <c r="O89" s="21">
        <v>8600</v>
      </c>
      <c r="P89" s="21">
        <v>7100</v>
      </c>
      <c r="Q89" s="21">
        <v>6400</v>
      </c>
      <c r="R89" s="21">
        <v>8000</v>
      </c>
      <c r="S89" s="18">
        <v>8900</v>
      </c>
      <c r="T89" s="31">
        <v>7500</v>
      </c>
      <c r="U89" s="83">
        <v>6400</v>
      </c>
      <c r="V89" s="117" t="s">
        <v>344</v>
      </c>
      <c r="W89" s="117" t="s">
        <v>344</v>
      </c>
    </row>
    <row r="90" spans="1:23" x14ac:dyDescent="0.2">
      <c r="A90" s="16" t="s">
        <v>182</v>
      </c>
      <c r="B90" s="16" t="s">
        <v>78</v>
      </c>
      <c r="C90" s="18" t="s">
        <v>190</v>
      </c>
      <c r="D90" s="18" t="s">
        <v>190</v>
      </c>
      <c r="E90" s="18" t="s">
        <v>190</v>
      </c>
      <c r="F90" s="18" t="s">
        <v>190</v>
      </c>
      <c r="G90" s="18" t="s">
        <v>190</v>
      </c>
      <c r="H90" s="18" t="s">
        <v>190</v>
      </c>
      <c r="I90" s="21" t="s">
        <v>190</v>
      </c>
      <c r="J90" s="21" t="s">
        <v>190</v>
      </c>
      <c r="K90" s="21">
        <v>8100</v>
      </c>
      <c r="L90" s="21">
        <v>9400</v>
      </c>
      <c r="M90" s="21">
        <v>10100</v>
      </c>
      <c r="N90" s="21">
        <v>9300</v>
      </c>
      <c r="O90" s="21">
        <v>12300</v>
      </c>
      <c r="P90" s="21">
        <v>11200</v>
      </c>
      <c r="Q90" s="21">
        <v>9800</v>
      </c>
      <c r="R90" s="21">
        <v>10100</v>
      </c>
      <c r="S90" s="18">
        <v>6700</v>
      </c>
      <c r="T90" s="31">
        <v>7600</v>
      </c>
      <c r="U90" s="83">
        <v>7400</v>
      </c>
      <c r="V90" s="117" t="s">
        <v>344</v>
      </c>
      <c r="W90" s="117" t="s">
        <v>344</v>
      </c>
    </row>
    <row r="91" spans="1:23" x14ac:dyDescent="0.2">
      <c r="A91" s="16" t="s">
        <v>182</v>
      </c>
      <c r="B91" s="16" t="s">
        <v>79</v>
      </c>
      <c r="C91" s="18" t="s">
        <v>190</v>
      </c>
      <c r="D91" s="18" t="s">
        <v>190</v>
      </c>
      <c r="E91" s="18" t="s">
        <v>190</v>
      </c>
      <c r="F91" s="18" t="s">
        <v>190</v>
      </c>
      <c r="G91" s="18" t="s">
        <v>190</v>
      </c>
      <c r="H91" s="18" t="s">
        <v>190</v>
      </c>
      <c r="I91" s="21" t="s">
        <v>190</v>
      </c>
      <c r="J91" s="21" t="s">
        <v>190</v>
      </c>
      <c r="K91" s="21">
        <v>9100</v>
      </c>
      <c r="L91" s="21">
        <v>7800</v>
      </c>
      <c r="M91" s="21">
        <v>8500</v>
      </c>
      <c r="N91" s="21">
        <v>6600</v>
      </c>
      <c r="O91" s="21">
        <v>9600</v>
      </c>
      <c r="P91" s="21">
        <v>10400</v>
      </c>
      <c r="Q91" s="21">
        <v>12400</v>
      </c>
      <c r="R91" s="21">
        <v>11000</v>
      </c>
      <c r="S91" s="18">
        <v>12200</v>
      </c>
      <c r="T91" s="31">
        <v>9800</v>
      </c>
      <c r="U91" s="83">
        <v>9000</v>
      </c>
      <c r="V91" s="117" t="s">
        <v>344</v>
      </c>
      <c r="W91" s="117" t="s">
        <v>344</v>
      </c>
    </row>
    <row r="92" spans="1:23" x14ac:dyDescent="0.2">
      <c r="A92" s="16" t="s">
        <v>182</v>
      </c>
      <c r="B92" s="16" t="s">
        <v>80</v>
      </c>
      <c r="C92" s="18" t="s">
        <v>190</v>
      </c>
      <c r="D92" s="18" t="s">
        <v>190</v>
      </c>
      <c r="E92" s="18" t="s">
        <v>190</v>
      </c>
      <c r="F92" s="18" t="s">
        <v>190</v>
      </c>
      <c r="G92" s="18" t="s">
        <v>190</v>
      </c>
      <c r="H92" s="18" t="s">
        <v>190</v>
      </c>
      <c r="I92" s="21" t="s">
        <v>190</v>
      </c>
      <c r="J92" s="21" t="s">
        <v>190</v>
      </c>
      <c r="K92" s="21">
        <v>800</v>
      </c>
      <c r="L92" s="21">
        <v>1100</v>
      </c>
      <c r="M92" s="21">
        <v>1000</v>
      </c>
      <c r="N92" s="21">
        <v>1100</v>
      </c>
      <c r="O92" s="21">
        <v>900</v>
      </c>
      <c r="P92" s="21">
        <v>900</v>
      </c>
      <c r="Q92" s="21">
        <v>1000</v>
      </c>
      <c r="R92" s="21">
        <v>800</v>
      </c>
      <c r="S92" s="18">
        <v>900</v>
      </c>
      <c r="T92" s="31">
        <v>800</v>
      </c>
      <c r="U92" s="83">
        <v>1000</v>
      </c>
      <c r="V92" s="117" t="s">
        <v>344</v>
      </c>
      <c r="W92" s="117" t="s">
        <v>344</v>
      </c>
    </row>
    <row r="93" spans="1:23" x14ac:dyDescent="0.2">
      <c r="A93" s="16" t="s">
        <v>182</v>
      </c>
      <c r="B93" s="16" t="s">
        <v>81</v>
      </c>
      <c r="C93" s="18" t="s">
        <v>190</v>
      </c>
      <c r="D93" s="18" t="s">
        <v>190</v>
      </c>
      <c r="E93" s="18" t="s">
        <v>190</v>
      </c>
      <c r="F93" s="18" t="s">
        <v>190</v>
      </c>
      <c r="G93" s="18" t="s">
        <v>190</v>
      </c>
      <c r="H93" s="18" t="s">
        <v>190</v>
      </c>
      <c r="I93" s="21" t="s">
        <v>190</v>
      </c>
      <c r="J93" s="21" t="s">
        <v>190</v>
      </c>
      <c r="K93" s="21">
        <v>21300</v>
      </c>
      <c r="L93" s="21">
        <v>17800</v>
      </c>
      <c r="M93" s="21">
        <v>21400</v>
      </c>
      <c r="N93" s="21">
        <v>22500</v>
      </c>
      <c r="O93" s="21">
        <v>26600</v>
      </c>
      <c r="P93" s="21">
        <v>19600</v>
      </c>
      <c r="Q93" s="21">
        <v>29400</v>
      </c>
      <c r="R93" s="21">
        <v>19400</v>
      </c>
      <c r="S93" s="18">
        <v>21300</v>
      </c>
      <c r="T93" s="31">
        <v>16100</v>
      </c>
      <c r="U93" s="83">
        <v>18000</v>
      </c>
      <c r="V93" s="117" t="s">
        <v>344</v>
      </c>
      <c r="W93" s="117" t="s">
        <v>344</v>
      </c>
    </row>
    <row r="94" spans="1:23" x14ac:dyDescent="0.2">
      <c r="A94" s="16" t="s">
        <v>182</v>
      </c>
      <c r="B94" s="16" t="s">
        <v>82</v>
      </c>
      <c r="C94" s="18" t="s">
        <v>190</v>
      </c>
      <c r="D94" s="18" t="s">
        <v>190</v>
      </c>
      <c r="E94" s="18" t="s">
        <v>190</v>
      </c>
      <c r="F94" s="18" t="s">
        <v>190</v>
      </c>
      <c r="G94" s="18" t="s">
        <v>190</v>
      </c>
      <c r="H94" s="18" t="s">
        <v>190</v>
      </c>
      <c r="I94" s="21" t="s">
        <v>190</v>
      </c>
      <c r="J94" s="21" t="s">
        <v>190</v>
      </c>
      <c r="K94" s="21">
        <v>800</v>
      </c>
      <c r="L94" s="21">
        <v>800</v>
      </c>
      <c r="M94" s="21">
        <v>500</v>
      </c>
      <c r="N94" s="21">
        <v>600</v>
      </c>
      <c r="O94" s="21">
        <v>800</v>
      </c>
      <c r="P94" s="21">
        <v>700</v>
      </c>
      <c r="Q94" s="21">
        <v>1000</v>
      </c>
      <c r="R94" s="21">
        <v>1000</v>
      </c>
      <c r="S94" s="18">
        <v>800</v>
      </c>
      <c r="T94" s="31">
        <v>1200</v>
      </c>
      <c r="U94" s="83">
        <v>1200</v>
      </c>
      <c r="V94" s="117" t="s">
        <v>344</v>
      </c>
      <c r="W94" s="117" t="s">
        <v>344</v>
      </c>
    </row>
    <row r="95" spans="1:23" x14ac:dyDescent="0.2">
      <c r="A95" s="16" t="s">
        <v>182</v>
      </c>
      <c r="B95" s="16" t="s">
        <v>83</v>
      </c>
      <c r="C95" s="18" t="s">
        <v>190</v>
      </c>
      <c r="D95" s="18" t="s">
        <v>190</v>
      </c>
      <c r="E95" s="18" t="s">
        <v>190</v>
      </c>
      <c r="F95" s="18" t="s">
        <v>190</v>
      </c>
      <c r="G95" s="18" t="s">
        <v>190</v>
      </c>
      <c r="H95" s="18" t="s">
        <v>190</v>
      </c>
      <c r="I95" s="21" t="s">
        <v>190</v>
      </c>
      <c r="J95" s="21" t="s">
        <v>190</v>
      </c>
      <c r="K95" s="21">
        <v>2100</v>
      </c>
      <c r="L95" s="21">
        <v>1700</v>
      </c>
      <c r="M95" s="21">
        <v>1700</v>
      </c>
      <c r="N95" s="21">
        <v>1500</v>
      </c>
      <c r="O95" s="21">
        <v>1100</v>
      </c>
      <c r="P95" s="21">
        <v>1100</v>
      </c>
      <c r="Q95" s="21">
        <v>1000</v>
      </c>
      <c r="R95" s="21">
        <v>800</v>
      </c>
      <c r="S95" s="18">
        <v>1200</v>
      </c>
      <c r="T95" s="31">
        <v>700</v>
      </c>
      <c r="U95" s="83">
        <v>1700</v>
      </c>
      <c r="V95" s="117" t="s">
        <v>344</v>
      </c>
      <c r="W95" s="117" t="s">
        <v>344</v>
      </c>
    </row>
    <row r="96" spans="1:23" x14ac:dyDescent="0.2">
      <c r="A96" s="16" t="s">
        <v>182</v>
      </c>
      <c r="B96" s="16" t="s">
        <v>84</v>
      </c>
      <c r="C96" s="18" t="s">
        <v>190</v>
      </c>
      <c r="D96" s="18" t="s">
        <v>190</v>
      </c>
      <c r="E96" s="18" t="s">
        <v>190</v>
      </c>
      <c r="F96" s="18" t="s">
        <v>190</v>
      </c>
      <c r="G96" s="18" t="s">
        <v>190</v>
      </c>
      <c r="H96" s="18" t="s">
        <v>190</v>
      </c>
      <c r="I96" s="21" t="s">
        <v>190</v>
      </c>
      <c r="J96" s="21" t="s">
        <v>190</v>
      </c>
      <c r="K96" s="21">
        <v>1700</v>
      </c>
      <c r="L96" s="21">
        <v>1900</v>
      </c>
      <c r="M96" s="21">
        <v>1600</v>
      </c>
      <c r="N96" s="21">
        <v>1500</v>
      </c>
      <c r="O96" s="21">
        <v>1800</v>
      </c>
      <c r="P96" s="21">
        <v>1600</v>
      </c>
      <c r="Q96" s="21">
        <v>1700</v>
      </c>
      <c r="R96" s="21">
        <v>1700</v>
      </c>
      <c r="S96" s="18">
        <v>1100</v>
      </c>
      <c r="T96" s="31" t="s">
        <v>192</v>
      </c>
      <c r="U96" s="83">
        <v>1000</v>
      </c>
      <c r="V96" s="117" t="s">
        <v>344</v>
      </c>
      <c r="W96" s="117" t="s">
        <v>344</v>
      </c>
    </row>
    <row r="97" spans="1:23" x14ac:dyDescent="0.2">
      <c r="A97" s="16" t="s">
        <v>182</v>
      </c>
      <c r="B97" s="16" t="s">
        <v>15</v>
      </c>
      <c r="C97" s="18" t="s">
        <v>190</v>
      </c>
      <c r="D97" s="18" t="s">
        <v>190</v>
      </c>
      <c r="E97" s="18" t="s">
        <v>190</v>
      </c>
      <c r="F97" s="18" t="s">
        <v>190</v>
      </c>
      <c r="G97" s="18" t="s">
        <v>190</v>
      </c>
      <c r="H97" s="18" t="s">
        <v>190</v>
      </c>
      <c r="I97" s="21" t="s">
        <v>190</v>
      </c>
      <c r="J97" s="21" t="s">
        <v>190</v>
      </c>
      <c r="K97" s="21">
        <v>1900</v>
      </c>
      <c r="L97" s="21">
        <v>2300</v>
      </c>
      <c r="M97" s="21">
        <v>2200</v>
      </c>
      <c r="N97" s="21">
        <v>2100</v>
      </c>
      <c r="O97" s="21">
        <v>2000</v>
      </c>
      <c r="P97" s="21">
        <v>2700</v>
      </c>
      <c r="Q97" s="21">
        <v>1900</v>
      </c>
      <c r="R97" s="21">
        <v>1900</v>
      </c>
      <c r="S97" s="18">
        <v>1800</v>
      </c>
      <c r="T97" s="31" t="s">
        <v>296</v>
      </c>
      <c r="U97" s="83">
        <v>1300</v>
      </c>
      <c r="V97" s="117" t="s">
        <v>344</v>
      </c>
      <c r="W97" s="117" t="s">
        <v>344</v>
      </c>
    </row>
    <row r="98" spans="1:23" x14ac:dyDescent="0.2">
      <c r="A98" s="16" t="s">
        <v>182</v>
      </c>
      <c r="B98" s="16" t="s">
        <v>85</v>
      </c>
      <c r="C98" s="18" t="s">
        <v>190</v>
      </c>
      <c r="D98" s="18" t="s">
        <v>190</v>
      </c>
      <c r="E98" s="18" t="s">
        <v>190</v>
      </c>
      <c r="F98" s="18" t="s">
        <v>190</v>
      </c>
      <c r="G98" s="18" t="s">
        <v>190</v>
      </c>
      <c r="H98" s="18" t="s">
        <v>190</v>
      </c>
      <c r="I98" s="21" t="s">
        <v>190</v>
      </c>
      <c r="J98" s="21" t="s">
        <v>190</v>
      </c>
      <c r="K98" s="21">
        <v>7200</v>
      </c>
      <c r="L98" s="21">
        <v>7500</v>
      </c>
      <c r="M98" s="21">
        <v>9000</v>
      </c>
      <c r="N98" s="21">
        <v>7800</v>
      </c>
      <c r="O98" s="21">
        <v>10200</v>
      </c>
      <c r="P98" s="21">
        <v>7900</v>
      </c>
      <c r="Q98" s="21">
        <v>8600</v>
      </c>
      <c r="R98" s="21">
        <v>14400</v>
      </c>
      <c r="S98" s="18">
        <v>7700</v>
      </c>
      <c r="T98" s="31">
        <v>10200</v>
      </c>
      <c r="U98" s="83">
        <v>9100</v>
      </c>
      <c r="V98" s="117" t="s">
        <v>344</v>
      </c>
      <c r="W98" s="117" t="s">
        <v>344</v>
      </c>
    </row>
    <row r="99" spans="1:23" x14ac:dyDescent="0.2">
      <c r="A99" s="16" t="s">
        <v>182</v>
      </c>
      <c r="B99" s="16" t="s">
        <v>86</v>
      </c>
      <c r="C99" s="18" t="s">
        <v>190</v>
      </c>
      <c r="D99" s="18" t="s">
        <v>190</v>
      </c>
      <c r="E99" s="18" t="s">
        <v>190</v>
      </c>
      <c r="F99" s="18" t="s">
        <v>190</v>
      </c>
      <c r="G99" s="18" t="s">
        <v>190</v>
      </c>
      <c r="H99" s="18" t="s">
        <v>190</v>
      </c>
      <c r="I99" s="21" t="s">
        <v>190</v>
      </c>
      <c r="J99" s="21" t="s">
        <v>190</v>
      </c>
      <c r="K99" s="21">
        <v>2200</v>
      </c>
      <c r="L99" s="21">
        <v>2100</v>
      </c>
      <c r="M99" s="21">
        <v>1000</v>
      </c>
      <c r="N99" s="62" t="s">
        <v>208</v>
      </c>
      <c r="O99" s="21">
        <v>1000</v>
      </c>
      <c r="P99" s="21">
        <v>3400</v>
      </c>
      <c r="Q99" s="21">
        <v>1100</v>
      </c>
      <c r="R99" s="21">
        <v>2200</v>
      </c>
      <c r="S99" s="18">
        <v>1700</v>
      </c>
      <c r="T99" s="31">
        <v>1800</v>
      </c>
      <c r="U99" s="83">
        <v>1000</v>
      </c>
      <c r="V99" s="117" t="s">
        <v>344</v>
      </c>
      <c r="W99" s="117" t="s">
        <v>344</v>
      </c>
    </row>
    <row r="100" spans="1:23" x14ac:dyDescent="0.2">
      <c r="A100" s="16" t="s">
        <v>182</v>
      </c>
      <c r="B100" s="16" t="s">
        <v>87</v>
      </c>
      <c r="C100" s="18" t="s">
        <v>190</v>
      </c>
      <c r="D100" s="18" t="s">
        <v>190</v>
      </c>
      <c r="E100" s="18" t="s">
        <v>190</v>
      </c>
      <c r="F100" s="18" t="s">
        <v>190</v>
      </c>
      <c r="G100" s="18" t="s">
        <v>190</v>
      </c>
      <c r="H100" s="18" t="s">
        <v>190</v>
      </c>
      <c r="I100" s="21" t="s">
        <v>190</v>
      </c>
      <c r="J100" s="21" t="s">
        <v>190</v>
      </c>
      <c r="K100" s="21">
        <v>1400</v>
      </c>
      <c r="L100" s="21">
        <v>1300</v>
      </c>
      <c r="M100" s="21">
        <v>1100</v>
      </c>
      <c r="N100" s="21">
        <v>1800</v>
      </c>
      <c r="O100" s="21">
        <v>1400</v>
      </c>
      <c r="P100" s="21">
        <v>1700</v>
      </c>
      <c r="Q100" s="21">
        <v>1700</v>
      </c>
      <c r="R100" s="21">
        <v>800</v>
      </c>
      <c r="S100" s="18">
        <v>1600</v>
      </c>
      <c r="T100" s="31">
        <v>1200</v>
      </c>
      <c r="U100" s="83">
        <v>900</v>
      </c>
      <c r="V100" s="117" t="s">
        <v>344</v>
      </c>
      <c r="W100" s="117" t="s">
        <v>344</v>
      </c>
    </row>
    <row r="101" spans="1:23" x14ac:dyDescent="0.2">
      <c r="A101" s="16" t="s">
        <v>182</v>
      </c>
      <c r="B101" s="16" t="s">
        <v>88</v>
      </c>
      <c r="C101" s="18" t="s">
        <v>190</v>
      </c>
      <c r="D101" s="18" t="s">
        <v>190</v>
      </c>
      <c r="E101" s="18" t="s">
        <v>190</v>
      </c>
      <c r="F101" s="18" t="s">
        <v>190</v>
      </c>
      <c r="G101" s="18" t="s">
        <v>190</v>
      </c>
      <c r="H101" s="18" t="s">
        <v>190</v>
      </c>
      <c r="I101" s="21" t="s">
        <v>190</v>
      </c>
      <c r="J101" s="21" t="s">
        <v>190</v>
      </c>
      <c r="K101" s="21">
        <v>1500</v>
      </c>
      <c r="L101" s="21">
        <v>1300</v>
      </c>
      <c r="M101" s="21">
        <v>900</v>
      </c>
      <c r="N101" s="62" t="s">
        <v>192</v>
      </c>
      <c r="O101" s="21">
        <v>1300</v>
      </c>
      <c r="P101" s="21">
        <v>1000</v>
      </c>
      <c r="Q101" s="21">
        <v>2400</v>
      </c>
      <c r="R101" s="21">
        <v>900</v>
      </c>
      <c r="S101" s="18">
        <v>1100</v>
      </c>
      <c r="T101" s="31" t="s">
        <v>208</v>
      </c>
      <c r="U101" s="62" t="s">
        <v>208</v>
      </c>
      <c r="V101" s="117" t="s">
        <v>344</v>
      </c>
      <c r="W101" s="117" t="s">
        <v>344</v>
      </c>
    </row>
    <row r="102" spans="1:23" x14ac:dyDescent="0.2">
      <c r="A102" s="16" t="s">
        <v>182</v>
      </c>
      <c r="B102" s="16" t="s">
        <v>18</v>
      </c>
      <c r="C102" s="18" t="s">
        <v>190</v>
      </c>
      <c r="D102" s="18" t="s">
        <v>190</v>
      </c>
      <c r="E102" s="18" t="s">
        <v>190</v>
      </c>
      <c r="F102" s="18" t="s">
        <v>190</v>
      </c>
      <c r="G102" s="18" t="s">
        <v>190</v>
      </c>
      <c r="H102" s="18" t="s">
        <v>190</v>
      </c>
      <c r="I102" s="21" t="s">
        <v>190</v>
      </c>
      <c r="J102" s="21" t="s">
        <v>190</v>
      </c>
      <c r="K102" s="21">
        <v>1500</v>
      </c>
      <c r="L102" s="21">
        <v>1500</v>
      </c>
      <c r="M102" s="21">
        <v>1200</v>
      </c>
      <c r="N102" s="21">
        <v>1600</v>
      </c>
      <c r="O102" s="21">
        <v>1200</v>
      </c>
      <c r="P102" s="21">
        <v>1300</v>
      </c>
      <c r="Q102" s="21">
        <v>1900</v>
      </c>
      <c r="R102" s="21">
        <v>1500</v>
      </c>
      <c r="S102" s="18">
        <v>1500</v>
      </c>
      <c r="T102" s="31" t="s">
        <v>192</v>
      </c>
      <c r="U102" s="83">
        <v>1500</v>
      </c>
      <c r="V102" s="117" t="s">
        <v>344</v>
      </c>
      <c r="W102" s="117" t="s">
        <v>344</v>
      </c>
    </row>
    <row r="103" spans="1:23" x14ac:dyDescent="0.2">
      <c r="A103" s="16" t="s">
        <v>182</v>
      </c>
      <c r="B103" s="16" t="s">
        <v>89</v>
      </c>
      <c r="C103" s="18" t="s">
        <v>190</v>
      </c>
      <c r="D103" s="18" t="s">
        <v>190</v>
      </c>
      <c r="E103" s="18" t="s">
        <v>190</v>
      </c>
      <c r="F103" s="18" t="s">
        <v>190</v>
      </c>
      <c r="G103" s="18" t="s">
        <v>190</v>
      </c>
      <c r="H103" s="18" t="s">
        <v>190</v>
      </c>
      <c r="I103" s="21" t="s">
        <v>190</v>
      </c>
      <c r="J103" s="21" t="s">
        <v>190</v>
      </c>
      <c r="K103" s="21">
        <v>4500</v>
      </c>
      <c r="L103" s="21">
        <v>4400</v>
      </c>
      <c r="M103" s="21">
        <v>5100</v>
      </c>
      <c r="N103" s="21">
        <v>5200</v>
      </c>
      <c r="O103" s="21">
        <v>4500</v>
      </c>
      <c r="P103" s="21">
        <v>2500</v>
      </c>
      <c r="Q103" s="21">
        <v>4500</v>
      </c>
      <c r="R103" s="21">
        <v>3600</v>
      </c>
      <c r="S103" s="18">
        <v>5000</v>
      </c>
      <c r="T103" s="31">
        <v>3700</v>
      </c>
      <c r="U103" s="83">
        <v>4700</v>
      </c>
      <c r="V103" s="117" t="s">
        <v>344</v>
      </c>
      <c r="W103" s="117" t="s">
        <v>344</v>
      </c>
    </row>
    <row r="104" spans="1:23" x14ac:dyDescent="0.2">
      <c r="A104" s="16" t="s">
        <v>182</v>
      </c>
      <c r="B104" s="16" t="s">
        <v>90</v>
      </c>
      <c r="C104" s="18" t="s">
        <v>190</v>
      </c>
      <c r="D104" s="18" t="s">
        <v>190</v>
      </c>
      <c r="E104" s="18" t="s">
        <v>190</v>
      </c>
      <c r="F104" s="18" t="s">
        <v>190</v>
      </c>
      <c r="G104" s="18" t="s">
        <v>190</v>
      </c>
      <c r="H104" s="18" t="s">
        <v>190</v>
      </c>
      <c r="I104" s="21" t="s">
        <v>190</v>
      </c>
      <c r="J104" s="21" t="s">
        <v>190</v>
      </c>
      <c r="K104" s="21">
        <v>2300</v>
      </c>
      <c r="L104" s="21">
        <v>1700</v>
      </c>
      <c r="M104" s="21">
        <v>1700</v>
      </c>
      <c r="N104" s="21">
        <v>1500</v>
      </c>
      <c r="O104" s="21">
        <v>1500</v>
      </c>
      <c r="P104" s="21">
        <v>1400</v>
      </c>
      <c r="Q104" s="21">
        <v>1200</v>
      </c>
      <c r="R104" s="21">
        <v>1600</v>
      </c>
      <c r="S104" s="18">
        <v>1600</v>
      </c>
      <c r="T104" s="31">
        <v>1600</v>
      </c>
      <c r="U104" s="83">
        <v>700</v>
      </c>
      <c r="V104" s="117" t="s">
        <v>344</v>
      </c>
      <c r="W104" s="117" t="s">
        <v>344</v>
      </c>
    </row>
    <row r="105" spans="1:23" x14ac:dyDescent="0.2">
      <c r="A105" s="16" t="s">
        <v>182</v>
      </c>
      <c r="B105" s="16" t="s">
        <v>91</v>
      </c>
      <c r="C105" s="18" t="s">
        <v>190</v>
      </c>
      <c r="D105" s="18" t="s">
        <v>190</v>
      </c>
      <c r="E105" s="18" t="s">
        <v>190</v>
      </c>
      <c r="F105" s="18" t="s">
        <v>190</v>
      </c>
      <c r="G105" s="18" t="s">
        <v>190</v>
      </c>
      <c r="H105" s="18" t="s">
        <v>190</v>
      </c>
      <c r="I105" s="21" t="s">
        <v>190</v>
      </c>
      <c r="J105" s="21" t="s">
        <v>190</v>
      </c>
      <c r="K105" s="21">
        <v>1200</v>
      </c>
      <c r="L105" s="21">
        <v>1200</v>
      </c>
      <c r="M105" s="21">
        <v>700</v>
      </c>
      <c r="N105" s="21">
        <v>600</v>
      </c>
      <c r="O105" s="21">
        <v>1300</v>
      </c>
      <c r="P105" s="21">
        <v>1100</v>
      </c>
      <c r="Q105" s="21">
        <v>1500</v>
      </c>
      <c r="R105" s="21">
        <v>700</v>
      </c>
      <c r="S105" s="18">
        <v>1600</v>
      </c>
      <c r="T105" s="31" t="s">
        <v>208</v>
      </c>
      <c r="U105" s="83">
        <v>1800</v>
      </c>
      <c r="V105" s="117" t="s">
        <v>344</v>
      </c>
      <c r="W105" s="117" t="s">
        <v>344</v>
      </c>
    </row>
    <row r="106" spans="1:23" x14ac:dyDescent="0.2">
      <c r="A106" s="16" t="s">
        <v>182</v>
      </c>
      <c r="B106" s="16" t="s">
        <v>92</v>
      </c>
      <c r="C106" s="18" t="s">
        <v>190</v>
      </c>
      <c r="D106" s="18" t="s">
        <v>190</v>
      </c>
      <c r="E106" s="18" t="s">
        <v>190</v>
      </c>
      <c r="F106" s="18" t="s">
        <v>190</v>
      </c>
      <c r="G106" s="18" t="s">
        <v>190</v>
      </c>
      <c r="H106" s="18" t="s">
        <v>190</v>
      </c>
      <c r="I106" s="21" t="s">
        <v>190</v>
      </c>
      <c r="J106" s="21" t="s">
        <v>190</v>
      </c>
      <c r="K106" s="21">
        <v>2800</v>
      </c>
      <c r="L106" s="21">
        <v>1400</v>
      </c>
      <c r="M106" s="21">
        <v>2100</v>
      </c>
      <c r="N106" s="21">
        <v>2100</v>
      </c>
      <c r="O106" s="21">
        <v>2000</v>
      </c>
      <c r="P106" s="21">
        <v>2500</v>
      </c>
      <c r="Q106" s="21">
        <v>2500</v>
      </c>
      <c r="R106" s="21">
        <v>2300</v>
      </c>
      <c r="S106" s="18">
        <v>1200</v>
      </c>
      <c r="T106" s="31">
        <v>800</v>
      </c>
      <c r="U106" s="62" t="s">
        <v>208</v>
      </c>
      <c r="V106" s="117" t="s">
        <v>344</v>
      </c>
      <c r="W106" s="117" t="s">
        <v>344</v>
      </c>
    </row>
    <row r="107" spans="1:23" x14ac:dyDescent="0.2">
      <c r="A107" s="16" t="s">
        <v>182</v>
      </c>
      <c r="B107" s="16" t="s">
        <v>93</v>
      </c>
      <c r="C107" s="18" t="s">
        <v>190</v>
      </c>
      <c r="D107" s="18" t="s">
        <v>190</v>
      </c>
      <c r="E107" s="18" t="s">
        <v>190</v>
      </c>
      <c r="F107" s="18" t="s">
        <v>190</v>
      </c>
      <c r="G107" s="18" t="s">
        <v>190</v>
      </c>
      <c r="H107" s="18" t="s">
        <v>190</v>
      </c>
      <c r="I107" s="21" t="s">
        <v>190</v>
      </c>
      <c r="J107" s="21" t="s">
        <v>190</v>
      </c>
      <c r="K107" s="62" t="s">
        <v>192</v>
      </c>
      <c r="L107" s="21">
        <v>600</v>
      </c>
      <c r="M107" s="21">
        <v>1100</v>
      </c>
      <c r="N107" s="21">
        <v>1100</v>
      </c>
      <c r="O107" s="62" t="s">
        <v>192</v>
      </c>
      <c r="P107" s="62" t="s">
        <v>192</v>
      </c>
      <c r="Q107" s="62" t="s">
        <v>208</v>
      </c>
      <c r="R107" s="21">
        <v>600</v>
      </c>
      <c r="S107" s="18">
        <v>3100</v>
      </c>
      <c r="T107" s="31" t="s">
        <v>208</v>
      </c>
      <c r="U107" s="62" t="s">
        <v>208</v>
      </c>
      <c r="V107" s="117" t="s">
        <v>344</v>
      </c>
      <c r="W107" s="117" t="s">
        <v>344</v>
      </c>
    </row>
    <row r="108" spans="1:23" x14ac:dyDescent="0.2">
      <c r="A108" s="16" t="s">
        <v>182</v>
      </c>
      <c r="B108" s="16" t="s">
        <v>94</v>
      </c>
      <c r="C108" s="18" t="s">
        <v>190</v>
      </c>
      <c r="D108" s="18" t="s">
        <v>190</v>
      </c>
      <c r="E108" s="18" t="s">
        <v>190</v>
      </c>
      <c r="F108" s="18" t="s">
        <v>190</v>
      </c>
      <c r="G108" s="18" t="s">
        <v>190</v>
      </c>
      <c r="H108" s="18" t="s">
        <v>190</v>
      </c>
      <c r="I108" s="21" t="s">
        <v>190</v>
      </c>
      <c r="J108" s="21" t="s">
        <v>190</v>
      </c>
      <c r="K108" s="21">
        <v>1800</v>
      </c>
      <c r="L108" s="21">
        <v>2000</v>
      </c>
      <c r="M108" s="21">
        <v>1800</v>
      </c>
      <c r="N108" s="21">
        <v>2100</v>
      </c>
      <c r="O108" s="21">
        <v>2000</v>
      </c>
      <c r="P108" s="21">
        <v>1500</v>
      </c>
      <c r="Q108" s="21">
        <v>2200</v>
      </c>
      <c r="R108" s="21">
        <v>2000</v>
      </c>
      <c r="S108" s="18">
        <v>2500</v>
      </c>
      <c r="T108" s="31">
        <v>2100</v>
      </c>
      <c r="U108" s="83">
        <v>2800</v>
      </c>
      <c r="V108" s="117" t="s">
        <v>344</v>
      </c>
      <c r="W108" s="117" t="s">
        <v>344</v>
      </c>
    </row>
    <row r="109" spans="1:23" x14ac:dyDescent="0.2">
      <c r="A109" s="16" t="s">
        <v>182</v>
      </c>
      <c r="B109" s="16" t="s">
        <v>95</v>
      </c>
      <c r="C109" s="18" t="s">
        <v>190</v>
      </c>
      <c r="D109" s="18" t="s">
        <v>190</v>
      </c>
      <c r="E109" s="18" t="s">
        <v>190</v>
      </c>
      <c r="F109" s="18" t="s">
        <v>190</v>
      </c>
      <c r="G109" s="18" t="s">
        <v>190</v>
      </c>
      <c r="H109" s="18" t="s">
        <v>190</v>
      </c>
      <c r="I109" s="21" t="s">
        <v>190</v>
      </c>
      <c r="J109" s="21" t="s">
        <v>190</v>
      </c>
      <c r="K109" s="21">
        <v>1600</v>
      </c>
      <c r="L109" s="21">
        <v>900</v>
      </c>
      <c r="M109" s="21">
        <v>2400</v>
      </c>
      <c r="N109" s="21">
        <v>1200</v>
      </c>
      <c r="O109" s="21">
        <v>1200</v>
      </c>
      <c r="P109" s="21">
        <v>600</v>
      </c>
      <c r="Q109" s="21">
        <v>900</v>
      </c>
      <c r="R109" s="62" t="s">
        <v>192</v>
      </c>
      <c r="S109" s="62" t="s">
        <v>208</v>
      </c>
      <c r="T109" s="31" t="s">
        <v>208</v>
      </c>
      <c r="U109" s="62" t="s">
        <v>208</v>
      </c>
      <c r="V109" s="117" t="s">
        <v>344</v>
      </c>
      <c r="W109" s="117" t="s">
        <v>344</v>
      </c>
    </row>
    <row r="110" spans="1:23" ht="30" customHeight="1" x14ac:dyDescent="0.2">
      <c r="A110" s="17" t="s">
        <v>183</v>
      </c>
      <c r="B110" s="17" t="s">
        <v>112</v>
      </c>
      <c r="C110" s="18" t="s">
        <v>190</v>
      </c>
      <c r="D110" s="18" t="s">
        <v>190</v>
      </c>
      <c r="E110" s="18" t="s">
        <v>190</v>
      </c>
      <c r="F110" s="18" t="s">
        <v>190</v>
      </c>
      <c r="G110" s="18" t="s">
        <v>190</v>
      </c>
      <c r="H110" s="18" t="s">
        <v>190</v>
      </c>
      <c r="I110" s="18" t="s">
        <v>190</v>
      </c>
      <c r="J110" s="18" t="s">
        <v>190</v>
      </c>
      <c r="K110" s="18">
        <v>5700</v>
      </c>
      <c r="L110" s="18">
        <v>5900</v>
      </c>
      <c r="M110" s="18">
        <v>5500</v>
      </c>
      <c r="N110" s="18">
        <v>5300</v>
      </c>
      <c r="O110" s="18">
        <v>5800</v>
      </c>
      <c r="P110" s="18">
        <v>5900</v>
      </c>
      <c r="Q110" s="18">
        <v>6500</v>
      </c>
      <c r="R110" s="18">
        <v>6800</v>
      </c>
      <c r="S110" s="18">
        <v>5900</v>
      </c>
      <c r="T110" s="18">
        <v>4600</v>
      </c>
      <c r="U110" s="83">
        <v>4800</v>
      </c>
      <c r="V110" s="117" t="s">
        <v>344</v>
      </c>
      <c r="W110" s="117" t="s">
        <v>344</v>
      </c>
    </row>
    <row r="111" spans="1:23" x14ac:dyDescent="0.2">
      <c r="A111" s="16" t="s">
        <v>183</v>
      </c>
      <c r="B111" s="9" t="s">
        <v>113</v>
      </c>
      <c r="C111" s="18" t="s">
        <v>190</v>
      </c>
      <c r="D111" s="18" t="s">
        <v>190</v>
      </c>
      <c r="E111" s="18" t="s">
        <v>190</v>
      </c>
      <c r="F111" s="18" t="s">
        <v>190</v>
      </c>
      <c r="G111" s="18" t="s">
        <v>190</v>
      </c>
      <c r="H111" s="18" t="s">
        <v>190</v>
      </c>
      <c r="I111" s="21" t="s">
        <v>190</v>
      </c>
      <c r="J111" s="21" t="s">
        <v>190</v>
      </c>
      <c r="K111" s="21">
        <v>3800</v>
      </c>
      <c r="L111" s="21">
        <v>3400</v>
      </c>
      <c r="M111" s="21">
        <v>4200</v>
      </c>
      <c r="N111" s="21">
        <v>2900</v>
      </c>
      <c r="O111" s="21">
        <v>3600</v>
      </c>
      <c r="P111" s="21">
        <v>2700</v>
      </c>
      <c r="Q111" s="21">
        <v>2800</v>
      </c>
      <c r="R111" s="21">
        <v>1500</v>
      </c>
      <c r="S111" s="18">
        <v>3600</v>
      </c>
      <c r="T111" s="18">
        <v>1800</v>
      </c>
      <c r="U111" s="83">
        <v>2400</v>
      </c>
      <c r="V111" s="117" t="s">
        <v>344</v>
      </c>
      <c r="W111" s="117" t="s">
        <v>344</v>
      </c>
    </row>
    <row r="112" spans="1:23" x14ac:dyDescent="0.2">
      <c r="A112" s="16" t="s">
        <v>183</v>
      </c>
      <c r="B112" s="9" t="s">
        <v>114</v>
      </c>
      <c r="C112" s="18" t="s">
        <v>190</v>
      </c>
      <c r="D112" s="18" t="s">
        <v>190</v>
      </c>
      <c r="E112" s="18" t="s">
        <v>190</v>
      </c>
      <c r="F112" s="18" t="s">
        <v>190</v>
      </c>
      <c r="G112" s="18" t="s">
        <v>190</v>
      </c>
      <c r="H112" s="18" t="s">
        <v>190</v>
      </c>
      <c r="I112" s="21" t="s">
        <v>190</v>
      </c>
      <c r="J112" s="21" t="s">
        <v>190</v>
      </c>
      <c r="K112" s="21">
        <v>10600</v>
      </c>
      <c r="L112" s="21">
        <v>13100</v>
      </c>
      <c r="M112" s="21">
        <v>12500</v>
      </c>
      <c r="N112" s="21">
        <v>10700</v>
      </c>
      <c r="O112" s="21">
        <v>11700</v>
      </c>
      <c r="P112" s="21">
        <v>10200</v>
      </c>
      <c r="Q112" s="21">
        <v>9700</v>
      </c>
      <c r="R112" s="21">
        <v>11200</v>
      </c>
      <c r="S112" s="18">
        <v>12300</v>
      </c>
      <c r="T112" s="18">
        <v>11300</v>
      </c>
      <c r="U112" s="83">
        <v>11000</v>
      </c>
      <c r="V112" s="117" t="s">
        <v>344</v>
      </c>
      <c r="W112" s="117" t="s">
        <v>344</v>
      </c>
    </row>
    <row r="113" spans="1:23" x14ac:dyDescent="0.2">
      <c r="A113" s="16" t="s">
        <v>183</v>
      </c>
      <c r="B113" s="9" t="s">
        <v>115</v>
      </c>
      <c r="C113" s="18" t="s">
        <v>190</v>
      </c>
      <c r="D113" s="18" t="s">
        <v>190</v>
      </c>
      <c r="E113" s="18" t="s">
        <v>190</v>
      </c>
      <c r="F113" s="18" t="s">
        <v>190</v>
      </c>
      <c r="G113" s="18" t="s">
        <v>190</v>
      </c>
      <c r="H113" s="18" t="s">
        <v>190</v>
      </c>
      <c r="I113" s="21" t="s">
        <v>190</v>
      </c>
      <c r="J113" s="21" t="s">
        <v>190</v>
      </c>
      <c r="K113" s="21">
        <v>3700</v>
      </c>
      <c r="L113" s="21">
        <v>3600</v>
      </c>
      <c r="M113" s="21">
        <v>2800</v>
      </c>
      <c r="N113" s="21">
        <v>2200</v>
      </c>
      <c r="O113" s="21">
        <v>3600</v>
      </c>
      <c r="P113" s="21">
        <v>2900</v>
      </c>
      <c r="Q113" s="21">
        <v>4200</v>
      </c>
      <c r="R113" s="21">
        <v>3400</v>
      </c>
      <c r="S113" s="18">
        <v>5100</v>
      </c>
      <c r="T113" s="18">
        <v>3100</v>
      </c>
      <c r="U113" s="83">
        <v>4200</v>
      </c>
      <c r="V113" s="117" t="s">
        <v>344</v>
      </c>
      <c r="W113" s="117" t="s">
        <v>344</v>
      </c>
    </row>
    <row r="114" spans="1:23" x14ac:dyDescent="0.2">
      <c r="A114" s="16" t="s">
        <v>183</v>
      </c>
      <c r="B114" s="9" t="s">
        <v>13</v>
      </c>
      <c r="C114" s="18" t="s">
        <v>190</v>
      </c>
      <c r="D114" s="18" t="s">
        <v>190</v>
      </c>
      <c r="E114" s="18" t="s">
        <v>190</v>
      </c>
      <c r="F114" s="18" t="s">
        <v>190</v>
      </c>
      <c r="G114" s="18" t="s">
        <v>190</v>
      </c>
      <c r="H114" s="18" t="s">
        <v>190</v>
      </c>
      <c r="I114" s="21" t="s">
        <v>190</v>
      </c>
      <c r="J114" s="21" t="s">
        <v>190</v>
      </c>
      <c r="K114" s="21">
        <v>5900</v>
      </c>
      <c r="L114" s="21">
        <v>5600</v>
      </c>
      <c r="M114" s="21">
        <v>5500</v>
      </c>
      <c r="N114" s="21">
        <v>5300</v>
      </c>
      <c r="O114" s="21">
        <v>6900</v>
      </c>
      <c r="P114" s="21">
        <v>7000</v>
      </c>
      <c r="Q114" s="21">
        <v>8000</v>
      </c>
      <c r="R114" s="21">
        <v>6900</v>
      </c>
      <c r="S114" s="18">
        <v>5800</v>
      </c>
      <c r="T114" s="18">
        <v>6500</v>
      </c>
      <c r="U114" s="83">
        <v>6400</v>
      </c>
      <c r="V114" s="117" t="s">
        <v>344</v>
      </c>
      <c r="W114" s="117" t="s">
        <v>344</v>
      </c>
    </row>
    <row r="115" spans="1:23" x14ac:dyDescent="0.2">
      <c r="A115" s="16" t="s">
        <v>183</v>
      </c>
      <c r="B115" s="9" t="s">
        <v>116</v>
      </c>
      <c r="C115" s="18" t="s">
        <v>190</v>
      </c>
      <c r="D115" s="18" t="s">
        <v>190</v>
      </c>
      <c r="E115" s="18" t="s">
        <v>190</v>
      </c>
      <c r="F115" s="18" t="s">
        <v>190</v>
      </c>
      <c r="G115" s="18" t="s">
        <v>190</v>
      </c>
      <c r="H115" s="18" t="s">
        <v>190</v>
      </c>
      <c r="I115" s="21" t="s">
        <v>190</v>
      </c>
      <c r="J115" s="21" t="s">
        <v>190</v>
      </c>
      <c r="K115" s="21">
        <v>1900</v>
      </c>
      <c r="L115" s="21">
        <v>2300</v>
      </c>
      <c r="M115" s="21">
        <v>2200</v>
      </c>
      <c r="N115" s="21">
        <v>2100</v>
      </c>
      <c r="O115" s="21">
        <v>2000</v>
      </c>
      <c r="P115" s="21">
        <v>2700</v>
      </c>
      <c r="Q115" s="21">
        <v>1900</v>
      </c>
      <c r="R115" s="21">
        <v>1900</v>
      </c>
      <c r="S115" s="18">
        <v>1800</v>
      </c>
      <c r="T115" s="18" t="s">
        <v>296</v>
      </c>
      <c r="U115" s="83">
        <v>1300</v>
      </c>
      <c r="V115" s="117" t="s">
        <v>344</v>
      </c>
      <c r="W115" s="117" t="s">
        <v>344</v>
      </c>
    </row>
    <row r="116" spans="1:23" x14ac:dyDescent="0.2">
      <c r="A116" s="16" t="s">
        <v>183</v>
      </c>
      <c r="B116" s="9" t="s">
        <v>117</v>
      </c>
      <c r="C116" s="18" t="s">
        <v>190</v>
      </c>
      <c r="D116" s="18" t="s">
        <v>190</v>
      </c>
      <c r="E116" s="18" t="s">
        <v>190</v>
      </c>
      <c r="F116" s="18" t="s">
        <v>190</v>
      </c>
      <c r="G116" s="18" t="s">
        <v>190</v>
      </c>
      <c r="H116" s="18" t="s">
        <v>190</v>
      </c>
      <c r="I116" s="21" t="s">
        <v>190</v>
      </c>
      <c r="J116" s="21" t="s">
        <v>190</v>
      </c>
      <c r="K116" s="21">
        <v>1800</v>
      </c>
      <c r="L116" s="21">
        <v>2000</v>
      </c>
      <c r="M116" s="21">
        <v>1800</v>
      </c>
      <c r="N116" s="21">
        <v>2100</v>
      </c>
      <c r="O116" s="21">
        <v>2000</v>
      </c>
      <c r="P116" s="21">
        <v>1500</v>
      </c>
      <c r="Q116" s="21">
        <v>2200</v>
      </c>
      <c r="R116" s="21">
        <v>2000</v>
      </c>
      <c r="S116" s="18">
        <v>2500</v>
      </c>
      <c r="T116" s="18">
        <v>2100</v>
      </c>
      <c r="U116" s="83">
        <v>2800</v>
      </c>
      <c r="V116" s="117" t="s">
        <v>344</v>
      </c>
      <c r="W116" s="117" t="s">
        <v>344</v>
      </c>
    </row>
    <row r="117" spans="1:23" x14ac:dyDescent="0.2">
      <c r="A117" s="16" t="s">
        <v>183</v>
      </c>
      <c r="B117" s="9" t="s">
        <v>118</v>
      </c>
      <c r="C117" s="18" t="s">
        <v>190</v>
      </c>
      <c r="D117" s="18" t="s">
        <v>190</v>
      </c>
      <c r="E117" s="18" t="s">
        <v>190</v>
      </c>
      <c r="F117" s="18" t="s">
        <v>190</v>
      </c>
      <c r="G117" s="18" t="s">
        <v>190</v>
      </c>
      <c r="H117" s="18" t="s">
        <v>190</v>
      </c>
      <c r="I117" s="21" t="s">
        <v>190</v>
      </c>
      <c r="J117" s="21" t="s">
        <v>190</v>
      </c>
      <c r="K117" s="21">
        <v>1500</v>
      </c>
      <c r="L117" s="21">
        <v>1500</v>
      </c>
      <c r="M117" s="21">
        <v>1200</v>
      </c>
      <c r="N117" s="21">
        <v>1600</v>
      </c>
      <c r="O117" s="21">
        <v>1200</v>
      </c>
      <c r="P117" s="21">
        <v>1300</v>
      </c>
      <c r="Q117" s="21">
        <v>1900</v>
      </c>
      <c r="R117" s="21">
        <v>1500</v>
      </c>
      <c r="S117" s="18">
        <v>1500</v>
      </c>
      <c r="T117" s="18" t="s">
        <v>192</v>
      </c>
      <c r="U117" s="83">
        <v>1500</v>
      </c>
      <c r="V117" s="117" t="s">
        <v>344</v>
      </c>
      <c r="W117" s="117" t="s">
        <v>344</v>
      </c>
    </row>
    <row r="118" spans="1:23" x14ac:dyDescent="0.2">
      <c r="A118" s="16" t="s">
        <v>183</v>
      </c>
      <c r="B118" s="9" t="s">
        <v>184</v>
      </c>
      <c r="C118" s="18" t="s">
        <v>190</v>
      </c>
      <c r="D118" s="18" t="s">
        <v>190</v>
      </c>
      <c r="E118" s="18" t="s">
        <v>190</v>
      </c>
      <c r="F118" s="18" t="s">
        <v>190</v>
      </c>
      <c r="G118" s="18" t="s">
        <v>190</v>
      </c>
      <c r="H118" s="18" t="s">
        <v>190</v>
      </c>
      <c r="I118" s="21" t="s">
        <v>190</v>
      </c>
      <c r="J118" s="21" t="s">
        <v>190</v>
      </c>
      <c r="K118" s="21">
        <v>34900</v>
      </c>
      <c r="L118" s="21">
        <v>37300</v>
      </c>
      <c r="M118" s="21">
        <v>35700</v>
      </c>
      <c r="N118" s="21">
        <v>32200</v>
      </c>
      <c r="O118" s="21">
        <v>36700</v>
      </c>
      <c r="P118" s="21">
        <v>34200</v>
      </c>
      <c r="Q118" s="21">
        <v>37200</v>
      </c>
      <c r="R118" s="21">
        <v>35300</v>
      </c>
      <c r="S118" s="21">
        <v>38400</v>
      </c>
      <c r="T118" s="18">
        <v>31700</v>
      </c>
      <c r="U118" s="83">
        <v>34300</v>
      </c>
      <c r="V118" s="117" t="s">
        <v>344</v>
      </c>
      <c r="W118" s="117" t="s">
        <v>344</v>
      </c>
    </row>
    <row r="119" spans="1:23" ht="30" customHeight="1" x14ac:dyDescent="0.2">
      <c r="A119" s="17" t="s">
        <v>185</v>
      </c>
      <c r="B119" s="17" t="s">
        <v>111</v>
      </c>
      <c r="C119" s="18" t="s">
        <v>190</v>
      </c>
      <c r="D119" s="18" t="s">
        <v>190</v>
      </c>
      <c r="E119" s="18" t="s">
        <v>190</v>
      </c>
      <c r="F119" s="18" t="s">
        <v>190</v>
      </c>
      <c r="G119" s="18" t="s">
        <v>190</v>
      </c>
      <c r="H119" s="18" t="s">
        <v>190</v>
      </c>
      <c r="I119" s="18" t="s">
        <v>190</v>
      </c>
      <c r="J119" s="18" t="s">
        <v>190</v>
      </c>
      <c r="K119" s="21" t="s">
        <v>194</v>
      </c>
      <c r="L119" s="21" t="s">
        <v>208</v>
      </c>
      <c r="M119" s="21" t="s">
        <v>208</v>
      </c>
      <c r="N119" s="21" t="s">
        <v>208</v>
      </c>
      <c r="O119" s="21" t="s">
        <v>208</v>
      </c>
      <c r="P119" s="18">
        <v>2200</v>
      </c>
      <c r="Q119" s="18">
        <v>2800</v>
      </c>
      <c r="R119" s="18">
        <v>2500</v>
      </c>
      <c r="S119" s="21" t="s">
        <v>208</v>
      </c>
      <c r="T119" s="18" t="s">
        <v>208</v>
      </c>
      <c r="U119" s="83">
        <v>4800</v>
      </c>
      <c r="V119" s="117" t="s">
        <v>344</v>
      </c>
      <c r="W119" s="117" t="s">
        <v>344</v>
      </c>
    </row>
    <row r="120" spans="1:23" x14ac:dyDescent="0.2">
      <c r="A120" s="17" t="s">
        <v>185</v>
      </c>
      <c r="B120" s="9" t="s">
        <v>186</v>
      </c>
      <c r="C120" s="18" t="s">
        <v>190</v>
      </c>
      <c r="D120" s="18" t="s">
        <v>190</v>
      </c>
      <c r="E120" s="18" t="s">
        <v>190</v>
      </c>
      <c r="F120" s="18" t="s">
        <v>190</v>
      </c>
      <c r="G120" s="18" t="s">
        <v>190</v>
      </c>
      <c r="H120" s="18" t="s">
        <v>190</v>
      </c>
      <c r="I120" s="21" t="s">
        <v>190</v>
      </c>
      <c r="J120" s="21" t="s">
        <v>190</v>
      </c>
      <c r="K120" s="21">
        <v>15500</v>
      </c>
      <c r="L120" s="21">
        <v>9200</v>
      </c>
      <c r="M120" s="21">
        <v>13600</v>
      </c>
      <c r="N120" s="21">
        <v>14600</v>
      </c>
      <c r="O120" s="21">
        <v>14700</v>
      </c>
      <c r="P120" s="21">
        <v>17100</v>
      </c>
      <c r="Q120" s="21">
        <v>15400</v>
      </c>
      <c r="R120" s="21">
        <v>14900</v>
      </c>
      <c r="S120" s="18">
        <v>16500</v>
      </c>
      <c r="T120" s="18">
        <v>17500</v>
      </c>
      <c r="U120" s="83">
        <v>15800</v>
      </c>
      <c r="V120" s="117" t="s">
        <v>344</v>
      </c>
      <c r="W120" s="117" t="s">
        <v>344</v>
      </c>
    </row>
    <row r="121" spans="1:23" x14ac:dyDescent="0.2">
      <c r="A121" s="17" t="s">
        <v>185</v>
      </c>
      <c r="B121" s="9" t="s">
        <v>151</v>
      </c>
      <c r="C121" s="18" t="s">
        <v>190</v>
      </c>
      <c r="D121" s="18" t="s">
        <v>190</v>
      </c>
      <c r="E121" s="18" t="s">
        <v>190</v>
      </c>
      <c r="F121" s="18" t="s">
        <v>190</v>
      </c>
      <c r="G121" s="18" t="s">
        <v>190</v>
      </c>
      <c r="H121" s="18" t="s">
        <v>190</v>
      </c>
      <c r="I121" s="21" t="s">
        <v>190</v>
      </c>
      <c r="J121" s="21" t="s">
        <v>190</v>
      </c>
      <c r="K121" s="21">
        <v>31100</v>
      </c>
      <c r="L121" s="21">
        <v>21600</v>
      </c>
      <c r="M121" s="21">
        <v>30100</v>
      </c>
      <c r="N121" s="21">
        <v>32500</v>
      </c>
      <c r="O121" s="21">
        <v>29100</v>
      </c>
      <c r="P121" s="21">
        <v>39600</v>
      </c>
      <c r="Q121" s="21">
        <v>34100</v>
      </c>
      <c r="R121" s="21">
        <v>25900</v>
      </c>
      <c r="S121" s="21">
        <v>30000</v>
      </c>
      <c r="T121" s="18">
        <v>30000</v>
      </c>
      <c r="U121" s="83">
        <v>34500</v>
      </c>
      <c r="V121" s="117" t="s">
        <v>344</v>
      </c>
      <c r="W121" s="117" t="s">
        <v>344</v>
      </c>
    </row>
    <row r="122" spans="1:23" ht="36" customHeight="1" x14ac:dyDescent="0.2">
      <c r="A122" s="91" t="s">
        <v>270</v>
      </c>
      <c r="B122" s="92" t="s">
        <v>271</v>
      </c>
      <c r="C122" s="18" t="s">
        <v>190</v>
      </c>
      <c r="D122" s="18" t="s">
        <v>190</v>
      </c>
      <c r="E122" s="18" t="s">
        <v>190</v>
      </c>
      <c r="F122" s="18" t="s">
        <v>190</v>
      </c>
      <c r="G122" s="18" t="s">
        <v>190</v>
      </c>
      <c r="H122" s="18" t="s">
        <v>190</v>
      </c>
      <c r="I122" s="21" t="s">
        <v>190</v>
      </c>
      <c r="J122" s="21" t="s">
        <v>190</v>
      </c>
      <c r="K122" s="21">
        <v>1000</v>
      </c>
      <c r="L122" s="21">
        <v>900</v>
      </c>
      <c r="M122" s="21">
        <v>600</v>
      </c>
      <c r="N122" s="21">
        <v>900</v>
      </c>
      <c r="O122" s="21">
        <v>1300</v>
      </c>
      <c r="P122" s="21">
        <v>1100</v>
      </c>
      <c r="Q122" s="21">
        <v>1300</v>
      </c>
      <c r="R122" s="21">
        <v>1100</v>
      </c>
      <c r="S122" s="21">
        <v>900</v>
      </c>
      <c r="T122" s="18">
        <v>1300</v>
      </c>
      <c r="U122" s="21">
        <v>1200</v>
      </c>
      <c r="V122" s="117" t="s">
        <v>344</v>
      </c>
      <c r="W122" s="117" t="s">
        <v>344</v>
      </c>
    </row>
    <row r="123" spans="1:23" x14ac:dyDescent="0.2">
      <c r="A123" s="91" t="s">
        <v>270</v>
      </c>
      <c r="B123" s="92" t="s">
        <v>272</v>
      </c>
      <c r="C123" s="18" t="s">
        <v>190</v>
      </c>
      <c r="D123" s="18" t="s">
        <v>190</v>
      </c>
      <c r="E123" s="18" t="s">
        <v>190</v>
      </c>
      <c r="F123" s="18" t="s">
        <v>190</v>
      </c>
      <c r="G123" s="18" t="s">
        <v>190</v>
      </c>
      <c r="H123" s="18" t="s">
        <v>190</v>
      </c>
      <c r="I123" s="21" t="s">
        <v>190</v>
      </c>
      <c r="J123" s="21" t="s">
        <v>190</v>
      </c>
      <c r="K123" s="21">
        <v>500</v>
      </c>
      <c r="L123" s="21" t="s">
        <v>192</v>
      </c>
      <c r="M123" s="21" t="s">
        <v>192</v>
      </c>
      <c r="N123" s="21" t="s">
        <v>192</v>
      </c>
      <c r="O123" s="21">
        <v>600</v>
      </c>
      <c r="P123" s="21">
        <v>600</v>
      </c>
      <c r="Q123" s="21">
        <v>600</v>
      </c>
      <c r="R123" s="21">
        <v>600</v>
      </c>
      <c r="S123" s="21">
        <v>600</v>
      </c>
      <c r="T123" s="18">
        <v>700</v>
      </c>
      <c r="U123" s="21">
        <v>600</v>
      </c>
      <c r="V123" s="117" t="s">
        <v>344</v>
      </c>
      <c r="W123" s="117" t="s">
        <v>344</v>
      </c>
    </row>
    <row r="124" spans="1:23" x14ac:dyDescent="0.2">
      <c r="A124" s="91" t="s">
        <v>270</v>
      </c>
      <c r="B124" s="92" t="s">
        <v>273</v>
      </c>
      <c r="C124" s="18" t="s">
        <v>190</v>
      </c>
      <c r="D124" s="18" t="s">
        <v>190</v>
      </c>
      <c r="E124" s="18" t="s">
        <v>190</v>
      </c>
      <c r="F124" s="18" t="s">
        <v>190</v>
      </c>
      <c r="G124" s="18" t="s">
        <v>190</v>
      </c>
      <c r="H124" s="18" t="s">
        <v>190</v>
      </c>
      <c r="I124" s="21" t="s">
        <v>190</v>
      </c>
      <c r="J124" s="21" t="s">
        <v>190</v>
      </c>
      <c r="K124" s="21">
        <v>1500</v>
      </c>
      <c r="L124" s="21">
        <v>1800</v>
      </c>
      <c r="M124" s="21">
        <v>1000</v>
      </c>
      <c r="N124" s="21">
        <v>600</v>
      </c>
      <c r="O124" s="21">
        <v>1600</v>
      </c>
      <c r="P124" s="21">
        <v>1300</v>
      </c>
      <c r="Q124" s="21">
        <v>3000</v>
      </c>
      <c r="R124" s="21">
        <v>1000</v>
      </c>
      <c r="S124" s="21">
        <v>1300</v>
      </c>
      <c r="T124" s="18">
        <v>900</v>
      </c>
      <c r="U124" s="21" t="s">
        <v>208</v>
      </c>
      <c r="V124" s="117" t="s">
        <v>344</v>
      </c>
      <c r="W124" s="117" t="s">
        <v>344</v>
      </c>
    </row>
    <row r="125" spans="1:23" x14ac:dyDescent="0.2">
      <c r="A125" s="91" t="s">
        <v>270</v>
      </c>
      <c r="B125" s="92" t="s">
        <v>274</v>
      </c>
      <c r="C125" s="18" t="s">
        <v>190</v>
      </c>
      <c r="D125" s="18" t="s">
        <v>190</v>
      </c>
      <c r="E125" s="18" t="s">
        <v>190</v>
      </c>
      <c r="F125" s="18" t="s">
        <v>190</v>
      </c>
      <c r="G125" s="18" t="s">
        <v>190</v>
      </c>
      <c r="H125" s="18" t="s">
        <v>190</v>
      </c>
      <c r="I125" s="21" t="s">
        <v>190</v>
      </c>
      <c r="J125" s="21" t="s">
        <v>190</v>
      </c>
      <c r="K125" s="21">
        <v>1300</v>
      </c>
      <c r="L125" s="62" t="s">
        <v>296</v>
      </c>
      <c r="M125" s="62" t="s">
        <v>296</v>
      </c>
      <c r="N125" s="62" t="s">
        <v>296</v>
      </c>
      <c r="O125" s="21">
        <v>1400</v>
      </c>
      <c r="P125" s="62" t="s">
        <v>296</v>
      </c>
      <c r="Q125" s="21">
        <v>1300</v>
      </c>
      <c r="R125" s="21">
        <v>1400</v>
      </c>
      <c r="S125" s="21">
        <v>1800</v>
      </c>
      <c r="T125" s="18">
        <v>1500</v>
      </c>
      <c r="U125" s="21">
        <v>1500</v>
      </c>
      <c r="V125" s="117" t="s">
        <v>344</v>
      </c>
      <c r="W125" s="117" t="s">
        <v>344</v>
      </c>
    </row>
    <row r="126" spans="1:23" x14ac:dyDescent="0.2">
      <c r="A126" s="91" t="s">
        <v>270</v>
      </c>
      <c r="B126" s="92" t="s">
        <v>275</v>
      </c>
      <c r="C126" s="18" t="s">
        <v>190</v>
      </c>
      <c r="D126" s="18" t="s">
        <v>190</v>
      </c>
      <c r="E126" s="18" t="s">
        <v>190</v>
      </c>
      <c r="F126" s="18" t="s">
        <v>190</v>
      </c>
      <c r="G126" s="18" t="s">
        <v>190</v>
      </c>
      <c r="H126" s="18" t="s">
        <v>190</v>
      </c>
      <c r="I126" s="21" t="s">
        <v>190</v>
      </c>
      <c r="J126" s="21" t="s">
        <v>190</v>
      </c>
      <c r="K126" s="62" t="s">
        <v>296</v>
      </c>
      <c r="L126" s="21">
        <v>1700</v>
      </c>
      <c r="M126" s="62" t="s">
        <v>296</v>
      </c>
      <c r="N126" s="21">
        <v>1500</v>
      </c>
      <c r="O126" s="62" t="s">
        <v>296</v>
      </c>
      <c r="P126" s="62" t="s">
        <v>296</v>
      </c>
      <c r="Q126" s="62" t="s">
        <v>296</v>
      </c>
      <c r="R126" s="62" t="s">
        <v>296</v>
      </c>
      <c r="S126" s="62" t="s">
        <v>296</v>
      </c>
      <c r="T126" s="18" t="s">
        <v>296</v>
      </c>
      <c r="U126" s="62" t="s">
        <v>296</v>
      </c>
      <c r="V126" s="117" t="s">
        <v>344</v>
      </c>
      <c r="W126" s="117" t="s">
        <v>344</v>
      </c>
    </row>
    <row r="127" spans="1:23" x14ac:dyDescent="0.2">
      <c r="A127" s="91" t="s">
        <v>270</v>
      </c>
      <c r="B127" s="92" t="s">
        <v>276</v>
      </c>
      <c r="C127" s="18" t="s">
        <v>190</v>
      </c>
      <c r="D127" s="18" t="s">
        <v>190</v>
      </c>
      <c r="E127" s="18" t="s">
        <v>190</v>
      </c>
      <c r="F127" s="18" t="s">
        <v>190</v>
      </c>
      <c r="G127" s="18" t="s">
        <v>190</v>
      </c>
      <c r="H127" s="18" t="s">
        <v>190</v>
      </c>
      <c r="I127" s="21" t="s">
        <v>190</v>
      </c>
      <c r="J127" s="21" t="s">
        <v>190</v>
      </c>
      <c r="K127" s="21" t="s">
        <v>192</v>
      </c>
      <c r="L127" s="21">
        <v>500</v>
      </c>
      <c r="M127" s="21" t="s">
        <v>192</v>
      </c>
      <c r="N127" s="21">
        <v>600</v>
      </c>
      <c r="O127" s="21" t="s">
        <v>192</v>
      </c>
      <c r="P127" s="21" t="s">
        <v>192</v>
      </c>
      <c r="Q127" s="21" t="s">
        <v>208</v>
      </c>
      <c r="R127" s="21" t="s">
        <v>192</v>
      </c>
      <c r="S127" s="21" t="s">
        <v>208</v>
      </c>
      <c r="T127" s="18" t="s">
        <v>208</v>
      </c>
      <c r="U127" s="21" t="s">
        <v>208</v>
      </c>
      <c r="V127" s="117" t="s">
        <v>344</v>
      </c>
      <c r="W127" s="117" t="s">
        <v>344</v>
      </c>
    </row>
    <row r="128" spans="1:23" x14ac:dyDescent="0.2">
      <c r="A128" s="91" t="s">
        <v>270</v>
      </c>
      <c r="B128" s="92" t="s">
        <v>277</v>
      </c>
      <c r="C128" s="18" t="s">
        <v>190</v>
      </c>
      <c r="D128" s="18" t="s">
        <v>190</v>
      </c>
      <c r="E128" s="18" t="s">
        <v>190</v>
      </c>
      <c r="F128" s="18" t="s">
        <v>190</v>
      </c>
      <c r="G128" s="18" t="s">
        <v>190</v>
      </c>
      <c r="H128" s="18" t="s">
        <v>190</v>
      </c>
      <c r="I128" s="21" t="s">
        <v>190</v>
      </c>
      <c r="J128" s="21" t="s">
        <v>190</v>
      </c>
      <c r="K128" s="62" t="s">
        <v>296</v>
      </c>
      <c r="L128" s="62" t="s">
        <v>296</v>
      </c>
      <c r="M128" s="62" t="s">
        <v>296</v>
      </c>
      <c r="N128" s="62" t="s">
        <v>296</v>
      </c>
      <c r="O128" s="62" t="s">
        <v>296</v>
      </c>
      <c r="P128" s="62" t="s">
        <v>296</v>
      </c>
      <c r="Q128" s="21">
        <v>1300</v>
      </c>
      <c r="R128" s="62" t="s">
        <v>296</v>
      </c>
      <c r="S128" s="62" t="s">
        <v>296</v>
      </c>
      <c r="T128" s="18" t="s">
        <v>192</v>
      </c>
      <c r="U128" s="62" t="s">
        <v>296</v>
      </c>
      <c r="V128" s="117" t="s">
        <v>344</v>
      </c>
      <c r="W128" s="117" t="s">
        <v>344</v>
      </c>
    </row>
    <row r="129" spans="1:23" x14ac:dyDescent="0.2">
      <c r="A129" s="91" t="s">
        <v>270</v>
      </c>
      <c r="B129" s="92" t="s">
        <v>278</v>
      </c>
      <c r="C129" s="18" t="s">
        <v>190</v>
      </c>
      <c r="D129" s="18" t="s">
        <v>190</v>
      </c>
      <c r="E129" s="18" t="s">
        <v>190</v>
      </c>
      <c r="F129" s="18" t="s">
        <v>190</v>
      </c>
      <c r="G129" s="18" t="s">
        <v>190</v>
      </c>
      <c r="H129" s="18" t="s">
        <v>190</v>
      </c>
      <c r="I129" s="21" t="s">
        <v>190</v>
      </c>
      <c r="J129" s="21" t="s">
        <v>190</v>
      </c>
      <c r="K129" s="21" t="s">
        <v>192</v>
      </c>
      <c r="L129" s="21" t="s">
        <v>192</v>
      </c>
      <c r="M129" s="21" t="s">
        <v>208</v>
      </c>
      <c r="N129" s="21" t="s">
        <v>208</v>
      </c>
      <c r="O129" s="21" t="s">
        <v>208</v>
      </c>
      <c r="P129" s="21" t="s">
        <v>208</v>
      </c>
      <c r="Q129" s="21">
        <v>600</v>
      </c>
      <c r="R129" s="21" t="s">
        <v>208</v>
      </c>
      <c r="S129" s="21" t="s">
        <v>208</v>
      </c>
      <c r="T129" s="18" t="s">
        <v>208</v>
      </c>
      <c r="U129" s="21" t="s">
        <v>208</v>
      </c>
      <c r="V129" s="117" t="s">
        <v>344</v>
      </c>
      <c r="W129" s="117" t="s">
        <v>344</v>
      </c>
    </row>
    <row r="130" spans="1:23" x14ac:dyDescent="0.2">
      <c r="A130" s="91" t="s">
        <v>270</v>
      </c>
      <c r="B130" s="92" t="s">
        <v>279</v>
      </c>
      <c r="C130" s="18" t="s">
        <v>190</v>
      </c>
      <c r="D130" s="18" t="s">
        <v>190</v>
      </c>
      <c r="E130" s="18" t="s">
        <v>190</v>
      </c>
      <c r="F130" s="18" t="s">
        <v>190</v>
      </c>
      <c r="G130" s="18" t="s">
        <v>190</v>
      </c>
      <c r="H130" s="18" t="s">
        <v>190</v>
      </c>
      <c r="I130" s="21" t="s">
        <v>190</v>
      </c>
      <c r="J130" s="21" t="s">
        <v>190</v>
      </c>
      <c r="K130" s="21">
        <v>500</v>
      </c>
      <c r="L130" s="21" t="s">
        <v>192</v>
      </c>
      <c r="M130" s="21" t="s">
        <v>192</v>
      </c>
      <c r="N130" s="21" t="s">
        <v>192</v>
      </c>
      <c r="O130" s="21">
        <v>600</v>
      </c>
      <c r="P130" s="21" t="s">
        <v>192</v>
      </c>
      <c r="Q130" s="21">
        <v>900</v>
      </c>
      <c r="R130" s="21">
        <v>600</v>
      </c>
      <c r="S130" s="21">
        <v>700</v>
      </c>
      <c r="T130" s="18">
        <v>700</v>
      </c>
      <c r="U130" s="21">
        <v>1300</v>
      </c>
      <c r="V130" s="117" t="s">
        <v>344</v>
      </c>
      <c r="W130" s="117" t="s">
        <v>344</v>
      </c>
    </row>
    <row r="131" spans="1:23" ht="33.6" customHeight="1" x14ac:dyDescent="0.2">
      <c r="A131" s="82" t="s">
        <v>263</v>
      </c>
      <c r="B131" s="9" t="s">
        <v>280</v>
      </c>
      <c r="C131" s="18" t="s">
        <v>190</v>
      </c>
      <c r="D131" s="18" t="s">
        <v>190</v>
      </c>
      <c r="E131" s="18" t="s">
        <v>190</v>
      </c>
      <c r="F131" s="18" t="s">
        <v>190</v>
      </c>
      <c r="G131" s="18" t="s">
        <v>190</v>
      </c>
      <c r="H131" s="18" t="s">
        <v>190</v>
      </c>
      <c r="I131" s="21" t="s">
        <v>190</v>
      </c>
      <c r="J131" s="21" t="s">
        <v>190</v>
      </c>
      <c r="K131" s="21">
        <v>28300</v>
      </c>
      <c r="L131" s="21">
        <v>27800</v>
      </c>
      <c r="M131" s="21">
        <v>28500</v>
      </c>
      <c r="N131" s="21">
        <v>30600</v>
      </c>
      <c r="O131" s="21">
        <v>34900</v>
      </c>
      <c r="P131" s="21">
        <v>34000</v>
      </c>
      <c r="Q131" s="21">
        <v>34900</v>
      </c>
      <c r="R131" s="21">
        <v>37000</v>
      </c>
      <c r="S131" s="21">
        <v>34400</v>
      </c>
      <c r="T131" s="18">
        <v>41700</v>
      </c>
      <c r="U131" s="21">
        <v>33100</v>
      </c>
      <c r="V131" s="117" t="s">
        <v>344</v>
      </c>
      <c r="W131" s="117" t="s">
        <v>344</v>
      </c>
    </row>
    <row r="132" spans="1:23" x14ac:dyDescent="0.2">
      <c r="A132" s="82" t="s">
        <v>263</v>
      </c>
      <c r="B132" s="92" t="s">
        <v>264</v>
      </c>
      <c r="C132" s="18" t="s">
        <v>190</v>
      </c>
      <c r="D132" s="18" t="s">
        <v>190</v>
      </c>
      <c r="E132" s="18" t="s">
        <v>190</v>
      </c>
      <c r="F132" s="18" t="s">
        <v>190</v>
      </c>
      <c r="G132" s="18" t="s">
        <v>190</v>
      </c>
      <c r="H132" s="18" t="s">
        <v>190</v>
      </c>
      <c r="I132" s="21" t="s">
        <v>190</v>
      </c>
      <c r="J132" s="21" t="s">
        <v>190</v>
      </c>
      <c r="K132" s="21">
        <v>41400</v>
      </c>
      <c r="L132" s="21">
        <v>40100</v>
      </c>
      <c r="M132" s="21">
        <v>42500</v>
      </c>
      <c r="N132" s="21">
        <v>45700</v>
      </c>
      <c r="O132" s="21">
        <v>47900</v>
      </c>
      <c r="P132" s="21">
        <v>45600</v>
      </c>
      <c r="Q132" s="21">
        <v>51400</v>
      </c>
      <c r="R132" s="21">
        <v>54500</v>
      </c>
      <c r="S132" s="21">
        <v>42000</v>
      </c>
      <c r="T132" s="18">
        <v>41900</v>
      </c>
      <c r="U132" s="21">
        <v>50300</v>
      </c>
      <c r="V132" s="117" t="s">
        <v>344</v>
      </c>
      <c r="W132" s="117" t="s">
        <v>344</v>
      </c>
    </row>
    <row r="133" spans="1:23" x14ac:dyDescent="0.2">
      <c r="A133" s="82" t="s">
        <v>263</v>
      </c>
      <c r="B133" s="92" t="s">
        <v>265</v>
      </c>
      <c r="C133" s="18" t="s">
        <v>190</v>
      </c>
      <c r="D133" s="18" t="s">
        <v>190</v>
      </c>
      <c r="E133" s="18" t="s">
        <v>190</v>
      </c>
      <c r="F133" s="18" t="s">
        <v>190</v>
      </c>
      <c r="G133" s="18" t="s">
        <v>190</v>
      </c>
      <c r="H133" s="18" t="s">
        <v>190</v>
      </c>
      <c r="I133" s="21" t="s">
        <v>190</v>
      </c>
      <c r="J133" s="21" t="s">
        <v>190</v>
      </c>
      <c r="K133" s="21">
        <v>77900</v>
      </c>
      <c r="L133" s="21">
        <v>70300</v>
      </c>
      <c r="M133" s="21">
        <v>79500</v>
      </c>
      <c r="N133" s="21">
        <v>73500</v>
      </c>
      <c r="O133" s="21">
        <v>79100</v>
      </c>
      <c r="P133" s="21">
        <v>73600</v>
      </c>
      <c r="Q133" s="21">
        <v>71000</v>
      </c>
      <c r="R133" s="21">
        <v>73200</v>
      </c>
      <c r="S133" s="21">
        <v>73200</v>
      </c>
      <c r="T133" s="18">
        <v>64800</v>
      </c>
      <c r="U133" s="21">
        <v>64000</v>
      </c>
      <c r="V133" s="117" t="s">
        <v>344</v>
      </c>
      <c r="W133" s="117" t="s">
        <v>344</v>
      </c>
    </row>
    <row r="134" spans="1:23" x14ac:dyDescent="0.2">
      <c r="A134" s="82" t="s">
        <v>263</v>
      </c>
      <c r="B134" s="92" t="s">
        <v>266</v>
      </c>
      <c r="C134" s="18" t="s">
        <v>190</v>
      </c>
      <c r="D134" s="18" t="s">
        <v>190</v>
      </c>
      <c r="E134" s="18" t="s">
        <v>190</v>
      </c>
      <c r="F134" s="18" t="s">
        <v>190</v>
      </c>
      <c r="G134" s="18" t="s">
        <v>190</v>
      </c>
      <c r="H134" s="18" t="s">
        <v>190</v>
      </c>
      <c r="I134" s="21" t="s">
        <v>190</v>
      </c>
      <c r="J134" s="21" t="s">
        <v>190</v>
      </c>
      <c r="K134" s="21">
        <v>76600</v>
      </c>
      <c r="L134" s="21">
        <v>73800</v>
      </c>
      <c r="M134" s="21">
        <v>77200</v>
      </c>
      <c r="N134" s="21">
        <v>80300</v>
      </c>
      <c r="O134" s="21">
        <v>85900</v>
      </c>
      <c r="P134" s="21">
        <v>88900</v>
      </c>
      <c r="Q134" s="21">
        <v>82900</v>
      </c>
      <c r="R134" s="21">
        <v>82500</v>
      </c>
      <c r="S134" s="21">
        <v>78300</v>
      </c>
      <c r="T134" s="18">
        <v>73400</v>
      </c>
      <c r="U134" s="21">
        <v>80200</v>
      </c>
      <c r="V134" s="117" t="s">
        <v>344</v>
      </c>
      <c r="W134" s="117" t="s">
        <v>344</v>
      </c>
    </row>
    <row r="135" spans="1:23" x14ac:dyDescent="0.2">
      <c r="A135" s="82" t="s">
        <v>263</v>
      </c>
      <c r="B135" s="92" t="s">
        <v>281</v>
      </c>
      <c r="C135" s="18" t="s">
        <v>190</v>
      </c>
      <c r="D135" s="18" t="s">
        <v>190</v>
      </c>
      <c r="E135" s="18" t="s">
        <v>190</v>
      </c>
      <c r="F135" s="18" t="s">
        <v>190</v>
      </c>
      <c r="G135" s="18" t="s">
        <v>190</v>
      </c>
      <c r="H135" s="18" t="s">
        <v>190</v>
      </c>
      <c r="I135" s="21" t="s">
        <v>190</v>
      </c>
      <c r="J135" s="21" t="s">
        <v>190</v>
      </c>
      <c r="K135" s="21">
        <v>77700</v>
      </c>
      <c r="L135" s="21">
        <v>75900</v>
      </c>
      <c r="M135" s="21">
        <v>74800</v>
      </c>
      <c r="N135" s="21">
        <v>67900</v>
      </c>
      <c r="O135" s="21">
        <v>81500</v>
      </c>
      <c r="P135" s="21">
        <v>83100</v>
      </c>
      <c r="Q135" s="21">
        <v>81100</v>
      </c>
      <c r="R135" s="21">
        <v>82400</v>
      </c>
      <c r="S135" s="21">
        <v>73700</v>
      </c>
      <c r="T135" s="18">
        <v>64200</v>
      </c>
      <c r="U135" s="21">
        <v>60500</v>
      </c>
      <c r="V135" s="117" t="s">
        <v>344</v>
      </c>
      <c r="W135" s="117" t="s">
        <v>344</v>
      </c>
    </row>
  </sheetData>
  <phoneticPr fontId="44" type="noConversion"/>
  <hyperlinks>
    <hyperlink ref="A12" location="Contents!A1" display="This cell contains a hyperlink to the Table of Contents" xr:uid="{00000000-0004-0000-0E00-000000000000}"/>
    <hyperlink ref="A9" r:id="rId1" xr:uid="{843A806E-5B15-4018-9855-81EF9587E3BB}"/>
    <hyperlink ref="A10" r:id="rId2" display="Further data available by gender, age, work pattern, employment type, broad industrial group and qualification from Nomis. This link opens in a new window." xr:uid="{D777EC51-02E7-473C-A11C-9A2CD04026F9}"/>
  </hyperlinks>
  <pageMargins left="0.7" right="0.7" top="0.75" bottom="0.75" header="0.3" footer="0.3"/>
  <pageSetup paperSize="9" scale="23" orientation="portrait"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X256"/>
  <sheetViews>
    <sheetView showGridLines="0" zoomScaleNormal="100" workbookViewId="0"/>
  </sheetViews>
  <sheetFormatPr defaultColWidth="9.140625" defaultRowHeight="15" x14ac:dyDescent="0.2"/>
  <cols>
    <col min="1" max="1" width="39.28515625" style="13" customWidth="1"/>
    <col min="2" max="2" width="56" style="9" bestFit="1" customWidth="1"/>
    <col min="3" max="3" width="49.85546875" style="14" bestFit="1" customWidth="1"/>
    <col min="4" max="18" width="11.42578125" style="14" customWidth="1"/>
    <col min="19" max="22" width="11.42578125" style="13" customWidth="1"/>
    <col min="23" max="23" width="17.42578125" style="13" bestFit="1" customWidth="1"/>
    <col min="24" max="24" width="17.42578125" style="13" customWidth="1"/>
    <col min="25" max="16384" width="9.140625" style="13"/>
  </cols>
  <sheetData>
    <row r="1" spans="1:24" ht="20.25" x14ac:dyDescent="0.3">
      <c r="A1" s="22" t="s">
        <v>331</v>
      </c>
      <c r="B1" s="13"/>
    </row>
    <row r="2" spans="1:24" x14ac:dyDescent="0.2">
      <c r="A2" s="9" t="s">
        <v>152</v>
      </c>
      <c r="B2" s="13"/>
    </row>
    <row r="3" spans="1:24" x14ac:dyDescent="0.2">
      <c r="A3" s="9" t="s">
        <v>259</v>
      </c>
      <c r="B3" s="13"/>
    </row>
    <row r="4" spans="1:24" x14ac:dyDescent="0.2">
      <c r="A4" s="9" t="s">
        <v>297</v>
      </c>
      <c r="B4" s="13"/>
    </row>
    <row r="5" spans="1:24" x14ac:dyDescent="0.2">
      <c r="A5" s="9" t="s">
        <v>302</v>
      </c>
      <c r="B5" s="13"/>
    </row>
    <row r="6" spans="1:24" x14ac:dyDescent="0.2">
      <c r="A6" s="9" t="s">
        <v>323</v>
      </c>
      <c r="B6" s="13"/>
      <c r="S6" s="14"/>
    </row>
    <row r="7" spans="1:24" ht="15" customHeight="1" x14ac:dyDescent="0.2">
      <c r="A7" s="9" t="s">
        <v>204</v>
      </c>
      <c r="B7" s="13"/>
      <c r="D7" s="133"/>
      <c r="E7" s="133"/>
      <c r="F7" s="133"/>
      <c r="G7" s="133"/>
      <c r="H7" s="133"/>
      <c r="I7" s="133"/>
      <c r="J7" s="133"/>
      <c r="K7" s="133"/>
      <c r="L7" s="133"/>
      <c r="M7" s="133"/>
      <c r="N7" s="133"/>
      <c r="O7" s="133"/>
      <c r="P7" s="133"/>
      <c r="Q7" s="133"/>
      <c r="R7" s="133"/>
      <c r="S7" s="133"/>
      <c r="T7" s="133"/>
      <c r="U7" s="133"/>
      <c r="V7" s="133"/>
      <c r="W7" s="133"/>
    </row>
    <row r="8" spans="1:24" x14ac:dyDescent="0.2">
      <c r="A8" s="3" t="s">
        <v>310</v>
      </c>
      <c r="B8" s="13"/>
      <c r="D8" s="133"/>
      <c r="E8" s="133"/>
      <c r="F8" s="133"/>
      <c r="G8" s="133"/>
      <c r="H8" s="133"/>
      <c r="I8" s="133"/>
      <c r="J8" s="133"/>
      <c r="K8" s="133"/>
      <c r="L8" s="133"/>
      <c r="M8" s="133"/>
      <c r="N8" s="133"/>
      <c r="O8" s="133"/>
      <c r="P8" s="133"/>
      <c r="Q8" s="133"/>
      <c r="R8" s="133"/>
      <c r="S8" s="133"/>
      <c r="T8" s="133"/>
      <c r="U8" s="133"/>
      <c r="V8" s="133"/>
      <c r="W8" s="133"/>
    </row>
    <row r="9" spans="1:24" x14ac:dyDescent="0.2">
      <c r="A9" s="35" t="s">
        <v>314</v>
      </c>
      <c r="B9" s="13"/>
    </row>
    <row r="10" spans="1:24" s="27" customFormat="1" x14ac:dyDescent="0.25">
      <c r="A10" s="26" t="s">
        <v>154</v>
      </c>
      <c r="C10" s="28"/>
      <c r="D10" s="132"/>
      <c r="E10" s="132"/>
      <c r="F10" s="132"/>
      <c r="G10" s="132"/>
      <c r="H10" s="132"/>
      <c r="I10" s="132"/>
      <c r="J10" s="132"/>
      <c r="K10" s="132"/>
      <c r="L10" s="132"/>
      <c r="M10" s="132"/>
      <c r="N10" s="132"/>
      <c r="O10" s="132"/>
      <c r="P10" s="132"/>
      <c r="Q10" s="132"/>
      <c r="R10" s="132"/>
      <c r="S10" s="132"/>
      <c r="T10" s="132"/>
      <c r="U10" s="132"/>
      <c r="V10" s="132"/>
      <c r="W10" s="132"/>
    </row>
    <row r="11" spans="1:24" s="27" customFormat="1" ht="30" customHeight="1" x14ac:dyDescent="0.25">
      <c r="A11" s="35" t="s">
        <v>232</v>
      </c>
      <c r="C11" s="28"/>
      <c r="D11" s="132"/>
      <c r="E11" s="132"/>
      <c r="F11" s="132"/>
      <c r="G11" s="132"/>
      <c r="H11" s="132"/>
      <c r="I11" s="132"/>
      <c r="J11" s="132"/>
      <c r="K11" s="132"/>
      <c r="L11" s="132"/>
      <c r="M11" s="132"/>
      <c r="N11" s="132"/>
      <c r="O11" s="132"/>
      <c r="P11" s="132"/>
      <c r="Q11" s="132"/>
      <c r="R11" s="132"/>
      <c r="S11" s="132"/>
      <c r="T11" s="132"/>
      <c r="U11" s="132"/>
      <c r="V11" s="132"/>
      <c r="W11" s="132"/>
    </row>
    <row r="12" spans="1:24" ht="15.75" customHeight="1" x14ac:dyDescent="0.25">
      <c r="A12" s="23" t="s">
        <v>193</v>
      </c>
      <c r="B12" s="23" t="s">
        <v>156</v>
      </c>
      <c r="C12" s="23" t="s">
        <v>157</v>
      </c>
      <c r="D12" s="24" t="s">
        <v>164</v>
      </c>
      <c r="E12" s="24" t="s">
        <v>165</v>
      </c>
      <c r="F12" s="24" t="s">
        <v>166</v>
      </c>
      <c r="G12" s="24" t="s">
        <v>167</v>
      </c>
      <c r="H12" s="24" t="s">
        <v>168</v>
      </c>
      <c r="I12" s="24" t="s">
        <v>169</v>
      </c>
      <c r="J12" s="24" t="s">
        <v>170</v>
      </c>
      <c r="K12" s="24" t="s">
        <v>171</v>
      </c>
      <c r="L12" s="24" t="s">
        <v>172</v>
      </c>
      <c r="M12" s="24" t="s">
        <v>173</v>
      </c>
      <c r="N12" s="24" t="s">
        <v>174</v>
      </c>
      <c r="O12" s="24" t="s">
        <v>175</v>
      </c>
      <c r="P12" s="24" t="s">
        <v>176</v>
      </c>
      <c r="Q12" s="24" t="s">
        <v>177</v>
      </c>
      <c r="R12" s="24" t="s">
        <v>123</v>
      </c>
      <c r="S12" s="25" t="s">
        <v>150</v>
      </c>
      <c r="T12" s="24" t="s">
        <v>187</v>
      </c>
      <c r="U12" s="24" t="s">
        <v>189</v>
      </c>
      <c r="V12" s="24" t="s">
        <v>257</v>
      </c>
      <c r="W12" s="24" t="s">
        <v>316</v>
      </c>
      <c r="X12" s="24" t="s">
        <v>337</v>
      </c>
    </row>
    <row r="13" spans="1:24" ht="15.75" customHeight="1" x14ac:dyDescent="0.2">
      <c r="A13" s="30" t="s">
        <v>209</v>
      </c>
      <c r="B13" s="17" t="s">
        <v>178</v>
      </c>
      <c r="C13" s="17" t="s">
        <v>48</v>
      </c>
      <c r="D13" s="29">
        <v>0.126</v>
      </c>
      <c r="E13" s="29">
        <v>0.128</v>
      </c>
      <c r="F13" s="29">
        <v>0.13</v>
      </c>
      <c r="G13" s="29">
        <v>0.13100000000000001</v>
      </c>
      <c r="H13" s="29">
        <v>0.129</v>
      </c>
      <c r="I13" s="29">
        <v>0.13200000000000001</v>
      </c>
      <c r="J13" s="29">
        <v>0.13600000000000001</v>
      </c>
      <c r="K13" s="29">
        <v>0.13900000000000001</v>
      </c>
      <c r="L13" s="29">
        <v>0.14300000000000002</v>
      </c>
      <c r="M13" s="29">
        <v>0.14400000000000002</v>
      </c>
      <c r="N13" s="29">
        <v>0.14800000000000002</v>
      </c>
      <c r="O13" s="29">
        <v>0.14800000000000002</v>
      </c>
      <c r="P13" s="29">
        <v>0.152</v>
      </c>
      <c r="Q13" s="29">
        <v>0.152</v>
      </c>
      <c r="R13" s="29">
        <v>0.15</v>
      </c>
      <c r="S13" s="29">
        <v>0.153</v>
      </c>
      <c r="T13" s="29">
        <v>0.14000000000000001</v>
      </c>
      <c r="U13" s="29">
        <v>0.13300000000000001</v>
      </c>
      <c r="V13" s="29">
        <v>0.13200000000000001</v>
      </c>
      <c r="W13" s="65">
        <v>0.13300000000000001</v>
      </c>
      <c r="X13" s="65">
        <v>0.13300000000000001</v>
      </c>
    </row>
    <row r="14" spans="1:24" ht="15.75" customHeight="1" x14ac:dyDescent="0.2">
      <c r="A14" s="30" t="s">
        <v>209</v>
      </c>
      <c r="B14" s="17" t="s">
        <v>178</v>
      </c>
      <c r="C14" s="17" t="s">
        <v>1</v>
      </c>
      <c r="D14" s="29">
        <v>0.10199999999999999</v>
      </c>
      <c r="E14" s="29">
        <v>9.9000000000000005E-2</v>
      </c>
      <c r="F14" s="29">
        <v>0.106</v>
      </c>
      <c r="G14" s="29">
        <v>0.10400000000000001</v>
      </c>
      <c r="H14" s="29">
        <v>0.106</v>
      </c>
      <c r="I14" s="29">
        <v>0.106</v>
      </c>
      <c r="J14" s="29">
        <v>0.109</v>
      </c>
      <c r="K14" s="29">
        <v>0.115</v>
      </c>
      <c r="L14" s="29">
        <v>0.122</v>
      </c>
      <c r="M14" s="29">
        <v>0.115</v>
      </c>
      <c r="N14" s="29">
        <v>0.11800000000000001</v>
      </c>
      <c r="O14" s="29">
        <v>0.115</v>
      </c>
      <c r="P14" s="29">
        <v>0.127</v>
      </c>
      <c r="Q14" s="29">
        <v>0.12300000000000001</v>
      </c>
      <c r="R14" s="29">
        <v>0.122</v>
      </c>
      <c r="S14" s="29">
        <v>0.124</v>
      </c>
      <c r="T14" s="29">
        <v>0.115</v>
      </c>
      <c r="U14" s="29">
        <v>0.11</v>
      </c>
      <c r="V14" s="29">
        <v>0.109</v>
      </c>
      <c r="W14" s="65">
        <v>0.11199999999999999</v>
      </c>
      <c r="X14" s="65">
        <v>0.11699999999999999</v>
      </c>
    </row>
    <row r="15" spans="1:24" ht="31.5" customHeight="1" x14ac:dyDescent="0.2">
      <c r="A15" s="30" t="s">
        <v>209</v>
      </c>
      <c r="B15" s="17" t="s">
        <v>179</v>
      </c>
      <c r="C15" s="17" t="s">
        <v>35</v>
      </c>
      <c r="D15" s="29">
        <v>0.11900000000000001</v>
      </c>
      <c r="E15" s="29">
        <v>0.10400000000000001</v>
      </c>
      <c r="F15" s="29">
        <v>0.10800000000000001</v>
      </c>
      <c r="G15" s="29">
        <v>0.10099999999999999</v>
      </c>
      <c r="H15" s="29">
        <v>0.10199999999999999</v>
      </c>
      <c r="I15" s="29">
        <v>9.5000000000000001E-2</v>
      </c>
      <c r="J15" s="29">
        <v>0.114</v>
      </c>
      <c r="K15" s="29">
        <v>0.114</v>
      </c>
      <c r="L15" s="29">
        <v>0.114</v>
      </c>
      <c r="M15" s="29">
        <v>0.109</v>
      </c>
      <c r="N15" s="29">
        <v>0.10400000000000001</v>
      </c>
      <c r="O15" s="29">
        <v>0.10199999999999999</v>
      </c>
      <c r="P15" s="29">
        <v>0.122</v>
      </c>
      <c r="Q15" s="29">
        <v>0.14400000000000002</v>
      </c>
      <c r="R15" s="29">
        <v>0.12300000000000001</v>
      </c>
      <c r="S15" s="29">
        <v>0.11699999999999999</v>
      </c>
      <c r="T15" s="29">
        <v>0.10199999999999999</v>
      </c>
      <c r="U15" s="29">
        <v>0.114</v>
      </c>
      <c r="V15" s="29">
        <v>0.114</v>
      </c>
      <c r="W15" s="117" t="s">
        <v>344</v>
      </c>
      <c r="X15" s="117" t="s">
        <v>344</v>
      </c>
    </row>
    <row r="16" spans="1:24" ht="15.75" customHeight="1" x14ac:dyDescent="0.2">
      <c r="A16" s="30" t="s">
        <v>209</v>
      </c>
      <c r="B16" s="17" t="s">
        <v>179</v>
      </c>
      <c r="C16" s="17" t="s">
        <v>36</v>
      </c>
      <c r="D16" s="29">
        <v>0.08</v>
      </c>
      <c r="E16" s="29">
        <v>8.1000000000000003E-2</v>
      </c>
      <c r="F16" s="29">
        <v>8.8000000000000009E-2</v>
      </c>
      <c r="G16" s="29">
        <v>8.900000000000001E-2</v>
      </c>
      <c r="H16" s="29">
        <v>9.6999999999999989E-2</v>
      </c>
      <c r="I16" s="29">
        <v>9.3000000000000013E-2</v>
      </c>
      <c r="J16" s="29">
        <v>8.900000000000001E-2</v>
      </c>
      <c r="K16" s="29">
        <v>0.10199999999999999</v>
      </c>
      <c r="L16" s="29">
        <v>0.107</v>
      </c>
      <c r="M16" s="29">
        <v>9.4E-2</v>
      </c>
      <c r="N16" s="29">
        <v>0.109</v>
      </c>
      <c r="O16" s="29">
        <v>0.105</v>
      </c>
      <c r="P16" s="29">
        <v>0.11</v>
      </c>
      <c r="Q16" s="29">
        <v>0.11599999999999999</v>
      </c>
      <c r="R16" s="29">
        <v>0.111</v>
      </c>
      <c r="S16" s="29">
        <v>0.10300000000000001</v>
      </c>
      <c r="T16" s="29">
        <v>0.10400000000000001</v>
      </c>
      <c r="U16" s="29">
        <v>0.09</v>
      </c>
      <c r="V16" s="29">
        <v>9.5000000000000001E-2</v>
      </c>
      <c r="W16" s="117" t="s">
        <v>344</v>
      </c>
      <c r="X16" s="117" t="s">
        <v>344</v>
      </c>
    </row>
    <row r="17" spans="1:24" ht="15.75" customHeight="1" x14ac:dyDescent="0.2">
      <c r="A17" s="30" t="s">
        <v>209</v>
      </c>
      <c r="B17" s="17" t="s">
        <v>179</v>
      </c>
      <c r="C17" s="17" t="s">
        <v>37</v>
      </c>
      <c r="D17" s="29">
        <v>0.10099999999999999</v>
      </c>
      <c r="E17" s="29">
        <v>0.1</v>
      </c>
      <c r="F17" s="29">
        <v>0.106</v>
      </c>
      <c r="G17" s="29">
        <v>0.10400000000000001</v>
      </c>
      <c r="H17" s="29">
        <v>9.9000000000000005E-2</v>
      </c>
      <c r="I17" s="29">
        <v>0.10800000000000001</v>
      </c>
      <c r="J17" s="29">
        <v>0.109</v>
      </c>
      <c r="K17" s="29">
        <v>0.11199999999999999</v>
      </c>
      <c r="L17" s="29">
        <v>0.127</v>
      </c>
      <c r="M17" s="29">
        <v>0.11900000000000001</v>
      </c>
      <c r="N17" s="29">
        <v>0.11199999999999999</v>
      </c>
      <c r="O17" s="29">
        <v>0.11599999999999999</v>
      </c>
      <c r="P17" s="29">
        <v>0.129</v>
      </c>
      <c r="Q17" s="29">
        <v>0.10300000000000001</v>
      </c>
      <c r="R17" s="29">
        <v>0.11699999999999999</v>
      </c>
      <c r="S17" s="29">
        <v>0.13100000000000001</v>
      </c>
      <c r="T17" s="29">
        <v>0.115</v>
      </c>
      <c r="U17" s="29">
        <v>0.11599999999999999</v>
      </c>
      <c r="V17" s="29">
        <v>0.113</v>
      </c>
      <c r="W17" s="117" t="s">
        <v>344</v>
      </c>
      <c r="X17" s="117" t="s">
        <v>344</v>
      </c>
    </row>
    <row r="18" spans="1:24" ht="15.75" customHeight="1" x14ac:dyDescent="0.2">
      <c r="A18" s="30" t="s">
        <v>209</v>
      </c>
      <c r="B18" s="17" t="s">
        <v>179</v>
      </c>
      <c r="C18" s="17" t="s">
        <v>236</v>
      </c>
      <c r="D18" s="29">
        <v>0.10199999999999999</v>
      </c>
      <c r="E18" s="29">
        <v>9.6000000000000002E-2</v>
      </c>
      <c r="F18" s="29">
        <v>9.3000000000000013E-2</v>
      </c>
      <c r="G18" s="29">
        <v>9.8000000000000004E-2</v>
      </c>
      <c r="H18" s="29">
        <v>0.09</v>
      </c>
      <c r="I18" s="29">
        <v>0.1</v>
      </c>
      <c r="J18" s="29">
        <v>0.10800000000000001</v>
      </c>
      <c r="K18" s="29">
        <v>0.10800000000000001</v>
      </c>
      <c r="L18" s="29">
        <v>0.11800000000000001</v>
      </c>
      <c r="M18" s="29">
        <v>0.107</v>
      </c>
      <c r="N18" s="29">
        <v>0.111</v>
      </c>
      <c r="O18" s="29">
        <v>0.10199999999999999</v>
      </c>
      <c r="P18" s="29">
        <v>0.115</v>
      </c>
      <c r="Q18" s="29">
        <v>0.111</v>
      </c>
      <c r="R18" s="29">
        <v>9.6000000000000002E-2</v>
      </c>
      <c r="S18" s="29">
        <v>9.6000000000000002E-2</v>
      </c>
      <c r="T18" s="29">
        <v>0.10800000000000001</v>
      </c>
      <c r="U18" s="29">
        <v>0.115</v>
      </c>
      <c r="V18" s="29">
        <v>8.8000000000000009E-2</v>
      </c>
      <c r="W18" s="117" t="s">
        <v>344</v>
      </c>
      <c r="X18" s="117" t="s">
        <v>344</v>
      </c>
    </row>
    <row r="19" spans="1:24" ht="15.75" customHeight="1" x14ac:dyDescent="0.2">
      <c r="A19" s="30" t="s">
        <v>209</v>
      </c>
      <c r="B19" s="17" t="s">
        <v>179</v>
      </c>
      <c r="C19" s="17" t="s">
        <v>38</v>
      </c>
      <c r="D19" s="29">
        <v>0.09</v>
      </c>
      <c r="E19" s="29">
        <v>9.4E-2</v>
      </c>
      <c r="F19" s="29">
        <v>0.10800000000000001</v>
      </c>
      <c r="G19" s="29">
        <v>0.10300000000000001</v>
      </c>
      <c r="H19" s="29">
        <v>9.3000000000000013E-2</v>
      </c>
      <c r="I19" s="29">
        <v>0.10400000000000001</v>
      </c>
      <c r="J19" s="29">
        <v>0.1</v>
      </c>
      <c r="K19" s="29">
        <v>0.10800000000000001</v>
      </c>
      <c r="L19" s="29">
        <v>0.11</v>
      </c>
      <c r="M19" s="29">
        <v>0.10199999999999999</v>
      </c>
      <c r="N19" s="29">
        <v>0.11699999999999999</v>
      </c>
      <c r="O19" s="29">
        <v>0.11699999999999999</v>
      </c>
      <c r="P19" s="29">
        <v>0.13400000000000001</v>
      </c>
      <c r="Q19" s="29">
        <v>0.107</v>
      </c>
      <c r="R19" s="29">
        <v>0.11599999999999999</v>
      </c>
      <c r="S19" s="29">
        <v>0.14300000000000002</v>
      </c>
      <c r="T19" s="29">
        <v>0.106</v>
      </c>
      <c r="U19" s="29">
        <v>0.10199999999999999</v>
      </c>
      <c r="V19" s="29">
        <v>0.11</v>
      </c>
      <c r="W19" s="117" t="s">
        <v>344</v>
      </c>
      <c r="X19" s="117" t="s">
        <v>344</v>
      </c>
    </row>
    <row r="20" spans="1:24" ht="15.75" customHeight="1" x14ac:dyDescent="0.2">
      <c r="A20" s="30" t="s">
        <v>209</v>
      </c>
      <c r="B20" s="17" t="s">
        <v>179</v>
      </c>
      <c r="C20" s="17" t="s">
        <v>121</v>
      </c>
      <c r="D20" s="29">
        <v>0.14499999999999999</v>
      </c>
      <c r="E20" s="29">
        <v>0.14400000000000002</v>
      </c>
      <c r="F20" s="29">
        <v>0.14800000000000002</v>
      </c>
      <c r="G20" s="29">
        <v>0.13800000000000001</v>
      </c>
      <c r="H20" s="29">
        <v>0.14000000000000001</v>
      </c>
      <c r="I20" s="29">
        <v>0.13</v>
      </c>
      <c r="J20" s="29">
        <v>0.14899999999999999</v>
      </c>
      <c r="K20" s="29">
        <v>0.14800000000000002</v>
      </c>
      <c r="L20" s="29">
        <v>0.157</v>
      </c>
      <c r="M20" s="29">
        <v>0.16399999999999998</v>
      </c>
      <c r="N20" s="29">
        <v>0.154</v>
      </c>
      <c r="O20" s="29">
        <v>0.13900000000000001</v>
      </c>
      <c r="P20" s="29">
        <v>0.158</v>
      </c>
      <c r="Q20" s="29">
        <v>0.14599999999999999</v>
      </c>
      <c r="R20" s="29">
        <v>0.16</v>
      </c>
      <c r="S20" s="29">
        <v>0.152</v>
      </c>
      <c r="T20" s="29">
        <v>0.16600000000000001</v>
      </c>
      <c r="U20" s="29">
        <v>0.14400000000000002</v>
      </c>
      <c r="V20" s="29">
        <v>0.154</v>
      </c>
      <c r="W20" s="117" t="s">
        <v>344</v>
      </c>
      <c r="X20" s="117" t="s">
        <v>344</v>
      </c>
    </row>
    <row r="21" spans="1:24" ht="15.75" customHeight="1" x14ac:dyDescent="0.2">
      <c r="A21" s="30" t="s">
        <v>209</v>
      </c>
      <c r="B21" s="17" t="s">
        <v>179</v>
      </c>
      <c r="C21" s="17" t="s">
        <v>39</v>
      </c>
      <c r="D21" s="29">
        <v>0.10099999999999999</v>
      </c>
      <c r="E21" s="29">
        <v>9.5000000000000001E-2</v>
      </c>
      <c r="F21" s="29">
        <v>0.10199999999999999</v>
      </c>
      <c r="G21" s="29">
        <v>0.10300000000000001</v>
      </c>
      <c r="H21" s="29">
        <v>0.106</v>
      </c>
      <c r="I21" s="29">
        <v>0.109</v>
      </c>
      <c r="J21" s="29">
        <v>0.11199999999999999</v>
      </c>
      <c r="K21" s="29">
        <v>0.12300000000000001</v>
      </c>
      <c r="L21" s="29">
        <v>0.115</v>
      </c>
      <c r="M21" s="29">
        <v>0.12</v>
      </c>
      <c r="N21" s="29">
        <v>0.12</v>
      </c>
      <c r="O21" s="29">
        <v>0.11699999999999999</v>
      </c>
      <c r="P21" s="29">
        <v>0.13300000000000001</v>
      </c>
      <c r="Q21" s="29">
        <v>0.13400000000000001</v>
      </c>
      <c r="R21" s="29">
        <v>0.11699999999999999</v>
      </c>
      <c r="S21" s="29">
        <v>0.129</v>
      </c>
      <c r="T21" s="29">
        <v>9.6000000000000002E-2</v>
      </c>
      <c r="U21" s="29">
        <v>0.109</v>
      </c>
      <c r="V21" s="29">
        <v>9.5000000000000001E-2</v>
      </c>
      <c r="W21" s="117" t="s">
        <v>344</v>
      </c>
      <c r="X21" s="117" t="s">
        <v>344</v>
      </c>
    </row>
    <row r="22" spans="1:24" ht="15.75" customHeight="1" x14ac:dyDescent="0.2">
      <c r="A22" s="30" t="s">
        <v>209</v>
      </c>
      <c r="B22" s="17" t="s">
        <v>179</v>
      </c>
      <c r="C22" s="17" t="s">
        <v>40</v>
      </c>
      <c r="D22" s="29">
        <v>0.153</v>
      </c>
      <c r="E22" s="29">
        <v>0.14899999999999999</v>
      </c>
      <c r="F22" s="29">
        <v>0.154</v>
      </c>
      <c r="G22" s="29">
        <v>0.158</v>
      </c>
      <c r="H22" s="29">
        <v>0.16500000000000001</v>
      </c>
      <c r="I22" s="29">
        <v>0.16600000000000001</v>
      </c>
      <c r="J22" s="29">
        <v>0.16699999999999998</v>
      </c>
      <c r="K22" s="29">
        <v>0.17199999999999999</v>
      </c>
      <c r="L22" s="29">
        <v>0.19399999999999998</v>
      </c>
      <c r="M22" s="29">
        <v>0.192</v>
      </c>
      <c r="N22" s="29">
        <v>0.19</v>
      </c>
      <c r="O22" s="29">
        <v>0.188</v>
      </c>
      <c r="P22" s="29">
        <v>0.193</v>
      </c>
      <c r="Q22" s="29">
        <v>0.19699999999999998</v>
      </c>
      <c r="R22" s="29">
        <v>0.20699999999999999</v>
      </c>
      <c r="S22" s="29">
        <v>0.19699999999999998</v>
      </c>
      <c r="T22" s="29">
        <v>0.20600000000000002</v>
      </c>
      <c r="U22" s="29">
        <v>0.191</v>
      </c>
      <c r="V22" s="29">
        <v>0.191</v>
      </c>
      <c r="W22" s="117" t="s">
        <v>344</v>
      </c>
      <c r="X22" s="117" t="s">
        <v>344</v>
      </c>
    </row>
    <row r="23" spans="1:24" ht="31.5" customHeight="1" x14ac:dyDescent="0.2">
      <c r="A23" s="30" t="s">
        <v>209</v>
      </c>
      <c r="B23" s="17" t="s">
        <v>180</v>
      </c>
      <c r="C23" s="17" t="s">
        <v>41</v>
      </c>
      <c r="D23" s="29">
        <v>0.153</v>
      </c>
      <c r="E23" s="29">
        <v>0.158</v>
      </c>
      <c r="F23" s="29">
        <v>0.156</v>
      </c>
      <c r="G23" s="29">
        <v>0.16200000000000001</v>
      </c>
      <c r="H23" s="29">
        <v>0.152</v>
      </c>
      <c r="I23" s="29">
        <v>0.14300000000000002</v>
      </c>
      <c r="J23" s="29">
        <v>0.16800000000000001</v>
      </c>
      <c r="K23" s="29">
        <v>0.155</v>
      </c>
      <c r="L23" s="29">
        <v>0.17100000000000001</v>
      </c>
      <c r="M23" s="29">
        <v>0.17100000000000001</v>
      </c>
      <c r="N23" s="29">
        <v>0.159</v>
      </c>
      <c r="O23" s="29">
        <v>0.16600000000000001</v>
      </c>
      <c r="P23" s="29">
        <v>0.157</v>
      </c>
      <c r="Q23" s="29">
        <v>0.16600000000000001</v>
      </c>
      <c r="R23" s="29">
        <v>0.183</v>
      </c>
      <c r="S23" s="29">
        <v>0.17600000000000002</v>
      </c>
      <c r="T23" s="29">
        <v>0.17800000000000002</v>
      </c>
      <c r="U23" s="29">
        <v>0.14199999999999999</v>
      </c>
      <c r="V23" s="29">
        <v>0.153</v>
      </c>
      <c r="W23" s="117" t="s">
        <v>344</v>
      </c>
      <c r="X23" s="117" t="s">
        <v>344</v>
      </c>
    </row>
    <row r="24" spans="1:24" ht="15.75" customHeight="1" x14ac:dyDescent="0.2">
      <c r="A24" s="30" t="s">
        <v>209</v>
      </c>
      <c r="B24" s="17" t="s">
        <v>180</v>
      </c>
      <c r="C24" s="17" t="s">
        <v>42</v>
      </c>
      <c r="D24" s="29">
        <v>0.13500000000000001</v>
      </c>
      <c r="E24" s="29">
        <v>0.127</v>
      </c>
      <c r="F24" s="29">
        <v>0.13500000000000001</v>
      </c>
      <c r="G24" s="29">
        <v>0.13400000000000001</v>
      </c>
      <c r="H24" s="29">
        <v>0.13400000000000001</v>
      </c>
      <c r="I24" s="29">
        <v>0.13300000000000001</v>
      </c>
      <c r="J24" s="29">
        <v>0.14000000000000001</v>
      </c>
      <c r="K24" s="29">
        <v>0.14499999999999999</v>
      </c>
      <c r="L24" s="29">
        <v>0.14800000000000002</v>
      </c>
      <c r="M24" s="29">
        <v>0.14800000000000002</v>
      </c>
      <c r="N24" s="29">
        <v>0.151</v>
      </c>
      <c r="O24" s="29">
        <v>0.13900000000000001</v>
      </c>
      <c r="P24" s="29">
        <v>0.153</v>
      </c>
      <c r="Q24" s="29">
        <v>0.155</v>
      </c>
      <c r="R24" s="29">
        <v>0.15</v>
      </c>
      <c r="S24" s="29">
        <v>0.152</v>
      </c>
      <c r="T24" s="29">
        <v>0.14400000000000002</v>
      </c>
      <c r="U24" s="29">
        <v>0.14300000000000002</v>
      </c>
      <c r="V24" s="29">
        <v>0.13900000000000001</v>
      </c>
      <c r="W24" s="117" t="s">
        <v>344</v>
      </c>
      <c r="X24" s="117" t="s">
        <v>344</v>
      </c>
    </row>
    <row r="25" spans="1:24" ht="15.75" customHeight="1" x14ac:dyDescent="0.2">
      <c r="A25" s="30" t="s">
        <v>209</v>
      </c>
      <c r="B25" s="17" t="s">
        <v>180</v>
      </c>
      <c r="C25" s="17" t="s">
        <v>43</v>
      </c>
      <c r="D25" s="29">
        <v>8.5000000000000006E-2</v>
      </c>
      <c r="E25" s="29">
        <v>8.5000000000000006E-2</v>
      </c>
      <c r="F25" s="29">
        <v>0.09</v>
      </c>
      <c r="G25" s="29">
        <v>8.900000000000001E-2</v>
      </c>
      <c r="H25" s="29">
        <v>8.900000000000001E-2</v>
      </c>
      <c r="I25" s="29">
        <v>9.1999999999999998E-2</v>
      </c>
      <c r="J25" s="29">
        <v>9.6000000000000002E-2</v>
      </c>
      <c r="K25" s="29">
        <v>0.10300000000000001</v>
      </c>
      <c r="L25" s="29">
        <v>0.107</v>
      </c>
      <c r="M25" s="29">
        <v>9.8000000000000004E-2</v>
      </c>
      <c r="N25" s="29">
        <v>0.106</v>
      </c>
      <c r="O25" s="29">
        <v>0.10199999999999999</v>
      </c>
      <c r="P25" s="29">
        <v>0.115</v>
      </c>
      <c r="Q25" s="29">
        <v>0.10199999999999999</v>
      </c>
      <c r="R25" s="29">
        <v>0.111</v>
      </c>
      <c r="S25" s="29">
        <v>0.10400000000000001</v>
      </c>
      <c r="T25" s="29">
        <v>0.10099999999999999</v>
      </c>
      <c r="U25" s="29">
        <v>9.0999999999999998E-2</v>
      </c>
      <c r="V25" s="29">
        <v>9.4E-2</v>
      </c>
      <c r="W25" s="117" t="s">
        <v>344</v>
      </c>
      <c r="X25" s="117" t="s">
        <v>344</v>
      </c>
    </row>
    <row r="26" spans="1:24" ht="15.75" customHeight="1" x14ac:dyDescent="0.2">
      <c r="A26" s="30" t="s">
        <v>209</v>
      </c>
      <c r="B26" s="17" t="s">
        <v>180</v>
      </c>
      <c r="C26" s="17" t="s">
        <v>44</v>
      </c>
      <c r="D26" s="29">
        <v>8.5999999999999993E-2</v>
      </c>
      <c r="E26" s="29">
        <v>8.5000000000000006E-2</v>
      </c>
      <c r="F26" s="29">
        <v>9.3000000000000013E-2</v>
      </c>
      <c r="G26" s="29">
        <v>0.09</v>
      </c>
      <c r="H26" s="29">
        <v>9.6999999999999989E-2</v>
      </c>
      <c r="I26" s="29">
        <v>9.5000000000000001E-2</v>
      </c>
      <c r="J26" s="29">
        <v>0.09</v>
      </c>
      <c r="K26" s="29">
        <v>9.6000000000000002E-2</v>
      </c>
      <c r="L26" s="29">
        <v>0.11</v>
      </c>
      <c r="M26" s="29">
        <v>0.10099999999999999</v>
      </c>
      <c r="N26" s="29">
        <v>9.8000000000000004E-2</v>
      </c>
      <c r="O26" s="29">
        <v>0.105</v>
      </c>
      <c r="P26" s="29">
        <v>0.115</v>
      </c>
      <c r="Q26" s="29">
        <v>0.11800000000000001</v>
      </c>
      <c r="R26" s="29">
        <v>0.10300000000000001</v>
      </c>
      <c r="S26" s="29">
        <v>0.11900000000000001</v>
      </c>
      <c r="T26" s="29">
        <v>0.10199999999999999</v>
      </c>
      <c r="U26" s="29">
        <v>0.10199999999999999</v>
      </c>
      <c r="V26" s="29">
        <v>9.8000000000000004E-2</v>
      </c>
      <c r="W26" s="117" t="s">
        <v>344</v>
      </c>
      <c r="X26" s="117" t="s">
        <v>344</v>
      </c>
    </row>
    <row r="27" spans="1:24" ht="31.5" customHeight="1" x14ac:dyDescent="0.2">
      <c r="A27" s="30" t="s">
        <v>209</v>
      </c>
      <c r="B27" s="17" t="s">
        <v>181</v>
      </c>
      <c r="C27" s="17" t="s">
        <v>45</v>
      </c>
      <c r="D27" s="29">
        <f>D20</f>
        <v>0.14499999999999999</v>
      </c>
      <c r="E27" s="29">
        <f t="shared" ref="E27:U27" si="0">E20</f>
        <v>0.14400000000000002</v>
      </c>
      <c r="F27" s="29">
        <f t="shared" si="0"/>
        <v>0.14800000000000002</v>
      </c>
      <c r="G27" s="29">
        <f t="shared" si="0"/>
        <v>0.13800000000000001</v>
      </c>
      <c r="H27" s="29">
        <f t="shared" si="0"/>
        <v>0.14000000000000001</v>
      </c>
      <c r="I27" s="29">
        <f t="shared" si="0"/>
        <v>0.13</v>
      </c>
      <c r="J27" s="29">
        <f t="shared" si="0"/>
        <v>0.14899999999999999</v>
      </c>
      <c r="K27" s="29">
        <f t="shared" si="0"/>
        <v>0.14800000000000002</v>
      </c>
      <c r="L27" s="29">
        <f t="shared" si="0"/>
        <v>0.157</v>
      </c>
      <c r="M27" s="29">
        <f t="shared" si="0"/>
        <v>0.16399999999999998</v>
      </c>
      <c r="N27" s="29">
        <f t="shared" si="0"/>
        <v>0.154</v>
      </c>
      <c r="O27" s="29">
        <f t="shared" si="0"/>
        <v>0.13900000000000001</v>
      </c>
      <c r="P27" s="29">
        <f t="shared" si="0"/>
        <v>0.158</v>
      </c>
      <c r="Q27" s="29">
        <f t="shared" si="0"/>
        <v>0.14599999999999999</v>
      </c>
      <c r="R27" s="29">
        <f t="shared" si="0"/>
        <v>0.16</v>
      </c>
      <c r="S27" s="29">
        <f t="shared" si="0"/>
        <v>0.152</v>
      </c>
      <c r="T27" s="29">
        <f t="shared" si="0"/>
        <v>0.16600000000000001</v>
      </c>
      <c r="U27" s="29">
        <f t="shared" si="0"/>
        <v>0.14400000000000002</v>
      </c>
      <c r="V27" s="29">
        <f t="shared" ref="V27" si="1">V20</f>
        <v>0.154</v>
      </c>
      <c r="W27" s="117" t="s">
        <v>344</v>
      </c>
      <c r="X27" s="117" t="s">
        <v>344</v>
      </c>
    </row>
    <row r="28" spans="1:24" ht="15.75" customHeight="1" x14ac:dyDescent="0.2">
      <c r="A28" s="30" t="s">
        <v>209</v>
      </c>
      <c r="B28" s="17" t="s">
        <v>181</v>
      </c>
      <c r="C28" s="17" t="s">
        <v>120</v>
      </c>
      <c r="D28" s="29">
        <f>D22</f>
        <v>0.153</v>
      </c>
      <c r="E28" s="29">
        <f t="shared" ref="E28:U28" si="2">E22</f>
        <v>0.14899999999999999</v>
      </c>
      <c r="F28" s="29">
        <f t="shared" si="2"/>
        <v>0.154</v>
      </c>
      <c r="G28" s="29">
        <f t="shared" si="2"/>
        <v>0.158</v>
      </c>
      <c r="H28" s="29">
        <f t="shared" si="2"/>
        <v>0.16500000000000001</v>
      </c>
      <c r="I28" s="29">
        <f t="shared" si="2"/>
        <v>0.16600000000000001</v>
      </c>
      <c r="J28" s="29">
        <f t="shared" si="2"/>
        <v>0.16699999999999998</v>
      </c>
      <c r="K28" s="29">
        <f t="shared" si="2"/>
        <v>0.17199999999999999</v>
      </c>
      <c r="L28" s="29">
        <f t="shared" si="2"/>
        <v>0.19399999999999998</v>
      </c>
      <c r="M28" s="29">
        <f t="shared" si="2"/>
        <v>0.192</v>
      </c>
      <c r="N28" s="29">
        <f t="shared" si="2"/>
        <v>0.19</v>
      </c>
      <c r="O28" s="29">
        <f t="shared" si="2"/>
        <v>0.188</v>
      </c>
      <c r="P28" s="29">
        <f t="shared" si="2"/>
        <v>0.193</v>
      </c>
      <c r="Q28" s="29">
        <f t="shared" si="2"/>
        <v>0.19699999999999998</v>
      </c>
      <c r="R28" s="29">
        <f t="shared" si="2"/>
        <v>0.20699999999999999</v>
      </c>
      <c r="S28" s="29">
        <f t="shared" si="2"/>
        <v>0.19699999999999998</v>
      </c>
      <c r="T28" s="29">
        <f t="shared" si="2"/>
        <v>0.20600000000000002</v>
      </c>
      <c r="U28" s="29">
        <f t="shared" si="2"/>
        <v>0.191</v>
      </c>
      <c r="V28" s="29">
        <f t="shared" ref="V28" si="3">V22</f>
        <v>0.191</v>
      </c>
      <c r="W28" s="117" t="s">
        <v>344</v>
      </c>
      <c r="X28" s="117" t="s">
        <v>344</v>
      </c>
    </row>
    <row r="29" spans="1:24" ht="15.75" customHeight="1" x14ac:dyDescent="0.2">
      <c r="A29" s="30" t="s">
        <v>209</v>
      </c>
      <c r="B29" s="17" t="s">
        <v>181</v>
      </c>
      <c r="C29" s="17" t="s">
        <v>46</v>
      </c>
      <c r="D29" s="29">
        <v>9.4E-2</v>
      </c>
      <c r="E29" s="29">
        <v>9.0999999999999998E-2</v>
      </c>
      <c r="F29" s="29">
        <v>9.8000000000000004E-2</v>
      </c>
      <c r="G29" s="29">
        <v>9.6999999999999989E-2</v>
      </c>
      <c r="H29" s="29">
        <v>9.9000000000000005E-2</v>
      </c>
      <c r="I29" s="29">
        <v>0.1</v>
      </c>
      <c r="J29" s="29">
        <v>0.10199999999999999</v>
      </c>
      <c r="K29" s="29">
        <v>0.10800000000000001</v>
      </c>
      <c r="L29" s="29">
        <v>0.114</v>
      </c>
      <c r="M29" s="29">
        <v>0.106</v>
      </c>
      <c r="N29" s="29">
        <v>0.11</v>
      </c>
      <c r="O29" s="29">
        <v>0.109</v>
      </c>
      <c r="P29" s="29">
        <v>0.12</v>
      </c>
      <c r="Q29" s="29">
        <v>0.11699999999999999</v>
      </c>
      <c r="R29" s="29">
        <v>0.113</v>
      </c>
      <c r="S29" s="29">
        <v>0.11699999999999999</v>
      </c>
      <c r="T29" s="29">
        <v>0.105</v>
      </c>
      <c r="U29" s="29">
        <v>0.10300000000000001</v>
      </c>
      <c r="V29" s="65">
        <v>0.1</v>
      </c>
      <c r="W29" s="117" t="s">
        <v>344</v>
      </c>
      <c r="X29" s="117" t="s">
        <v>344</v>
      </c>
    </row>
    <row r="30" spans="1:24" ht="31.5" customHeight="1" x14ac:dyDescent="0.2">
      <c r="A30" s="30" t="s">
        <v>209</v>
      </c>
      <c r="B30" s="17" t="s">
        <v>47</v>
      </c>
      <c r="C30" s="17" t="s">
        <v>22</v>
      </c>
      <c r="D30" s="29">
        <v>8.5000000000000006E-2</v>
      </c>
      <c r="E30" s="29">
        <v>0.08</v>
      </c>
      <c r="F30" s="29">
        <v>7.5999999999999998E-2</v>
      </c>
      <c r="G30" s="29">
        <v>6.3E-2</v>
      </c>
      <c r="H30" s="29">
        <v>6.5000000000000002E-2</v>
      </c>
      <c r="I30" s="29">
        <v>5.0999999999999997E-2</v>
      </c>
      <c r="J30" s="29">
        <v>6.7000000000000004E-2</v>
      </c>
      <c r="K30" s="29">
        <v>6.9000000000000006E-2</v>
      </c>
      <c r="L30" s="29">
        <v>8.1000000000000003E-2</v>
      </c>
      <c r="M30" s="29">
        <v>8.900000000000001E-2</v>
      </c>
      <c r="N30" s="29">
        <v>7.0999999999999994E-2</v>
      </c>
      <c r="O30" s="29">
        <v>7.5999999999999998E-2</v>
      </c>
      <c r="P30" s="29">
        <v>0.10300000000000001</v>
      </c>
      <c r="Q30" s="29">
        <v>0.113</v>
      </c>
      <c r="R30" s="29">
        <v>0.10199999999999999</v>
      </c>
      <c r="S30" s="29">
        <v>0.10099999999999999</v>
      </c>
      <c r="T30" s="29">
        <v>8.6999999999999994E-2</v>
      </c>
      <c r="U30" s="29">
        <v>9.6999999999999989E-2</v>
      </c>
      <c r="V30" s="29">
        <v>9.6000000000000002E-2</v>
      </c>
      <c r="W30" s="117" t="s">
        <v>344</v>
      </c>
      <c r="X30" s="117" t="s">
        <v>344</v>
      </c>
    </row>
    <row r="31" spans="1:24" ht="15.75" customHeight="1" x14ac:dyDescent="0.2">
      <c r="A31" s="30" t="s">
        <v>209</v>
      </c>
      <c r="B31" s="17" t="s">
        <v>47</v>
      </c>
      <c r="C31" s="17" t="s">
        <v>23</v>
      </c>
      <c r="D31" s="29">
        <v>0.14899999999999999</v>
      </c>
      <c r="E31" s="29">
        <v>0.127</v>
      </c>
      <c r="F31" s="29">
        <v>0.13699999999999998</v>
      </c>
      <c r="G31" s="29">
        <v>0.13400000000000001</v>
      </c>
      <c r="H31" s="29">
        <v>0.13500000000000001</v>
      </c>
      <c r="I31" s="29">
        <v>0.13400000000000001</v>
      </c>
      <c r="J31" s="29">
        <v>0.156</v>
      </c>
      <c r="K31" s="29">
        <v>0.153</v>
      </c>
      <c r="L31" s="29">
        <v>0.14400000000000002</v>
      </c>
      <c r="M31" s="29">
        <v>0.128</v>
      </c>
      <c r="N31" s="29">
        <v>0.13200000000000001</v>
      </c>
      <c r="O31" s="29">
        <v>0.125</v>
      </c>
      <c r="P31" s="29">
        <v>0.13800000000000001</v>
      </c>
      <c r="Q31" s="29">
        <v>0.17199999999999999</v>
      </c>
      <c r="R31" s="29">
        <v>0.14099999999999999</v>
      </c>
      <c r="S31" s="29">
        <v>0.13200000000000001</v>
      </c>
      <c r="T31" s="29">
        <v>0.115</v>
      </c>
      <c r="U31" s="29">
        <v>0.13100000000000001</v>
      </c>
      <c r="V31" s="29">
        <v>0.13</v>
      </c>
      <c r="W31" s="117" t="s">
        <v>344</v>
      </c>
      <c r="X31" s="117" t="s">
        <v>344</v>
      </c>
    </row>
    <row r="32" spans="1:24" ht="15.75" customHeight="1" x14ac:dyDescent="0.2">
      <c r="A32" s="30" t="s">
        <v>209</v>
      </c>
      <c r="B32" s="17" t="s">
        <v>47</v>
      </c>
      <c r="C32" s="17" t="s">
        <v>29</v>
      </c>
      <c r="D32" s="29">
        <v>0.121</v>
      </c>
      <c r="E32" s="29">
        <v>0.121</v>
      </c>
      <c r="F32" s="29">
        <v>0.13</v>
      </c>
      <c r="G32" s="29">
        <v>0.13800000000000001</v>
      </c>
      <c r="H32" s="29">
        <v>0.13800000000000001</v>
      </c>
      <c r="I32" s="29">
        <v>0.14000000000000001</v>
      </c>
      <c r="J32" s="29">
        <v>0.13600000000000001</v>
      </c>
      <c r="K32" s="29">
        <v>0.13400000000000001</v>
      </c>
      <c r="L32" s="29">
        <v>0.122</v>
      </c>
      <c r="M32" s="29">
        <v>0.14899999999999999</v>
      </c>
      <c r="N32" s="29">
        <v>0.14699999999999999</v>
      </c>
      <c r="O32" s="29">
        <v>0.13300000000000001</v>
      </c>
      <c r="P32" s="29">
        <v>0.155</v>
      </c>
      <c r="Q32" s="29">
        <v>0.153</v>
      </c>
      <c r="R32" s="29">
        <v>0.12300000000000001</v>
      </c>
      <c r="S32" s="29">
        <v>0.14400000000000002</v>
      </c>
      <c r="T32" s="29">
        <v>0.12</v>
      </c>
      <c r="U32" s="29">
        <v>9.9000000000000005E-2</v>
      </c>
      <c r="V32" s="29">
        <v>9.6000000000000002E-2</v>
      </c>
      <c r="W32" s="117" t="s">
        <v>344</v>
      </c>
      <c r="X32" s="117" t="s">
        <v>344</v>
      </c>
    </row>
    <row r="33" spans="1:24" ht="15.75" customHeight="1" x14ac:dyDescent="0.2">
      <c r="A33" s="30" t="s">
        <v>209</v>
      </c>
      <c r="B33" s="17" t="s">
        <v>47</v>
      </c>
      <c r="C33" s="17" t="s">
        <v>24</v>
      </c>
      <c r="D33" s="29">
        <v>0.17300000000000001</v>
      </c>
      <c r="E33" s="29">
        <v>0.16600000000000001</v>
      </c>
      <c r="F33" s="29">
        <v>0.16</v>
      </c>
      <c r="G33" s="29">
        <v>0.161</v>
      </c>
      <c r="H33" s="29">
        <v>0.16300000000000001</v>
      </c>
      <c r="I33" s="29">
        <v>0.16200000000000001</v>
      </c>
      <c r="J33" s="29">
        <v>0.188</v>
      </c>
      <c r="K33" s="29">
        <v>0.154</v>
      </c>
      <c r="L33" s="29">
        <v>0.19500000000000001</v>
      </c>
      <c r="M33" s="29">
        <v>0.182</v>
      </c>
      <c r="N33" s="29">
        <v>0.17899999999999999</v>
      </c>
      <c r="O33" s="29">
        <v>0.17800000000000002</v>
      </c>
      <c r="P33" s="29">
        <v>0.17600000000000002</v>
      </c>
      <c r="Q33" s="29">
        <v>0.183</v>
      </c>
      <c r="R33" s="29">
        <v>0.20600000000000002</v>
      </c>
      <c r="S33" s="29">
        <v>0.20600000000000002</v>
      </c>
      <c r="T33" s="29">
        <v>0.19399999999999998</v>
      </c>
      <c r="U33" s="29">
        <v>0.156</v>
      </c>
      <c r="V33" s="29">
        <v>0.161</v>
      </c>
      <c r="W33" s="117" t="s">
        <v>344</v>
      </c>
      <c r="X33" s="117" t="s">
        <v>344</v>
      </c>
    </row>
    <row r="34" spans="1:24" ht="15.75" customHeight="1" x14ac:dyDescent="0.2">
      <c r="A34" s="30" t="s">
        <v>209</v>
      </c>
      <c r="B34" s="17" t="s">
        <v>47</v>
      </c>
      <c r="C34" s="17" t="s">
        <v>25</v>
      </c>
      <c r="D34" s="29">
        <v>0.11199999999999999</v>
      </c>
      <c r="E34" s="29">
        <v>0.10199999999999999</v>
      </c>
      <c r="F34" s="29">
        <v>0.109</v>
      </c>
      <c r="G34" s="29">
        <v>0.109</v>
      </c>
      <c r="H34" s="29">
        <v>0.115</v>
      </c>
      <c r="I34" s="29">
        <v>0.11800000000000001</v>
      </c>
      <c r="J34" s="29">
        <v>0.121</v>
      </c>
      <c r="K34" s="29">
        <v>0.11199999999999999</v>
      </c>
      <c r="L34" s="29">
        <v>0.13300000000000001</v>
      </c>
      <c r="M34" s="29">
        <v>0.13200000000000001</v>
      </c>
      <c r="N34" s="29">
        <v>9.3000000000000013E-2</v>
      </c>
      <c r="O34" s="29">
        <v>0.11199999999999999</v>
      </c>
      <c r="P34" s="29">
        <v>0.13</v>
      </c>
      <c r="Q34" s="29">
        <v>9.9000000000000005E-2</v>
      </c>
      <c r="R34" s="29">
        <v>0.10199999999999999</v>
      </c>
      <c r="S34" s="29">
        <v>0.13500000000000001</v>
      </c>
      <c r="T34" s="29">
        <v>0.10099999999999999</v>
      </c>
      <c r="U34" s="29">
        <v>0.11599999999999999</v>
      </c>
      <c r="V34" s="29">
        <v>0.10400000000000001</v>
      </c>
      <c r="W34" s="117" t="s">
        <v>344</v>
      </c>
      <c r="X34" s="117" t="s">
        <v>344</v>
      </c>
    </row>
    <row r="35" spans="1:24" ht="15.75" customHeight="1" x14ac:dyDescent="0.2">
      <c r="A35" s="30" t="s">
        <v>209</v>
      </c>
      <c r="B35" s="17" t="s">
        <v>47</v>
      </c>
      <c r="C35" s="17" t="s">
        <v>2</v>
      </c>
      <c r="D35" s="29">
        <v>9.8000000000000004E-2</v>
      </c>
      <c r="E35" s="29">
        <v>8.4000000000000005E-2</v>
      </c>
      <c r="F35" s="29">
        <v>9.3000000000000013E-2</v>
      </c>
      <c r="G35" s="29">
        <v>9.0999999999999998E-2</v>
      </c>
      <c r="H35" s="29">
        <v>7.5999999999999998E-2</v>
      </c>
      <c r="I35" s="29">
        <v>8.900000000000001E-2</v>
      </c>
      <c r="J35" s="29">
        <v>8.5999999999999993E-2</v>
      </c>
      <c r="K35" s="29">
        <v>9.1999999999999998E-2</v>
      </c>
      <c r="L35" s="29">
        <v>0.122</v>
      </c>
      <c r="M35" s="29">
        <v>9.5000000000000001E-2</v>
      </c>
      <c r="N35" s="29">
        <v>0.10199999999999999</v>
      </c>
      <c r="O35" s="29">
        <v>7.5999999999999998E-2</v>
      </c>
      <c r="P35" s="29">
        <v>0.09</v>
      </c>
      <c r="Q35" s="29">
        <v>8.199999999999999E-2</v>
      </c>
      <c r="R35" s="29">
        <v>0.09</v>
      </c>
      <c r="S35" s="29">
        <v>8.1000000000000003E-2</v>
      </c>
      <c r="T35" s="29">
        <v>9.9000000000000005E-2</v>
      </c>
      <c r="U35" s="29">
        <v>9.6000000000000002E-2</v>
      </c>
      <c r="V35" s="29">
        <v>8.8000000000000009E-2</v>
      </c>
      <c r="W35" s="117" t="s">
        <v>344</v>
      </c>
      <c r="X35" s="117" t="s">
        <v>344</v>
      </c>
    </row>
    <row r="36" spans="1:24" ht="15.75" customHeight="1" x14ac:dyDescent="0.2">
      <c r="A36" s="30" t="s">
        <v>209</v>
      </c>
      <c r="B36" s="17" t="s">
        <v>47</v>
      </c>
      <c r="C36" s="17" t="s">
        <v>3</v>
      </c>
      <c r="D36" s="29">
        <v>0.14499999999999999</v>
      </c>
      <c r="E36" s="29">
        <v>0.14499999999999999</v>
      </c>
      <c r="F36" s="29">
        <v>0.16500000000000001</v>
      </c>
      <c r="G36" s="29">
        <v>0.16</v>
      </c>
      <c r="H36" s="29">
        <v>0.16699999999999998</v>
      </c>
      <c r="I36" s="29">
        <v>0.16</v>
      </c>
      <c r="J36" s="29">
        <v>0.16399999999999998</v>
      </c>
      <c r="K36" s="29">
        <v>0.17</v>
      </c>
      <c r="L36" s="29">
        <v>0.20100000000000001</v>
      </c>
      <c r="M36" s="29">
        <v>0.20100000000000001</v>
      </c>
      <c r="N36" s="29">
        <v>0.20399999999999999</v>
      </c>
      <c r="O36" s="29">
        <v>0.19500000000000001</v>
      </c>
      <c r="P36" s="29">
        <v>0.185</v>
      </c>
      <c r="Q36" s="29">
        <v>0.20100000000000001</v>
      </c>
      <c r="R36" s="29">
        <v>0.22</v>
      </c>
      <c r="S36" s="29">
        <v>0.188</v>
      </c>
      <c r="T36" s="29">
        <v>0.19500000000000001</v>
      </c>
      <c r="U36" s="29">
        <v>0.16600000000000001</v>
      </c>
      <c r="V36" s="29">
        <v>0.18</v>
      </c>
      <c r="W36" s="117" t="s">
        <v>344</v>
      </c>
      <c r="X36" s="117" t="s">
        <v>344</v>
      </c>
    </row>
    <row r="37" spans="1:24" ht="15.75" customHeight="1" x14ac:dyDescent="0.2">
      <c r="A37" s="30" t="s">
        <v>209</v>
      </c>
      <c r="B37" s="17" t="s">
        <v>47</v>
      </c>
      <c r="C37" s="17" t="s">
        <v>30</v>
      </c>
      <c r="D37" s="29">
        <v>5.7000000000000002E-2</v>
      </c>
      <c r="E37" s="29">
        <v>6.7000000000000004E-2</v>
      </c>
      <c r="F37" s="29">
        <v>7.9000000000000001E-2</v>
      </c>
      <c r="G37" s="29">
        <v>7.2000000000000008E-2</v>
      </c>
      <c r="H37" s="29">
        <v>8.900000000000001E-2</v>
      </c>
      <c r="I37" s="29">
        <v>0.09</v>
      </c>
      <c r="J37" s="29">
        <v>8.5999999999999993E-2</v>
      </c>
      <c r="K37" s="29">
        <v>7.2000000000000008E-2</v>
      </c>
      <c r="L37" s="29">
        <v>7.0000000000000007E-2</v>
      </c>
      <c r="M37" s="29">
        <v>6.3E-2</v>
      </c>
      <c r="N37" s="29">
        <v>8.5000000000000006E-2</v>
      </c>
      <c r="O37" s="29">
        <v>9.6000000000000002E-2</v>
      </c>
      <c r="P37" s="29">
        <v>0.107</v>
      </c>
      <c r="Q37" s="29">
        <v>0.12300000000000001</v>
      </c>
      <c r="R37" s="29">
        <v>0.1</v>
      </c>
      <c r="S37" s="29">
        <v>0.127</v>
      </c>
      <c r="T37" s="29">
        <v>9.8000000000000004E-2</v>
      </c>
      <c r="U37" s="29">
        <v>0.08</v>
      </c>
      <c r="V37" s="29">
        <v>5.9000000000000004E-2</v>
      </c>
      <c r="W37" s="117" t="s">
        <v>344</v>
      </c>
      <c r="X37" s="117" t="s">
        <v>344</v>
      </c>
    </row>
    <row r="38" spans="1:24" ht="15.75" customHeight="1" x14ac:dyDescent="0.2">
      <c r="A38" s="30" t="s">
        <v>209</v>
      </c>
      <c r="B38" s="17" t="s">
        <v>47</v>
      </c>
      <c r="C38" s="17" t="s">
        <v>4</v>
      </c>
      <c r="D38" s="29">
        <v>9.4E-2</v>
      </c>
      <c r="E38" s="29">
        <v>0.08</v>
      </c>
      <c r="F38" s="29">
        <v>9.4E-2</v>
      </c>
      <c r="G38" s="29">
        <v>0.109</v>
      </c>
      <c r="H38" s="29">
        <v>0.106</v>
      </c>
      <c r="I38" s="29">
        <v>0.1</v>
      </c>
      <c r="J38" s="29">
        <v>0.1</v>
      </c>
      <c r="K38" s="29">
        <v>0.107</v>
      </c>
      <c r="L38" s="29">
        <v>0.114</v>
      </c>
      <c r="M38" s="29">
        <v>0.10400000000000001</v>
      </c>
      <c r="N38" s="29">
        <v>0.113</v>
      </c>
      <c r="O38" s="29">
        <v>0.10400000000000001</v>
      </c>
      <c r="P38" s="29">
        <v>0.129</v>
      </c>
      <c r="Q38" s="29">
        <v>0.14499999999999999</v>
      </c>
      <c r="R38" s="29">
        <v>0.11699999999999999</v>
      </c>
      <c r="S38" s="29">
        <v>0.14499999999999999</v>
      </c>
      <c r="T38" s="29">
        <v>0.111</v>
      </c>
      <c r="U38" s="29">
        <v>0.11800000000000001</v>
      </c>
      <c r="V38" s="29">
        <v>6.9000000000000006E-2</v>
      </c>
      <c r="W38" s="117" t="s">
        <v>344</v>
      </c>
      <c r="X38" s="117" t="s">
        <v>344</v>
      </c>
    </row>
    <row r="39" spans="1:24" ht="15.75" customHeight="1" x14ac:dyDescent="0.2">
      <c r="A39" s="30" t="s">
        <v>209</v>
      </c>
      <c r="B39" s="17" t="s">
        <v>47</v>
      </c>
      <c r="C39" s="17" t="s">
        <v>32</v>
      </c>
      <c r="D39" s="29">
        <v>0.106</v>
      </c>
      <c r="E39" s="29">
        <v>0.10800000000000001</v>
      </c>
      <c r="F39" s="29">
        <v>0.1</v>
      </c>
      <c r="G39" s="29">
        <v>9.9000000000000005E-2</v>
      </c>
      <c r="H39" s="29">
        <v>0.129</v>
      </c>
      <c r="I39" s="29">
        <v>0.14300000000000002</v>
      </c>
      <c r="J39" s="29">
        <v>0.13100000000000001</v>
      </c>
      <c r="K39" s="29">
        <v>0.13800000000000001</v>
      </c>
      <c r="L39" s="29">
        <v>0.14099999999999999</v>
      </c>
      <c r="M39" s="29">
        <v>0.13500000000000001</v>
      </c>
      <c r="N39" s="29">
        <v>0.14300000000000002</v>
      </c>
      <c r="O39" s="29">
        <v>0.111</v>
      </c>
      <c r="P39" s="29">
        <v>0.129</v>
      </c>
      <c r="Q39" s="29">
        <v>0.12</v>
      </c>
      <c r="R39" s="29">
        <v>0.114</v>
      </c>
      <c r="S39" s="29">
        <v>0.11800000000000001</v>
      </c>
      <c r="T39" s="29">
        <v>0.115</v>
      </c>
      <c r="U39" s="29">
        <v>0.105</v>
      </c>
      <c r="V39" s="29">
        <v>9.6000000000000002E-2</v>
      </c>
      <c r="W39" s="117" t="s">
        <v>344</v>
      </c>
      <c r="X39" s="117" t="s">
        <v>344</v>
      </c>
    </row>
    <row r="40" spans="1:24" ht="15.75" customHeight="1" x14ac:dyDescent="0.2">
      <c r="A40" s="30" t="s">
        <v>209</v>
      </c>
      <c r="B40" s="17" t="s">
        <v>47</v>
      </c>
      <c r="C40" s="17" t="s">
        <v>5</v>
      </c>
      <c r="D40" s="29">
        <v>0.13100000000000001</v>
      </c>
      <c r="E40" s="29">
        <v>0.13400000000000001</v>
      </c>
      <c r="F40" s="29">
        <v>0.13500000000000001</v>
      </c>
      <c r="G40" s="29">
        <v>0.13200000000000001</v>
      </c>
      <c r="H40" s="29">
        <v>0.121</v>
      </c>
      <c r="I40" s="29">
        <v>0.11</v>
      </c>
      <c r="J40" s="29">
        <v>0.12300000000000001</v>
      </c>
      <c r="K40" s="29">
        <v>0.14300000000000002</v>
      </c>
      <c r="L40" s="29">
        <v>0.14800000000000002</v>
      </c>
      <c r="M40" s="29">
        <v>0.151</v>
      </c>
      <c r="N40" s="29">
        <v>0.182</v>
      </c>
      <c r="O40" s="29">
        <v>0.16500000000000001</v>
      </c>
      <c r="P40" s="29">
        <v>0.13</v>
      </c>
      <c r="Q40" s="29">
        <v>0.15</v>
      </c>
      <c r="R40" s="29">
        <v>0.155</v>
      </c>
      <c r="S40" s="29">
        <v>0.105</v>
      </c>
      <c r="T40" s="29">
        <v>0.158</v>
      </c>
      <c r="U40" s="29">
        <v>0.154</v>
      </c>
      <c r="V40" s="29">
        <v>0.12</v>
      </c>
      <c r="W40" s="117" t="s">
        <v>344</v>
      </c>
      <c r="X40" s="117" t="s">
        <v>344</v>
      </c>
    </row>
    <row r="41" spans="1:24" ht="15.75" customHeight="1" x14ac:dyDescent="0.2">
      <c r="A41" s="30" t="s">
        <v>209</v>
      </c>
      <c r="B41" s="17" t="s">
        <v>47</v>
      </c>
      <c r="C41" s="17" t="s">
        <v>6</v>
      </c>
      <c r="D41" s="29">
        <v>0.13400000000000001</v>
      </c>
      <c r="E41" s="29">
        <v>0.125</v>
      </c>
      <c r="F41" s="29">
        <v>0.111</v>
      </c>
      <c r="G41" s="29">
        <v>0.13300000000000001</v>
      </c>
      <c r="H41" s="29">
        <v>0.125</v>
      </c>
      <c r="I41" s="29">
        <v>0.128</v>
      </c>
      <c r="J41" s="29">
        <v>0.12</v>
      </c>
      <c r="K41" s="29">
        <v>0.13699999999999998</v>
      </c>
      <c r="L41" s="29">
        <v>0.13200000000000001</v>
      </c>
      <c r="M41" s="29">
        <v>0.125</v>
      </c>
      <c r="N41" s="29">
        <v>0.13200000000000001</v>
      </c>
      <c r="O41" s="29">
        <v>0.13500000000000001</v>
      </c>
      <c r="P41" s="29">
        <v>0.13699999999999998</v>
      </c>
      <c r="Q41" s="29">
        <v>0.155</v>
      </c>
      <c r="R41" s="29">
        <v>0.13100000000000001</v>
      </c>
      <c r="S41" s="29">
        <v>0.129</v>
      </c>
      <c r="T41" s="29">
        <v>0.11900000000000001</v>
      </c>
      <c r="U41" s="29">
        <v>0.08</v>
      </c>
      <c r="V41" s="29">
        <v>0.121</v>
      </c>
      <c r="W41" s="117" t="s">
        <v>344</v>
      </c>
      <c r="X41" s="117" t="s">
        <v>344</v>
      </c>
    </row>
    <row r="42" spans="1:24" ht="15.75" customHeight="1" x14ac:dyDescent="0.2">
      <c r="A42" s="30" t="s">
        <v>209</v>
      </c>
      <c r="B42" s="17" t="s">
        <v>47</v>
      </c>
      <c r="C42" s="17" t="s">
        <v>8</v>
      </c>
      <c r="D42" s="29">
        <v>8.199999999999999E-2</v>
      </c>
      <c r="E42" s="29">
        <v>7.400000000000001E-2</v>
      </c>
      <c r="F42" s="29">
        <v>7.5999999999999998E-2</v>
      </c>
      <c r="G42" s="29">
        <v>8.199999999999999E-2</v>
      </c>
      <c r="H42" s="29">
        <v>7.0999999999999994E-2</v>
      </c>
      <c r="I42" s="29">
        <v>8.6999999999999994E-2</v>
      </c>
      <c r="J42" s="29">
        <v>9.0999999999999998E-2</v>
      </c>
      <c r="K42" s="29">
        <v>9.4E-2</v>
      </c>
      <c r="L42" s="29">
        <v>8.5999999999999993E-2</v>
      </c>
      <c r="M42" s="29">
        <v>9.6999999999999989E-2</v>
      </c>
      <c r="N42" s="29">
        <v>0.105</v>
      </c>
      <c r="O42" s="29">
        <v>0.10400000000000001</v>
      </c>
      <c r="P42" s="29">
        <v>0.10400000000000001</v>
      </c>
      <c r="Q42" s="29">
        <v>9.4E-2</v>
      </c>
      <c r="R42" s="29">
        <v>8.1000000000000003E-2</v>
      </c>
      <c r="S42" s="29">
        <v>8.5000000000000006E-2</v>
      </c>
      <c r="T42" s="29">
        <v>9.4E-2</v>
      </c>
      <c r="U42" s="29">
        <v>0.113</v>
      </c>
      <c r="V42" s="29">
        <v>0.08</v>
      </c>
      <c r="W42" s="117" t="s">
        <v>344</v>
      </c>
      <c r="X42" s="117" t="s">
        <v>344</v>
      </c>
    </row>
    <row r="43" spans="1:24" ht="15.75" customHeight="1" x14ac:dyDescent="0.2">
      <c r="A43" s="30" t="s">
        <v>209</v>
      </c>
      <c r="B43" s="17" t="s">
        <v>47</v>
      </c>
      <c r="C43" s="17" t="s">
        <v>9</v>
      </c>
      <c r="D43" s="29">
        <v>7.6999999999999999E-2</v>
      </c>
      <c r="E43" s="29">
        <v>8.4000000000000005E-2</v>
      </c>
      <c r="F43" s="29">
        <v>0.10099999999999999</v>
      </c>
      <c r="G43" s="29">
        <v>8.4000000000000005E-2</v>
      </c>
      <c r="H43" s="29">
        <v>6.4000000000000001E-2</v>
      </c>
      <c r="I43" s="29">
        <v>8.5999999999999993E-2</v>
      </c>
      <c r="J43" s="29">
        <v>8.1000000000000003E-2</v>
      </c>
      <c r="K43" s="29">
        <v>0.1</v>
      </c>
      <c r="L43" s="29">
        <v>0.109</v>
      </c>
      <c r="M43" s="29">
        <v>8.8000000000000009E-2</v>
      </c>
      <c r="N43" s="29">
        <v>0.10400000000000001</v>
      </c>
      <c r="O43" s="29">
        <v>0.10400000000000001</v>
      </c>
      <c r="P43" s="29">
        <v>0.121</v>
      </c>
      <c r="Q43" s="29">
        <v>7.0999999999999994E-2</v>
      </c>
      <c r="R43" s="29">
        <v>0.106</v>
      </c>
      <c r="S43" s="29">
        <v>0.124</v>
      </c>
      <c r="T43" s="29">
        <v>9.5000000000000001E-2</v>
      </c>
      <c r="U43" s="29">
        <v>0.09</v>
      </c>
      <c r="V43" s="29">
        <v>0.11800000000000001</v>
      </c>
      <c r="W43" s="117" t="s">
        <v>344</v>
      </c>
      <c r="X43" s="117" t="s">
        <v>344</v>
      </c>
    </row>
    <row r="44" spans="1:24" ht="15.75" customHeight="1" x14ac:dyDescent="0.2">
      <c r="A44" s="30" t="s">
        <v>209</v>
      </c>
      <c r="B44" s="17" t="s">
        <v>47</v>
      </c>
      <c r="C44" s="17" t="s">
        <v>33</v>
      </c>
      <c r="D44" s="29">
        <v>7.0000000000000007E-2</v>
      </c>
      <c r="E44" s="29">
        <v>7.4999999999999997E-2</v>
      </c>
      <c r="F44" s="29">
        <v>8.8000000000000009E-2</v>
      </c>
      <c r="G44" s="29">
        <v>8.6999999999999994E-2</v>
      </c>
      <c r="H44" s="29">
        <v>9.6999999999999989E-2</v>
      </c>
      <c r="I44" s="29">
        <v>9.6000000000000002E-2</v>
      </c>
      <c r="J44" s="29">
        <v>7.4999999999999997E-2</v>
      </c>
      <c r="K44" s="29">
        <v>0.1</v>
      </c>
      <c r="L44" s="29">
        <v>0.113</v>
      </c>
      <c r="M44" s="29">
        <v>8.6999999999999994E-2</v>
      </c>
      <c r="N44" s="29">
        <v>0.11900000000000001</v>
      </c>
      <c r="O44" s="29">
        <v>0.114</v>
      </c>
      <c r="P44" s="29">
        <v>0.109</v>
      </c>
      <c r="Q44" s="29">
        <v>0.13600000000000001</v>
      </c>
      <c r="R44" s="29">
        <v>0.105</v>
      </c>
      <c r="S44" s="29">
        <v>0.111</v>
      </c>
      <c r="T44" s="29">
        <v>0.109</v>
      </c>
      <c r="U44" s="29">
        <v>9.6000000000000002E-2</v>
      </c>
      <c r="V44" s="29">
        <v>0.1</v>
      </c>
      <c r="W44" s="117" t="s">
        <v>344</v>
      </c>
      <c r="X44" s="117" t="s">
        <v>344</v>
      </c>
    </row>
    <row r="45" spans="1:24" ht="15.75" customHeight="1" x14ac:dyDescent="0.2">
      <c r="A45" s="30" t="s">
        <v>209</v>
      </c>
      <c r="B45" s="17" t="s">
        <v>47</v>
      </c>
      <c r="C45" s="17" t="s">
        <v>10</v>
      </c>
      <c r="D45" s="29">
        <v>0.14699999999999999</v>
      </c>
      <c r="E45" s="29">
        <v>0.13400000000000001</v>
      </c>
      <c r="F45" s="29">
        <v>0.151</v>
      </c>
      <c r="G45" s="29">
        <v>0.128</v>
      </c>
      <c r="H45" s="29">
        <v>0.129</v>
      </c>
      <c r="I45" s="29">
        <v>0.124</v>
      </c>
      <c r="J45" s="29">
        <v>0.14300000000000002</v>
      </c>
      <c r="K45" s="29">
        <v>0.155</v>
      </c>
      <c r="L45" s="29">
        <v>0.159</v>
      </c>
      <c r="M45" s="29">
        <v>0.17800000000000002</v>
      </c>
      <c r="N45" s="29">
        <v>0.16500000000000001</v>
      </c>
      <c r="O45" s="29">
        <v>0.13</v>
      </c>
      <c r="P45" s="29">
        <v>0.16200000000000001</v>
      </c>
      <c r="Q45" s="29">
        <v>0.13</v>
      </c>
      <c r="R45" s="29">
        <v>0.13800000000000001</v>
      </c>
      <c r="S45" s="29">
        <v>0.13699999999999998</v>
      </c>
      <c r="T45" s="29">
        <v>0.17600000000000002</v>
      </c>
      <c r="U45" s="29">
        <v>0.14499999999999999</v>
      </c>
      <c r="V45" s="29">
        <v>0.16300000000000001</v>
      </c>
      <c r="W45" s="117" t="s">
        <v>344</v>
      </c>
      <c r="X45" s="117" t="s">
        <v>344</v>
      </c>
    </row>
    <row r="46" spans="1:24" ht="15.75" customHeight="1" x14ac:dyDescent="0.2">
      <c r="A46" s="30" t="s">
        <v>209</v>
      </c>
      <c r="B46" s="17" t="s">
        <v>47</v>
      </c>
      <c r="C46" s="17" t="s">
        <v>11</v>
      </c>
      <c r="D46" s="29">
        <v>7.9000000000000001E-2</v>
      </c>
      <c r="E46" s="29">
        <v>7.2000000000000008E-2</v>
      </c>
      <c r="F46" s="29">
        <v>9.6999999999999989E-2</v>
      </c>
      <c r="G46" s="29">
        <v>7.9000000000000001E-2</v>
      </c>
      <c r="H46" s="29">
        <v>6.8000000000000005E-2</v>
      </c>
      <c r="I46" s="29">
        <v>7.4999999999999997E-2</v>
      </c>
      <c r="J46" s="29">
        <v>8.900000000000001E-2</v>
      </c>
      <c r="K46" s="29">
        <v>9.6000000000000002E-2</v>
      </c>
      <c r="L46" s="29">
        <v>0.109</v>
      </c>
      <c r="M46" s="29">
        <v>7.8E-2</v>
      </c>
      <c r="N46" s="29">
        <v>8.6999999999999994E-2</v>
      </c>
      <c r="O46" s="29">
        <v>0.113</v>
      </c>
      <c r="P46" s="29">
        <v>0.10099999999999999</v>
      </c>
      <c r="Q46" s="29">
        <v>8.900000000000001E-2</v>
      </c>
      <c r="R46" s="29">
        <v>8.5999999999999993E-2</v>
      </c>
      <c r="S46" s="29">
        <v>7.9000000000000001E-2</v>
      </c>
      <c r="T46" s="29">
        <v>0.113</v>
      </c>
      <c r="U46" s="29">
        <v>7.9000000000000001E-2</v>
      </c>
      <c r="V46" s="29">
        <v>9.6999999999999989E-2</v>
      </c>
      <c r="W46" s="117" t="s">
        <v>344</v>
      </c>
      <c r="X46" s="117" t="s">
        <v>344</v>
      </c>
    </row>
    <row r="47" spans="1:24" ht="15.75" customHeight="1" x14ac:dyDescent="0.2">
      <c r="A47" s="30" t="s">
        <v>209</v>
      </c>
      <c r="B47" s="17" t="s">
        <v>47</v>
      </c>
      <c r="C47" s="17" t="s">
        <v>12</v>
      </c>
      <c r="D47" s="29">
        <v>8.8000000000000009E-2</v>
      </c>
      <c r="E47" s="29">
        <v>0.109</v>
      </c>
      <c r="F47" s="29">
        <v>9.5000000000000001E-2</v>
      </c>
      <c r="G47" s="29">
        <v>0.10199999999999999</v>
      </c>
      <c r="H47" s="29">
        <v>9.8000000000000004E-2</v>
      </c>
      <c r="I47" s="29">
        <v>0.11900000000000001</v>
      </c>
      <c r="J47" s="29">
        <v>0.121</v>
      </c>
      <c r="K47" s="29">
        <v>0.12</v>
      </c>
      <c r="L47" s="29">
        <v>0.13200000000000001</v>
      </c>
      <c r="M47" s="29">
        <v>0.14300000000000002</v>
      </c>
      <c r="N47" s="29">
        <v>0.158</v>
      </c>
      <c r="O47" s="29">
        <v>0.154</v>
      </c>
      <c r="P47" s="29">
        <v>0.13600000000000001</v>
      </c>
      <c r="Q47" s="29">
        <v>9.5000000000000001E-2</v>
      </c>
      <c r="R47" s="29">
        <v>0.11199999999999999</v>
      </c>
      <c r="S47" s="29">
        <v>0.109</v>
      </c>
      <c r="T47" s="29">
        <v>7.6999999999999999E-2</v>
      </c>
      <c r="U47" s="29">
        <v>0.10800000000000001</v>
      </c>
      <c r="V47" s="29">
        <v>8.4000000000000005E-2</v>
      </c>
      <c r="W47" s="117" t="s">
        <v>344</v>
      </c>
      <c r="X47" s="117" t="s">
        <v>344</v>
      </c>
    </row>
    <row r="48" spans="1:24" ht="15.75" customHeight="1" x14ac:dyDescent="0.2">
      <c r="A48" s="30" t="s">
        <v>209</v>
      </c>
      <c r="B48" s="17" t="s">
        <v>47</v>
      </c>
      <c r="C48" s="17" t="s">
        <v>13</v>
      </c>
      <c r="D48" s="29">
        <v>0.124</v>
      </c>
      <c r="E48" s="29">
        <v>0.14499999999999999</v>
      </c>
      <c r="F48" s="29">
        <v>0.128</v>
      </c>
      <c r="G48" s="29">
        <v>0.122</v>
      </c>
      <c r="H48" s="29">
        <v>0.14499999999999999</v>
      </c>
      <c r="I48" s="29">
        <v>0.12300000000000001</v>
      </c>
      <c r="J48" s="29">
        <v>0.13600000000000001</v>
      </c>
      <c r="K48" s="29">
        <v>0.121</v>
      </c>
      <c r="L48" s="29">
        <v>0.13</v>
      </c>
      <c r="M48" s="29">
        <v>0.11900000000000001</v>
      </c>
      <c r="N48" s="29">
        <v>0.11800000000000001</v>
      </c>
      <c r="O48" s="29">
        <v>0.11800000000000001</v>
      </c>
      <c r="P48" s="29">
        <v>0.14899999999999999</v>
      </c>
      <c r="Q48" s="29">
        <v>0.153</v>
      </c>
      <c r="R48" s="29">
        <v>0.17899999999999999</v>
      </c>
      <c r="S48" s="29">
        <v>0.14800000000000002</v>
      </c>
      <c r="T48" s="29">
        <v>0.124</v>
      </c>
      <c r="U48" s="29">
        <v>0.14300000000000002</v>
      </c>
      <c r="V48" s="29">
        <v>0.13500000000000001</v>
      </c>
      <c r="W48" s="117" t="s">
        <v>344</v>
      </c>
      <c r="X48" s="117" t="s">
        <v>344</v>
      </c>
    </row>
    <row r="49" spans="1:24" ht="15.75" customHeight="1" x14ac:dyDescent="0.2">
      <c r="A49" s="30" t="s">
        <v>209</v>
      </c>
      <c r="B49" s="17" t="s">
        <v>47</v>
      </c>
      <c r="C49" s="17" t="s">
        <v>7</v>
      </c>
      <c r="D49" s="29">
        <v>0.10099999999999999</v>
      </c>
      <c r="E49" s="29">
        <v>0.11900000000000001</v>
      </c>
      <c r="F49" s="29">
        <v>0.11599999999999999</v>
      </c>
      <c r="G49" s="29">
        <v>0.14499999999999999</v>
      </c>
      <c r="H49" s="29">
        <v>0.13400000000000001</v>
      </c>
      <c r="I49" s="29">
        <v>0.105</v>
      </c>
      <c r="J49" s="29">
        <v>0.14000000000000001</v>
      </c>
      <c r="K49" s="29">
        <v>0.158</v>
      </c>
      <c r="L49" s="29">
        <v>0.14400000000000002</v>
      </c>
      <c r="M49" s="29">
        <v>0.16300000000000001</v>
      </c>
      <c r="N49" s="29">
        <v>0.13500000000000001</v>
      </c>
      <c r="O49" s="29">
        <v>0.16300000000000001</v>
      </c>
      <c r="P49" s="29">
        <v>0.151</v>
      </c>
      <c r="Q49" s="29">
        <v>0.11699999999999999</v>
      </c>
      <c r="R49" s="29">
        <v>0.17100000000000001</v>
      </c>
      <c r="S49" s="29">
        <v>0.14800000000000002</v>
      </c>
      <c r="T49" s="29">
        <v>0.19399999999999998</v>
      </c>
      <c r="U49" s="29">
        <v>0.16300000000000001</v>
      </c>
      <c r="V49" s="29">
        <v>0.19899999999999998</v>
      </c>
      <c r="W49" s="117" t="s">
        <v>344</v>
      </c>
      <c r="X49" s="117" t="s">
        <v>344</v>
      </c>
    </row>
    <row r="50" spans="1:24" ht="15.75" customHeight="1" x14ac:dyDescent="0.2">
      <c r="A50" s="30" t="s">
        <v>209</v>
      </c>
      <c r="B50" s="17" t="s">
        <v>47</v>
      </c>
      <c r="C50" s="17" t="s">
        <v>14</v>
      </c>
      <c r="D50" s="29">
        <v>8.900000000000001E-2</v>
      </c>
      <c r="E50" s="29">
        <v>9.3000000000000013E-2</v>
      </c>
      <c r="F50" s="29">
        <v>9.3000000000000013E-2</v>
      </c>
      <c r="G50" s="29">
        <v>8.8000000000000009E-2</v>
      </c>
      <c r="H50" s="29">
        <v>9.1999999999999998E-2</v>
      </c>
      <c r="I50" s="29">
        <v>8.199999999999999E-2</v>
      </c>
      <c r="J50" s="29">
        <v>0.107</v>
      </c>
      <c r="K50" s="29">
        <v>0.122</v>
      </c>
      <c r="L50" s="29">
        <v>9.6999999999999989E-2</v>
      </c>
      <c r="M50" s="29">
        <v>0.12</v>
      </c>
      <c r="N50" s="29">
        <v>0.11599999999999999</v>
      </c>
      <c r="O50" s="29">
        <v>0.12</v>
      </c>
      <c r="P50" s="29">
        <v>0.14499999999999999</v>
      </c>
      <c r="Q50" s="29">
        <v>0.11800000000000001</v>
      </c>
      <c r="R50" s="29">
        <v>0.10300000000000001</v>
      </c>
      <c r="S50" s="29">
        <v>0.09</v>
      </c>
      <c r="T50" s="29">
        <v>7.5999999999999998E-2</v>
      </c>
      <c r="U50" s="29">
        <v>7.0000000000000007E-2</v>
      </c>
      <c r="V50" s="29">
        <v>0.08</v>
      </c>
      <c r="W50" s="117" t="s">
        <v>344</v>
      </c>
      <c r="X50" s="117" t="s">
        <v>344</v>
      </c>
    </row>
    <row r="51" spans="1:24" ht="15.75" customHeight="1" x14ac:dyDescent="0.2">
      <c r="A51" s="30" t="s">
        <v>209</v>
      </c>
      <c r="B51" s="17" t="s">
        <v>47</v>
      </c>
      <c r="C51" s="17" t="s">
        <v>31</v>
      </c>
      <c r="D51" s="29">
        <v>6.4000000000000001E-2</v>
      </c>
      <c r="E51" s="29">
        <v>6.9000000000000006E-2</v>
      </c>
      <c r="F51" s="29">
        <v>8.4000000000000005E-2</v>
      </c>
      <c r="G51" s="29">
        <v>0.10199999999999999</v>
      </c>
      <c r="H51" s="29">
        <v>0.109</v>
      </c>
      <c r="I51" s="29">
        <v>7.400000000000001E-2</v>
      </c>
      <c r="J51" s="29">
        <v>7.9000000000000001E-2</v>
      </c>
      <c r="K51" s="29">
        <v>0.09</v>
      </c>
      <c r="L51" s="29">
        <v>8.6999999999999994E-2</v>
      </c>
      <c r="M51" s="29">
        <v>8.5999999999999993E-2</v>
      </c>
      <c r="N51" s="29">
        <v>9.0999999999999998E-2</v>
      </c>
      <c r="O51" s="29">
        <v>8.5000000000000006E-2</v>
      </c>
      <c r="P51" s="29">
        <v>9.8000000000000004E-2</v>
      </c>
      <c r="Q51" s="29">
        <v>8.5999999999999993E-2</v>
      </c>
      <c r="R51" s="29">
        <v>0.107</v>
      </c>
      <c r="S51" s="29">
        <v>7.2000000000000008E-2</v>
      </c>
      <c r="T51" s="29">
        <v>6.9000000000000006E-2</v>
      </c>
      <c r="U51" s="29">
        <v>6.4000000000000001E-2</v>
      </c>
      <c r="V51" s="29">
        <v>9.8000000000000004E-2</v>
      </c>
      <c r="W51" s="117" t="s">
        <v>344</v>
      </c>
      <c r="X51" s="117" t="s">
        <v>344</v>
      </c>
    </row>
    <row r="52" spans="1:24" ht="15.75" customHeight="1" x14ac:dyDescent="0.2">
      <c r="A52" s="30" t="s">
        <v>209</v>
      </c>
      <c r="B52" s="17" t="s">
        <v>47</v>
      </c>
      <c r="C52" s="17" t="s">
        <v>15</v>
      </c>
      <c r="D52" s="29">
        <v>0.16300000000000001</v>
      </c>
      <c r="E52" s="29">
        <v>0.193</v>
      </c>
      <c r="F52" s="29">
        <v>0.21100000000000002</v>
      </c>
      <c r="G52" s="29">
        <v>0.22800000000000001</v>
      </c>
      <c r="H52" s="29">
        <v>0.14899999999999999</v>
      </c>
      <c r="I52" s="29">
        <v>0.14199999999999999</v>
      </c>
      <c r="J52" s="29">
        <v>0.16</v>
      </c>
      <c r="K52" s="29">
        <v>0.17100000000000001</v>
      </c>
      <c r="L52" s="29">
        <v>0.17300000000000001</v>
      </c>
      <c r="M52" s="29">
        <v>0.19899999999999998</v>
      </c>
      <c r="N52" s="29">
        <v>0.17699999999999999</v>
      </c>
      <c r="O52" s="29">
        <v>0.17600000000000002</v>
      </c>
      <c r="P52" s="29">
        <v>0.16399999999999998</v>
      </c>
      <c r="Q52" s="29">
        <v>0.21600000000000003</v>
      </c>
      <c r="R52" s="29">
        <v>0.158</v>
      </c>
      <c r="S52" s="29">
        <v>0.158</v>
      </c>
      <c r="T52" s="29">
        <v>0.159</v>
      </c>
      <c r="U52" s="29">
        <v>0.183</v>
      </c>
      <c r="V52" s="29">
        <v>0.111</v>
      </c>
      <c r="W52" s="117" t="s">
        <v>344</v>
      </c>
      <c r="X52" s="117" t="s">
        <v>344</v>
      </c>
    </row>
    <row r="53" spans="1:24" ht="15.75" customHeight="1" x14ac:dyDescent="0.2">
      <c r="A53" s="30" t="s">
        <v>209</v>
      </c>
      <c r="B53" s="17" t="s">
        <v>47</v>
      </c>
      <c r="C53" s="17" t="s">
        <v>16</v>
      </c>
      <c r="D53" s="29">
        <v>0.13100000000000001</v>
      </c>
      <c r="E53" s="29">
        <v>0.124</v>
      </c>
      <c r="F53" s="29">
        <v>0.13800000000000001</v>
      </c>
      <c r="G53" s="29">
        <v>0.151</v>
      </c>
      <c r="H53" s="29">
        <v>0.13300000000000001</v>
      </c>
      <c r="I53" s="29">
        <v>0.13400000000000001</v>
      </c>
      <c r="J53" s="29">
        <v>0.13200000000000001</v>
      </c>
      <c r="K53" s="29">
        <v>0.14099999999999999</v>
      </c>
      <c r="L53" s="29">
        <v>0.13800000000000001</v>
      </c>
      <c r="M53" s="29">
        <v>0.13500000000000001</v>
      </c>
      <c r="N53" s="29">
        <v>0.153</v>
      </c>
      <c r="O53" s="29">
        <v>0.154</v>
      </c>
      <c r="P53" s="29">
        <v>0.17100000000000001</v>
      </c>
      <c r="Q53" s="29">
        <v>0.14499999999999999</v>
      </c>
      <c r="R53" s="29">
        <v>0.15</v>
      </c>
      <c r="S53" s="29">
        <v>0.19699999999999998</v>
      </c>
      <c r="T53" s="29">
        <v>0.13200000000000001</v>
      </c>
      <c r="U53" s="29">
        <v>0.152</v>
      </c>
      <c r="V53" s="29">
        <v>0.152</v>
      </c>
      <c r="W53" s="117" t="s">
        <v>344</v>
      </c>
      <c r="X53" s="117" t="s">
        <v>344</v>
      </c>
    </row>
    <row r="54" spans="1:24" ht="15.75" customHeight="1" x14ac:dyDescent="0.2">
      <c r="A54" s="30" t="s">
        <v>209</v>
      </c>
      <c r="B54" s="17" t="s">
        <v>47</v>
      </c>
      <c r="C54" s="17" t="s">
        <v>26</v>
      </c>
      <c r="D54" s="29">
        <v>7.4999999999999997E-2</v>
      </c>
      <c r="E54" s="29">
        <v>6.8000000000000005E-2</v>
      </c>
      <c r="F54" s="29">
        <v>6.4000000000000001E-2</v>
      </c>
      <c r="G54" s="29">
        <v>7.400000000000001E-2</v>
      </c>
      <c r="H54" s="29">
        <v>6.7000000000000004E-2</v>
      </c>
      <c r="I54" s="29">
        <v>7.2000000000000008E-2</v>
      </c>
      <c r="J54" s="29">
        <v>9.8000000000000004E-2</v>
      </c>
      <c r="K54" s="29">
        <v>0.107</v>
      </c>
      <c r="L54" s="29">
        <v>9.6999999999999989E-2</v>
      </c>
      <c r="M54" s="29">
        <v>0.105</v>
      </c>
      <c r="N54" s="29">
        <v>9.6000000000000002E-2</v>
      </c>
      <c r="O54" s="29">
        <v>9.3000000000000013E-2</v>
      </c>
      <c r="P54" s="29">
        <v>8.8000000000000009E-2</v>
      </c>
      <c r="Q54" s="29">
        <v>0.11599999999999999</v>
      </c>
      <c r="R54" s="29">
        <v>8.8000000000000009E-2</v>
      </c>
      <c r="S54" s="29">
        <v>8.3000000000000004E-2</v>
      </c>
      <c r="T54" s="29">
        <v>9.6000000000000002E-2</v>
      </c>
      <c r="U54" s="29">
        <v>6.8000000000000005E-2</v>
      </c>
      <c r="V54" s="29">
        <v>5.0999999999999997E-2</v>
      </c>
      <c r="W54" s="117" t="s">
        <v>344</v>
      </c>
      <c r="X54" s="117" t="s">
        <v>344</v>
      </c>
    </row>
    <row r="55" spans="1:24" ht="15.75" customHeight="1" x14ac:dyDescent="0.2">
      <c r="A55" s="30" t="s">
        <v>209</v>
      </c>
      <c r="B55" s="17" t="s">
        <v>47</v>
      </c>
      <c r="C55" s="17" t="s">
        <v>17</v>
      </c>
      <c r="D55" s="29">
        <v>0.16399999999999998</v>
      </c>
      <c r="E55" s="29">
        <v>0.154</v>
      </c>
      <c r="F55" s="29">
        <v>0.14000000000000001</v>
      </c>
      <c r="G55" s="29">
        <v>0.156</v>
      </c>
      <c r="H55" s="29">
        <v>0.16300000000000001</v>
      </c>
      <c r="I55" s="29">
        <v>0.17300000000000001</v>
      </c>
      <c r="J55" s="29">
        <v>0.17</v>
      </c>
      <c r="K55" s="29">
        <v>0.17499999999999999</v>
      </c>
      <c r="L55" s="29">
        <v>0.18600000000000003</v>
      </c>
      <c r="M55" s="29">
        <v>0.18</v>
      </c>
      <c r="N55" s="29">
        <v>0.17399999999999999</v>
      </c>
      <c r="O55" s="29">
        <v>0.17800000000000002</v>
      </c>
      <c r="P55" s="29">
        <v>0.20199999999999999</v>
      </c>
      <c r="Q55" s="29">
        <v>0.191</v>
      </c>
      <c r="R55" s="29">
        <v>0.19</v>
      </c>
      <c r="S55" s="29">
        <v>0.20800000000000002</v>
      </c>
      <c r="T55" s="29">
        <v>0.218</v>
      </c>
      <c r="U55" s="29">
        <v>0.223</v>
      </c>
      <c r="V55" s="29">
        <v>0.20300000000000001</v>
      </c>
      <c r="W55" s="117" t="s">
        <v>344</v>
      </c>
      <c r="X55" s="117" t="s">
        <v>344</v>
      </c>
    </row>
    <row r="56" spans="1:24" ht="15.75" customHeight="1" x14ac:dyDescent="0.2">
      <c r="A56" s="30" t="s">
        <v>209</v>
      </c>
      <c r="B56" s="17" t="s">
        <v>47</v>
      </c>
      <c r="C56" s="17" t="s">
        <v>18</v>
      </c>
      <c r="D56" s="29">
        <v>0.13</v>
      </c>
      <c r="E56" s="29">
        <v>0.14099999999999999</v>
      </c>
      <c r="F56" s="29">
        <v>0.13600000000000001</v>
      </c>
      <c r="G56" s="29">
        <v>0.122</v>
      </c>
      <c r="H56" s="29">
        <v>0.14000000000000001</v>
      </c>
      <c r="I56" s="29">
        <v>0.12</v>
      </c>
      <c r="J56" s="29">
        <v>0.13600000000000001</v>
      </c>
      <c r="K56" s="29">
        <v>0.14099999999999999</v>
      </c>
      <c r="L56" s="29">
        <v>0.12</v>
      </c>
      <c r="M56" s="29">
        <v>0.11900000000000001</v>
      </c>
      <c r="N56" s="29">
        <v>9.8000000000000004E-2</v>
      </c>
      <c r="O56" s="29">
        <v>0.124</v>
      </c>
      <c r="P56" s="29">
        <v>9.4E-2</v>
      </c>
      <c r="Q56" s="29">
        <v>0.109</v>
      </c>
      <c r="R56" s="29">
        <v>0.14300000000000002</v>
      </c>
      <c r="S56" s="29">
        <v>0.12300000000000001</v>
      </c>
      <c r="T56" s="29">
        <v>0.128</v>
      </c>
      <c r="U56" s="29">
        <v>3.9E-2</v>
      </c>
      <c r="V56" s="29">
        <v>0.11900000000000001</v>
      </c>
      <c r="W56" s="117" t="s">
        <v>344</v>
      </c>
      <c r="X56" s="117" t="s">
        <v>344</v>
      </c>
    </row>
    <row r="57" spans="1:24" ht="15.75" customHeight="1" x14ac:dyDescent="0.2">
      <c r="A57" s="30" t="s">
        <v>209</v>
      </c>
      <c r="B57" s="17" t="s">
        <v>47</v>
      </c>
      <c r="C57" s="17" t="s">
        <v>19</v>
      </c>
      <c r="D57" s="29">
        <v>0.121</v>
      </c>
      <c r="E57" s="29">
        <v>0.11199999999999999</v>
      </c>
      <c r="F57" s="29">
        <v>0.12</v>
      </c>
      <c r="G57" s="29">
        <v>0.115</v>
      </c>
      <c r="H57" s="29">
        <v>0.124</v>
      </c>
      <c r="I57" s="29">
        <v>0.14899999999999999</v>
      </c>
      <c r="J57" s="29">
        <v>0.13100000000000001</v>
      </c>
      <c r="K57" s="29">
        <v>0.14099999999999999</v>
      </c>
      <c r="L57" s="29">
        <v>0.13500000000000001</v>
      </c>
      <c r="M57" s="29">
        <v>0.13800000000000001</v>
      </c>
      <c r="N57" s="29">
        <v>0.13200000000000001</v>
      </c>
      <c r="O57" s="29">
        <v>0.126</v>
      </c>
      <c r="P57" s="29">
        <v>0.125</v>
      </c>
      <c r="Q57" s="29">
        <v>0.13800000000000001</v>
      </c>
      <c r="R57" s="29">
        <v>0.13400000000000001</v>
      </c>
      <c r="S57" s="29">
        <v>0.156</v>
      </c>
      <c r="T57" s="29">
        <v>0.10300000000000001</v>
      </c>
      <c r="U57" s="29">
        <v>0.14099999999999999</v>
      </c>
      <c r="V57" s="29">
        <v>0.14699999999999999</v>
      </c>
      <c r="W57" s="117" t="s">
        <v>344</v>
      </c>
      <c r="X57" s="117" t="s">
        <v>344</v>
      </c>
    </row>
    <row r="58" spans="1:24" ht="15.75" customHeight="1" x14ac:dyDescent="0.2">
      <c r="A58" s="30" t="s">
        <v>209</v>
      </c>
      <c r="B58" s="17" t="s">
        <v>47</v>
      </c>
      <c r="C58" s="17" t="s">
        <v>20</v>
      </c>
      <c r="D58" s="29">
        <v>9.6000000000000002E-2</v>
      </c>
      <c r="E58" s="29">
        <v>9.4E-2</v>
      </c>
      <c r="F58" s="29">
        <v>9.5000000000000001E-2</v>
      </c>
      <c r="G58" s="29">
        <v>7.8E-2</v>
      </c>
      <c r="H58" s="29">
        <v>9.3000000000000013E-2</v>
      </c>
      <c r="I58" s="29">
        <v>0.10300000000000001</v>
      </c>
      <c r="J58" s="29">
        <v>9.8000000000000004E-2</v>
      </c>
      <c r="K58" s="29">
        <v>0.1</v>
      </c>
      <c r="L58" s="29">
        <v>0.12</v>
      </c>
      <c r="M58" s="29">
        <v>9.6000000000000002E-2</v>
      </c>
      <c r="N58" s="29">
        <v>0.111</v>
      </c>
      <c r="O58" s="29">
        <v>0.11199999999999999</v>
      </c>
      <c r="P58" s="29">
        <v>0.13900000000000001</v>
      </c>
      <c r="Q58" s="29">
        <v>0.11599999999999999</v>
      </c>
      <c r="R58" s="29">
        <v>0.14899999999999999</v>
      </c>
      <c r="S58" s="29">
        <v>0.126</v>
      </c>
      <c r="T58" s="29">
        <v>0.13400000000000001</v>
      </c>
      <c r="U58" s="29">
        <v>0.11599999999999999</v>
      </c>
      <c r="V58" s="29">
        <v>0.10199999999999999</v>
      </c>
      <c r="W58" s="117" t="s">
        <v>344</v>
      </c>
      <c r="X58" s="117" t="s">
        <v>344</v>
      </c>
    </row>
    <row r="59" spans="1:24" ht="15.75" customHeight="1" x14ac:dyDescent="0.2">
      <c r="A59" s="30" t="s">
        <v>209</v>
      </c>
      <c r="B59" s="17" t="s">
        <v>47</v>
      </c>
      <c r="C59" s="17" t="s">
        <v>21</v>
      </c>
      <c r="D59" s="29">
        <v>0.13900000000000001</v>
      </c>
      <c r="E59" s="29">
        <v>0.14000000000000001</v>
      </c>
      <c r="F59" s="29">
        <v>0.122</v>
      </c>
      <c r="G59" s="29">
        <v>0.13200000000000001</v>
      </c>
      <c r="H59" s="29">
        <v>0.13300000000000001</v>
      </c>
      <c r="I59" s="29">
        <v>0.13</v>
      </c>
      <c r="J59" s="29">
        <v>0.155</v>
      </c>
      <c r="K59" s="29">
        <v>0.14099999999999999</v>
      </c>
      <c r="L59" s="29">
        <v>0.17699999999999999</v>
      </c>
      <c r="M59" s="29">
        <v>0.13100000000000001</v>
      </c>
      <c r="N59" s="29">
        <v>0.127</v>
      </c>
      <c r="O59" s="29">
        <v>0.115</v>
      </c>
      <c r="P59" s="29">
        <v>0.14800000000000002</v>
      </c>
      <c r="Q59" s="29">
        <v>0.155</v>
      </c>
      <c r="R59" s="29">
        <v>0.127</v>
      </c>
      <c r="S59" s="29">
        <v>0.12300000000000001</v>
      </c>
      <c r="T59" s="29">
        <v>0.13800000000000001</v>
      </c>
      <c r="U59" s="29">
        <v>0.126</v>
      </c>
      <c r="V59" s="29">
        <v>0.1</v>
      </c>
      <c r="W59" s="117" t="s">
        <v>344</v>
      </c>
      <c r="X59" s="117" t="s">
        <v>344</v>
      </c>
    </row>
    <row r="60" spans="1:24" ht="15.75" customHeight="1" x14ac:dyDescent="0.2">
      <c r="A60" s="30" t="s">
        <v>209</v>
      </c>
      <c r="B60" s="17" t="s">
        <v>47</v>
      </c>
      <c r="C60" s="17" t="s">
        <v>27</v>
      </c>
      <c r="D60" s="29">
        <v>6.8000000000000005E-2</v>
      </c>
      <c r="E60" s="29">
        <v>6.3E-2</v>
      </c>
      <c r="F60" s="29">
        <v>7.8E-2</v>
      </c>
      <c r="G60" s="29">
        <v>7.2000000000000008E-2</v>
      </c>
      <c r="H60" s="29">
        <v>7.8E-2</v>
      </c>
      <c r="I60" s="29">
        <v>8.5999999999999993E-2</v>
      </c>
      <c r="J60" s="29">
        <v>8.3000000000000004E-2</v>
      </c>
      <c r="K60" s="29">
        <v>0.08</v>
      </c>
      <c r="L60" s="29">
        <v>6.0999999999999999E-2</v>
      </c>
      <c r="M60" s="29">
        <v>6.3E-2</v>
      </c>
      <c r="N60" s="29">
        <v>8.5999999999999993E-2</v>
      </c>
      <c r="O60" s="29">
        <v>6.5000000000000002E-2</v>
      </c>
      <c r="P60" s="29">
        <v>6.3E-2</v>
      </c>
      <c r="Q60" s="29">
        <v>7.9000000000000001E-2</v>
      </c>
      <c r="R60" s="29">
        <v>6.7000000000000004E-2</v>
      </c>
      <c r="S60" s="29">
        <v>9.3000000000000013E-2</v>
      </c>
      <c r="T60" s="29">
        <v>6.7000000000000004E-2</v>
      </c>
      <c r="U60" s="29">
        <v>8.199999999999999E-2</v>
      </c>
      <c r="V60" s="29">
        <v>7.8E-2</v>
      </c>
      <c r="W60" s="117" t="s">
        <v>344</v>
      </c>
      <c r="X60" s="117" t="s">
        <v>344</v>
      </c>
    </row>
    <row r="61" spans="1:24" ht="15.75" customHeight="1" x14ac:dyDescent="0.2">
      <c r="A61" s="30" t="s">
        <v>209</v>
      </c>
      <c r="B61" s="17" t="s">
        <v>47</v>
      </c>
      <c r="C61" s="17" t="s">
        <v>28</v>
      </c>
      <c r="D61" s="29">
        <v>7.5999999999999998E-2</v>
      </c>
      <c r="E61" s="29">
        <v>6.9000000000000006E-2</v>
      </c>
      <c r="F61" s="29">
        <v>7.400000000000001E-2</v>
      </c>
      <c r="G61" s="29">
        <v>8.1000000000000003E-2</v>
      </c>
      <c r="H61" s="29">
        <v>7.2999999999999995E-2</v>
      </c>
      <c r="I61" s="29">
        <v>7.9000000000000001E-2</v>
      </c>
      <c r="J61" s="29">
        <v>8.5999999999999993E-2</v>
      </c>
      <c r="K61" s="29">
        <v>7.6999999999999999E-2</v>
      </c>
      <c r="L61" s="29">
        <v>9.6000000000000002E-2</v>
      </c>
      <c r="M61" s="29">
        <v>7.6999999999999999E-2</v>
      </c>
      <c r="N61" s="29">
        <v>8.199999999999999E-2</v>
      </c>
      <c r="O61" s="29">
        <v>6.4000000000000001E-2</v>
      </c>
      <c r="P61" s="29">
        <v>9.3000000000000013E-2</v>
      </c>
      <c r="Q61" s="29">
        <v>0.106</v>
      </c>
      <c r="R61" s="29">
        <v>0.127</v>
      </c>
      <c r="S61" s="29">
        <v>0.11</v>
      </c>
      <c r="T61" s="29">
        <v>0.127</v>
      </c>
      <c r="U61" s="29">
        <v>8.8000000000000009E-2</v>
      </c>
      <c r="V61" s="29">
        <v>8.5999999999999993E-2</v>
      </c>
      <c r="W61" s="117" t="s">
        <v>344</v>
      </c>
      <c r="X61" s="117" t="s">
        <v>344</v>
      </c>
    </row>
    <row r="62" spans="1:24" ht="31.5" customHeight="1" x14ac:dyDescent="0.2">
      <c r="A62" s="30" t="s">
        <v>209</v>
      </c>
      <c r="B62" s="17" t="s">
        <v>182</v>
      </c>
      <c r="C62" s="17" t="s">
        <v>54</v>
      </c>
      <c r="D62" s="29" t="s">
        <v>190</v>
      </c>
      <c r="E62" s="29" t="s">
        <v>190</v>
      </c>
      <c r="F62" s="29" t="s">
        <v>190</v>
      </c>
      <c r="G62" s="29" t="s">
        <v>190</v>
      </c>
      <c r="H62" s="29" t="s">
        <v>190</v>
      </c>
      <c r="I62" s="29" t="s">
        <v>190</v>
      </c>
      <c r="J62" s="29" t="s">
        <v>190</v>
      </c>
      <c r="K62" s="29" t="s">
        <v>190</v>
      </c>
      <c r="L62" s="29">
        <v>0.109</v>
      </c>
      <c r="M62" s="29">
        <v>0.10400000000000001</v>
      </c>
      <c r="N62" s="29">
        <v>0.10199999999999999</v>
      </c>
      <c r="O62" s="29">
        <v>9.9000000000000005E-2</v>
      </c>
      <c r="P62" s="29">
        <v>0.121</v>
      </c>
      <c r="Q62" s="29">
        <v>0.13800000000000001</v>
      </c>
      <c r="R62" s="29">
        <v>0.13100000000000001</v>
      </c>
      <c r="S62" s="29">
        <v>0.12</v>
      </c>
      <c r="T62" s="29">
        <v>0.10300000000000001</v>
      </c>
      <c r="U62" s="29">
        <v>0.124</v>
      </c>
      <c r="V62" s="65">
        <v>0.122</v>
      </c>
      <c r="W62" s="117" t="s">
        <v>344</v>
      </c>
      <c r="X62" s="117" t="s">
        <v>344</v>
      </c>
    </row>
    <row r="63" spans="1:24" ht="15.75" customHeight="1" x14ac:dyDescent="0.2">
      <c r="A63" s="30" t="s">
        <v>209</v>
      </c>
      <c r="B63" s="17" t="s">
        <v>182</v>
      </c>
      <c r="C63" s="17" t="s">
        <v>55</v>
      </c>
      <c r="D63" s="29" t="s">
        <v>190</v>
      </c>
      <c r="E63" s="29" t="s">
        <v>190</v>
      </c>
      <c r="F63" s="29" t="s">
        <v>190</v>
      </c>
      <c r="G63" s="29" t="s">
        <v>190</v>
      </c>
      <c r="H63" s="29" t="s">
        <v>190</v>
      </c>
      <c r="I63" s="29" t="s">
        <v>190</v>
      </c>
      <c r="J63" s="29" t="s">
        <v>190</v>
      </c>
      <c r="K63" s="29" t="s">
        <v>190</v>
      </c>
      <c r="L63" s="29">
        <v>0.14699999999999999</v>
      </c>
      <c r="M63" s="29">
        <v>0.12300000000000001</v>
      </c>
      <c r="N63" s="29">
        <v>0.18600000000000003</v>
      </c>
      <c r="O63" s="29">
        <v>0.223</v>
      </c>
      <c r="P63" s="29">
        <v>0.218</v>
      </c>
      <c r="Q63" s="29">
        <v>0.157</v>
      </c>
      <c r="R63" s="29">
        <v>0.14800000000000002</v>
      </c>
      <c r="S63" s="29">
        <v>0.22699999999999998</v>
      </c>
      <c r="T63" s="29">
        <v>0.19699999999999998</v>
      </c>
      <c r="U63" s="29" t="s">
        <v>208</v>
      </c>
      <c r="V63" s="65">
        <v>0.6</v>
      </c>
      <c r="W63" s="117" t="s">
        <v>344</v>
      </c>
      <c r="X63" s="117" t="s">
        <v>344</v>
      </c>
    </row>
    <row r="64" spans="1:24" ht="15.75" customHeight="1" x14ac:dyDescent="0.2">
      <c r="A64" s="30" t="s">
        <v>209</v>
      </c>
      <c r="B64" s="17" t="s">
        <v>182</v>
      </c>
      <c r="C64" s="17" t="s">
        <v>56</v>
      </c>
      <c r="D64" s="29" t="s">
        <v>190</v>
      </c>
      <c r="E64" s="29" t="s">
        <v>190</v>
      </c>
      <c r="F64" s="29" t="s">
        <v>190</v>
      </c>
      <c r="G64" s="29" t="s">
        <v>190</v>
      </c>
      <c r="H64" s="29" t="s">
        <v>190</v>
      </c>
      <c r="I64" s="29" t="s">
        <v>190</v>
      </c>
      <c r="J64" s="29" t="s">
        <v>190</v>
      </c>
      <c r="K64" s="29" t="s">
        <v>190</v>
      </c>
      <c r="L64" s="29">
        <v>9.0999999999999998E-2</v>
      </c>
      <c r="M64" s="29">
        <v>0.16899999999999998</v>
      </c>
      <c r="N64" s="29">
        <v>0.158</v>
      </c>
      <c r="O64" s="29">
        <v>0.13500000000000001</v>
      </c>
      <c r="P64" s="29">
        <v>0.128</v>
      </c>
      <c r="Q64" s="29">
        <v>0.153</v>
      </c>
      <c r="R64" s="29">
        <v>0.13</v>
      </c>
      <c r="S64" s="29">
        <v>0.16600000000000001</v>
      </c>
      <c r="T64" s="29">
        <v>0.114</v>
      </c>
      <c r="U64" s="29">
        <v>8.8000000000000009E-2</v>
      </c>
      <c r="V64" s="65">
        <v>0.13800000000000001</v>
      </c>
      <c r="W64" s="117" t="s">
        <v>344</v>
      </c>
      <c r="X64" s="117" t="s">
        <v>344</v>
      </c>
    </row>
    <row r="65" spans="1:24" ht="15.75" customHeight="1" x14ac:dyDescent="0.2">
      <c r="A65" s="30" t="s">
        <v>209</v>
      </c>
      <c r="B65" s="17" t="s">
        <v>182</v>
      </c>
      <c r="C65" s="17" t="s">
        <v>57</v>
      </c>
      <c r="D65" s="29" t="s">
        <v>190</v>
      </c>
      <c r="E65" s="29" t="s">
        <v>190</v>
      </c>
      <c r="F65" s="29" t="s">
        <v>190</v>
      </c>
      <c r="G65" s="29" t="s">
        <v>190</v>
      </c>
      <c r="H65" s="29" t="s">
        <v>190</v>
      </c>
      <c r="I65" s="29" t="s">
        <v>190</v>
      </c>
      <c r="J65" s="29" t="s">
        <v>190</v>
      </c>
      <c r="K65" s="29" t="s">
        <v>190</v>
      </c>
      <c r="L65" s="29">
        <v>0.27500000000000002</v>
      </c>
      <c r="M65" s="29">
        <v>0.32799999999999996</v>
      </c>
      <c r="N65" s="29">
        <v>0.20100000000000001</v>
      </c>
      <c r="O65" s="29">
        <v>0.16200000000000001</v>
      </c>
      <c r="P65" s="29">
        <v>0.14000000000000001</v>
      </c>
      <c r="Q65" s="29">
        <v>0.11199999999999999</v>
      </c>
      <c r="R65" s="29">
        <v>0.20199999999999999</v>
      </c>
      <c r="S65" s="29">
        <v>0.13800000000000001</v>
      </c>
      <c r="T65" s="29">
        <v>0.20800000000000002</v>
      </c>
      <c r="U65" s="29">
        <v>0.46200000000000002</v>
      </c>
      <c r="V65" s="65">
        <v>0.23699999999999999</v>
      </c>
      <c r="W65" s="117" t="s">
        <v>344</v>
      </c>
      <c r="X65" s="117" t="s">
        <v>344</v>
      </c>
    </row>
    <row r="66" spans="1:24" ht="15.75" customHeight="1" x14ac:dyDescent="0.2">
      <c r="A66" s="30" t="s">
        <v>209</v>
      </c>
      <c r="B66" s="17" t="s">
        <v>182</v>
      </c>
      <c r="C66" s="17" t="s">
        <v>58</v>
      </c>
      <c r="D66" s="29" t="s">
        <v>190</v>
      </c>
      <c r="E66" s="29" t="s">
        <v>190</v>
      </c>
      <c r="F66" s="29" t="s">
        <v>190</v>
      </c>
      <c r="G66" s="29" t="s">
        <v>190</v>
      </c>
      <c r="H66" s="29" t="s">
        <v>190</v>
      </c>
      <c r="I66" s="29" t="s">
        <v>190</v>
      </c>
      <c r="J66" s="29" t="s">
        <v>190</v>
      </c>
      <c r="K66" s="29" t="s">
        <v>190</v>
      </c>
      <c r="L66" s="29">
        <v>0.13200000000000001</v>
      </c>
      <c r="M66" s="29">
        <v>0.128</v>
      </c>
      <c r="N66" s="29">
        <v>0.129</v>
      </c>
      <c r="O66" s="29">
        <v>0.114</v>
      </c>
      <c r="P66" s="29">
        <v>0.12300000000000001</v>
      </c>
      <c r="Q66" s="29">
        <v>0.14499999999999999</v>
      </c>
      <c r="R66" s="29">
        <v>0.128</v>
      </c>
      <c r="S66" s="29">
        <v>0.14499999999999999</v>
      </c>
      <c r="T66" s="29">
        <v>0.127</v>
      </c>
      <c r="U66" s="29">
        <v>0.14499999999999999</v>
      </c>
      <c r="V66" s="65">
        <v>0.115</v>
      </c>
      <c r="W66" s="117" t="s">
        <v>344</v>
      </c>
      <c r="X66" s="117" t="s">
        <v>344</v>
      </c>
    </row>
    <row r="67" spans="1:24" ht="15.75" customHeight="1" x14ac:dyDescent="0.2">
      <c r="A67" s="30" t="s">
        <v>209</v>
      </c>
      <c r="B67" s="17" t="s">
        <v>182</v>
      </c>
      <c r="C67" s="17" t="s">
        <v>96</v>
      </c>
      <c r="D67" s="29" t="s">
        <v>190</v>
      </c>
      <c r="E67" s="29" t="s">
        <v>190</v>
      </c>
      <c r="F67" s="29" t="s">
        <v>190</v>
      </c>
      <c r="G67" s="29" t="s">
        <v>190</v>
      </c>
      <c r="H67" s="29" t="s">
        <v>190</v>
      </c>
      <c r="I67" s="29" t="s">
        <v>190</v>
      </c>
      <c r="J67" s="29" t="s">
        <v>190</v>
      </c>
      <c r="K67" s="29" t="s">
        <v>190</v>
      </c>
      <c r="L67" s="29">
        <v>0.16300000000000001</v>
      </c>
      <c r="M67" s="29">
        <v>0.14800000000000002</v>
      </c>
      <c r="N67" s="29">
        <v>0.187</v>
      </c>
      <c r="O67" s="29">
        <v>0.183</v>
      </c>
      <c r="P67" s="29">
        <v>0.25700000000000001</v>
      </c>
      <c r="Q67" s="29">
        <v>0.19399999999999998</v>
      </c>
      <c r="R67" s="29">
        <v>0.22399999999999998</v>
      </c>
      <c r="S67" s="29">
        <v>0.25700000000000001</v>
      </c>
      <c r="T67" s="29">
        <v>0.33399999999999996</v>
      </c>
      <c r="U67" s="29">
        <v>0.35</v>
      </c>
      <c r="V67" s="65">
        <v>0.20799999999999999</v>
      </c>
      <c r="W67" s="117" t="s">
        <v>344</v>
      </c>
      <c r="X67" s="117" t="s">
        <v>344</v>
      </c>
    </row>
    <row r="68" spans="1:24" ht="15.75" customHeight="1" x14ac:dyDescent="0.2">
      <c r="A68" s="30" t="s">
        <v>209</v>
      </c>
      <c r="B68" s="17" t="s">
        <v>182</v>
      </c>
      <c r="C68" s="17" t="s">
        <v>59</v>
      </c>
      <c r="D68" s="29" t="s">
        <v>190</v>
      </c>
      <c r="E68" s="29" t="s">
        <v>190</v>
      </c>
      <c r="F68" s="29" t="s">
        <v>190</v>
      </c>
      <c r="G68" s="29" t="s">
        <v>190</v>
      </c>
      <c r="H68" s="29" t="s">
        <v>190</v>
      </c>
      <c r="I68" s="29" t="s">
        <v>190</v>
      </c>
      <c r="J68" s="29" t="s">
        <v>190</v>
      </c>
      <c r="K68" s="29" t="s">
        <v>190</v>
      </c>
      <c r="L68" s="29">
        <v>0.17300000000000001</v>
      </c>
      <c r="M68" s="29">
        <v>0.32200000000000001</v>
      </c>
      <c r="N68" s="29">
        <v>0.30399999999999999</v>
      </c>
      <c r="O68" s="29">
        <v>0.22399999999999998</v>
      </c>
      <c r="P68" s="29">
        <v>0.23699999999999999</v>
      </c>
      <c r="Q68" s="29">
        <v>0.16399999999999998</v>
      </c>
      <c r="R68" s="29">
        <v>0.29199999999999998</v>
      </c>
      <c r="S68" s="29">
        <v>0.42200000000000004</v>
      </c>
      <c r="T68" s="29">
        <v>0.28499999999999998</v>
      </c>
      <c r="U68" s="29">
        <v>0.34200000000000003</v>
      </c>
      <c r="V68" s="65">
        <v>0.48100000000000004</v>
      </c>
      <c r="W68" s="117" t="s">
        <v>344</v>
      </c>
      <c r="X68" s="117" t="s">
        <v>344</v>
      </c>
    </row>
    <row r="69" spans="1:24" ht="15.75" customHeight="1" x14ac:dyDescent="0.2">
      <c r="A69" s="30" t="s">
        <v>209</v>
      </c>
      <c r="B69" s="17" t="s">
        <v>182</v>
      </c>
      <c r="C69" s="17" t="s">
        <v>60</v>
      </c>
      <c r="D69" s="29" t="s">
        <v>190</v>
      </c>
      <c r="E69" s="29" t="s">
        <v>190</v>
      </c>
      <c r="F69" s="29" t="s">
        <v>190</v>
      </c>
      <c r="G69" s="29" t="s">
        <v>190</v>
      </c>
      <c r="H69" s="29" t="s">
        <v>190</v>
      </c>
      <c r="I69" s="29" t="s">
        <v>190</v>
      </c>
      <c r="J69" s="29" t="s">
        <v>190</v>
      </c>
      <c r="K69" s="29" t="s">
        <v>190</v>
      </c>
      <c r="L69" s="29">
        <v>0.22500000000000001</v>
      </c>
      <c r="M69" s="29">
        <v>0.18899999999999997</v>
      </c>
      <c r="N69" s="29">
        <v>0.13400000000000001</v>
      </c>
      <c r="O69" s="29">
        <v>0.11900000000000001</v>
      </c>
      <c r="P69" s="29">
        <v>0.19</v>
      </c>
      <c r="Q69" s="29">
        <v>0.18899999999999997</v>
      </c>
      <c r="R69" s="29">
        <v>0.28800000000000003</v>
      </c>
      <c r="S69" s="29">
        <v>0.23399999999999999</v>
      </c>
      <c r="T69" s="29">
        <v>0.217</v>
      </c>
      <c r="U69" s="29" t="s">
        <v>208</v>
      </c>
      <c r="V69" s="29" t="s">
        <v>208</v>
      </c>
      <c r="W69" s="117" t="s">
        <v>344</v>
      </c>
      <c r="X69" s="117" t="s">
        <v>344</v>
      </c>
    </row>
    <row r="70" spans="1:24" ht="15.75" customHeight="1" x14ac:dyDescent="0.2">
      <c r="A70" s="30" t="s">
        <v>209</v>
      </c>
      <c r="B70" s="17" t="s">
        <v>182</v>
      </c>
      <c r="C70" s="17" t="s">
        <v>97</v>
      </c>
      <c r="D70" s="29" t="s">
        <v>190</v>
      </c>
      <c r="E70" s="29" t="s">
        <v>190</v>
      </c>
      <c r="F70" s="29" t="s">
        <v>190</v>
      </c>
      <c r="G70" s="29" t="s">
        <v>190</v>
      </c>
      <c r="H70" s="29" t="s">
        <v>190</v>
      </c>
      <c r="I70" s="29" t="s">
        <v>190</v>
      </c>
      <c r="J70" s="29" t="s">
        <v>190</v>
      </c>
      <c r="K70" s="29" t="s">
        <v>190</v>
      </c>
      <c r="L70" s="29">
        <v>0.151</v>
      </c>
      <c r="M70" s="29">
        <v>0.184</v>
      </c>
      <c r="N70" s="29">
        <v>0.222</v>
      </c>
      <c r="O70" s="29">
        <v>0.17300000000000001</v>
      </c>
      <c r="P70" s="29">
        <v>0.22</v>
      </c>
      <c r="Q70" s="29">
        <v>0.29299999999999998</v>
      </c>
      <c r="R70" s="29">
        <v>0.39</v>
      </c>
      <c r="S70" s="29">
        <v>9.5000000000000001E-2</v>
      </c>
      <c r="T70" s="29">
        <v>0.23</v>
      </c>
      <c r="U70" s="29">
        <v>0.24600000000000002</v>
      </c>
      <c r="V70" s="65">
        <v>0.20300000000000001</v>
      </c>
      <c r="W70" s="117" t="s">
        <v>344</v>
      </c>
      <c r="X70" s="117" t="s">
        <v>344</v>
      </c>
    </row>
    <row r="71" spans="1:24" ht="15.75" customHeight="1" x14ac:dyDescent="0.2">
      <c r="A71" s="30" t="s">
        <v>209</v>
      </c>
      <c r="B71" s="17" t="s">
        <v>182</v>
      </c>
      <c r="C71" s="17" t="s">
        <v>61</v>
      </c>
      <c r="D71" s="29" t="s">
        <v>190</v>
      </c>
      <c r="E71" s="29" t="s">
        <v>190</v>
      </c>
      <c r="F71" s="29" t="s">
        <v>190</v>
      </c>
      <c r="G71" s="29" t="s">
        <v>190</v>
      </c>
      <c r="H71" s="29" t="s">
        <v>190</v>
      </c>
      <c r="I71" s="29" t="s">
        <v>190</v>
      </c>
      <c r="J71" s="29" t="s">
        <v>190</v>
      </c>
      <c r="K71" s="29" t="s">
        <v>190</v>
      </c>
      <c r="L71" s="29">
        <v>0.28800000000000003</v>
      </c>
      <c r="M71" s="29">
        <v>0.255</v>
      </c>
      <c r="N71" s="29">
        <v>0.29699999999999999</v>
      </c>
      <c r="O71" s="29">
        <v>0.23399999999999999</v>
      </c>
      <c r="P71" s="29">
        <v>0.28999999999999998</v>
      </c>
      <c r="Q71" s="29">
        <v>0.26899999999999996</v>
      </c>
      <c r="R71" s="29">
        <v>0.32700000000000001</v>
      </c>
      <c r="S71" s="29">
        <v>0.28800000000000003</v>
      </c>
      <c r="T71" s="29">
        <v>0.25700000000000001</v>
      </c>
      <c r="U71" s="29">
        <v>0.17399999999999999</v>
      </c>
      <c r="V71" s="65">
        <v>0.183</v>
      </c>
      <c r="W71" s="117" t="s">
        <v>344</v>
      </c>
      <c r="X71" s="117" t="s">
        <v>344</v>
      </c>
    </row>
    <row r="72" spans="1:24" ht="15.75" customHeight="1" x14ac:dyDescent="0.2">
      <c r="A72" s="30" t="s">
        <v>209</v>
      </c>
      <c r="B72" s="17" t="s">
        <v>182</v>
      </c>
      <c r="C72" s="17" t="s">
        <v>62</v>
      </c>
      <c r="D72" s="29" t="s">
        <v>190</v>
      </c>
      <c r="E72" s="29" t="s">
        <v>190</v>
      </c>
      <c r="F72" s="29" t="s">
        <v>190</v>
      </c>
      <c r="G72" s="29" t="s">
        <v>190</v>
      </c>
      <c r="H72" s="29" t="s">
        <v>190</v>
      </c>
      <c r="I72" s="29" t="s">
        <v>190</v>
      </c>
      <c r="J72" s="29" t="s">
        <v>190</v>
      </c>
      <c r="K72" s="29" t="s">
        <v>190</v>
      </c>
      <c r="L72" s="29">
        <v>9.1999999999999998E-2</v>
      </c>
      <c r="M72" s="29">
        <v>9.0999999999999998E-2</v>
      </c>
      <c r="N72" s="29">
        <v>0.113</v>
      </c>
      <c r="O72" s="29">
        <v>8.6999999999999994E-2</v>
      </c>
      <c r="P72" s="29">
        <v>8.6999999999999994E-2</v>
      </c>
      <c r="Q72" s="29">
        <v>9.6000000000000002E-2</v>
      </c>
      <c r="R72" s="29">
        <v>0.09</v>
      </c>
      <c r="S72" s="29">
        <v>0.113</v>
      </c>
      <c r="T72" s="29">
        <v>9.0999999999999998E-2</v>
      </c>
      <c r="U72" s="29">
        <v>8.4000000000000005E-2</v>
      </c>
      <c r="V72" s="65">
        <v>0.1</v>
      </c>
      <c r="W72" s="117" t="s">
        <v>344</v>
      </c>
      <c r="X72" s="117" t="s">
        <v>344</v>
      </c>
    </row>
    <row r="73" spans="1:24" ht="15.75" customHeight="1" x14ac:dyDescent="0.2">
      <c r="A73" s="30" t="s">
        <v>209</v>
      </c>
      <c r="B73" s="17" t="s">
        <v>182</v>
      </c>
      <c r="C73" s="17" t="s">
        <v>63</v>
      </c>
      <c r="D73" s="29" t="s">
        <v>190</v>
      </c>
      <c r="E73" s="29" t="s">
        <v>190</v>
      </c>
      <c r="F73" s="29" t="s">
        <v>190</v>
      </c>
      <c r="G73" s="29" t="s">
        <v>190</v>
      </c>
      <c r="H73" s="29" t="s">
        <v>190</v>
      </c>
      <c r="I73" s="29" t="s">
        <v>190</v>
      </c>
      <c r="J73" s="29" t="s">
        <v>190</v>
      </c>
      <c r="K73" s="29" t="s">
        <v>190</v>
      </c>
      <c r="L73" s="29">
        <v>0.16200000000000001</v>
      </c>
      <c r="M73" s="29">
        <v>0.17300000000000001</v>
      </c>
      <c r="N73" s="29">
        <v>0.183</v>
      </c>
      <c r="O73" s="29">
        <v>0.19399999999999998</v>
      </c>
      <c r="P73" s="29">
        <v>0.16</v>
      </c>
      <c r="Q73" s="29">
        <v>0.192</v>
      </c>
      <c r="R73" s="29">
        <v>0.188</v>
      </c>
      <c r="S73" s="29">
        <v>0.17600000000000002</v>
      </c>
      <c r="T73" s="29">
        <v>0.17399999999999999</v>
      </c>
      <c r="U73" s="29">
        <v>0.152</v>
      </c>
      <c r="V73" s="65">
        <v>0.185</v>
      </c>
      <c r="W73" s="117" t="s">
        <v>344</v>
      </c>
      <c r="X73" s="117" t="s">
        <v>344</v>
      </c>
    </row>
    <row r="74" spans="1:24" ht="15.75" customHeight="1" x14ac:dyDescent="0.2">
      <c r="A74" s="30" t="s">
        <v>209</v>
      </c>
      <c r="B74" s="17" t="s">
        <v>182</v>
      </c>
      <c r="C74" s="17" t="s">
        <v>64</v>
      </c>
      <c r="D74" s="29" t="s">
        <v>190</v>
      </c>
      <c r="E74" s="29" t="s">
        <v>190</v>
      </c>
      <c r="F74" s="29" t="s">
        <v>190</v>
      </c>
      <c r="G74" s="29" t="s">
        <v>190</v>
      </c>
      <c r="H74" s="29" t="s">
        <v>190</v>
      </c>
      <c r="I74" s="29" t="s">
        <v>190</v>
      </c>
      <c r="J74" s="29" t="s">
        <v>190</v>
      </c>
      <c r="K74" s="29" t="s">
        <v>190</v>
      </c>
      <c r="L74" s="29">
        <v>9.9000000000000005E-2</v>
      </c>
      <c r="M74" s="29">
        <v>8.8000000000000009E-2</v>
      </c>
      <c r="N74" s="29">
        <v>0.111</v>
      </c>
      <c r="O74" s="29">
        <v>0.11900000000000001</v>
      </c>
      <c r="P74" s="29">
        <v>0.124</v>
      </c>
      <c r="Q74" s="29">
        <v>0.129</v>
      </c>
      <c r="R74" s="29">
        <v>0.10300000000000001</v>
      </c>
      <c r="S74" s="29">
        <v>0.11900000000000001</v>
      </c>
      <c r="T74" s="29">
        <v>9.9000000000000005E-2</v>
      </c>
      <c r="U74" s="29">
        <v>9.3000000000000013E-2</v>
      </c>
      <c r="V74" s="65">
        <v>6.7000000000000004E-2</v>
      </c>
      <c r="W74" s="117" t="s">
        <v>344</v>
      </c>
      <c r="X74" s="117" t="s">
        <v>344</v>
      </c>
    </row>
    <row r="75" spans="1:24" ht="15.75" customHeight="1" x14ac:dyDescent="0.2">
      <c r="A75" s="30" t="s">
        <v>209</v>
      </c>
      <c r="B75" s="17" t="s">
        <v>182</v>
      </c>
      <c r="C75" s="17" t="s">
        <v>65</v>
      </c>
      <c r="D75" s="29" t="s">
        <v>190</v>
      </c>
      <c r="E75" s="29" t="s">
        <v>190</v>
      </c>
      <c r="F75" s="29" t="s">
        <v>190</v>
      </c>
      <c r="G75" s="29" t="s">
        <v>190</v>
      </c>
      <c r="H75" s="29" t="s">
        <v>190</v>
      </c>
      <c r="I75" s="29" t="s">
        <v>190</v>
      </c>
      <c r="J75" s="29" t="s">
        <v>190</v>
      </c>
      <c r="K75" s="29" t="s">
        <v>190</v>
      </c>
      <c r="L75" s="29">
        <v>9.6999999999999989E-2</v>
      </c>
      <c r="M75" s="29">
        <v>7.2999999999999995E-2</v>
      </c>
      <c r="N75" s="29">
        <v>8.199999999999999E-2</v>
      </c>
      <c r="O75" s="29">
        <v>7.4999999999999997E-2</v>
      </c>
      <c r="P75" s="29">
        <v>0.111</v>
      </c>
      <c r="Q75" s="29">
        <v>6.9000000000000006E-2</v>
      </c>
      <c r="R75" s="29">
        <v>9.3000000000000013E-2</v>
      </c>
      <c r="S75" s="29">
        <v>0.125</v>
      </c>
      <c r="T75" s="29">
        <v>8.1000000000000003E-2</v>
      </c>
      <c r="U75" s="29">
        <v>6.6000000000000003E-2</v>
      </c>
      <c r="V75" s="65">
        <v>0.10800000000000001</v>
      </c>
      <c r="W75" s="117" t="s">
        <v>344</v>
      </c>
      <c r="X75" s="117" t="s">
        <v>344</v>
      </c>
    </row>
    <row r="76" spans="1:24" ht="15.75" customHeight="1" x14ac:dyDescent="0.2">
      <c r="A76" s="30" t="s">
        <v>209</v>
      </c>
      <c r="B76" s="17" t="s">
        <v>182</v>
      </c>
      <c r="C76" s="17" t="s">
        <v>66</v>
      </c>
      <c r="D76" s="29" t="s">
        <v>190</v>
      </c>
      <c r="E76" s="29" t="s">
        <v>190</v>
      </c>
      <c r="F76" s="29" t="s">
        <v>190</v>
      </c>
      <c r="G76" s="29" t="s">
        <v>190</v>
      </c>
      <c r="H76" s="29" t="s">
        <v>190</v>
      </c>
      <c r="I76" s="29" t="s">
        <v>190</v>
      </c>
      <c r="J76" s="29" t="s">
        <v>190</v>
      </c>
      <c r="K76" s="29" t="s">
        <v>190</v>
      </c>
      <c r="L76" s="29">
        <v>0.221</v>
      </c>
      <c r="M76" s="29">
        <v>0.184</v>
      </c>
      <c r="N76" s="29">
        <v>0.20100000000000001</v>
      </c>
      <c r="O76" s="29">
        <v>0.21100000000000002</v>
      </c>
      <c r="P76" s="29">
        <v>0.23199999999999998</v>
      </c>
      <c r="Q76" s="29">
        <v>0.22600000000000001</v>
      </c>
      <c r="R76" s="29">
        <v>0.221</v>
      </c>
      <c r="S76" s="29">
        <v>0.254</v>
      </c>
      <c r="T76" s="29">
        <v>0.27399999999999997</v>
      </c>
      <c r="U76" s="29">
        <v>0.20199999999999999</v>
      </c>
      <c r="V76" s="65">
        <v>0.154</v>
      </c>
      <c r="W76" s="117" t="s">
        <v>344</v>
      </c>
      <c r="X76" s="117" t="s">
        <v>344</v>
      </c>
    </row>
    <row r="77" spans="1:24" ht="15.75" customHeight="1" x14ac:dyDescent="0.2">
      <c r="A77" s="30" t="s">
        <v>209</v>
      </c>
      <c r="B77" s="17" t="s">
        <v>182</v>
      </c>
      <c r="C77" s="17" t="s">
        <v>67</v>
      </c>
      <c r="D77" s="29" t="s">
        <v>190</v>
      </c>
      <c r="E77" s="29" t="s">
        <v>190</v>
      </c>
      <c r="F77" s="29" t="s">
        <v>190</v>
      </c>
      <c r="G77" s="29" t="s">
        <v>190</v>
      </c>
      <c r="H77" s="29" t="s">
        <v>190</v>
      </c>
      <c r="I77" s="29" t="s">
        <v>190</v>
      </c>
      <c r="J77" s="29" t="s">
        <v>190</v>
      </c>
      <c r="K77" s="29" t="s">
        <v>190</v>
      </c>
      <c r="L77" s="29">
        <v>0.13500000000000001</v>
      </c>
      <c r="M77" s="29">
        <v>0.13800000000000001</v>
      </c>
      <c r="N77" s="29">
        <v>0.114</v>
      </c>
      <c r="O77" s="29">
        <v>0.126</v>
      </c>
      <c r="P77" s="29">
        <v>0.13200000000000001</v>
      </c>
      <c r="Q77" s="29">
        <v>0.106</v>
      </c>
      <c r="R77" s="29">
        <v>0.111</v>
      </c>
      <c r="S77" s="29">
        <v>0.127</v>
      </c>
      <c r="T77" s="29">
        <v>0.106</v>
      </c>
      <c r="U77" s="29">
        <v>0.122</v>
      </c>
      <c r="V77" s="65">
        <v>0.105</v>
      </c>
      <c r="W77" s="117" t="s">
        <v>344</v>
      </c>
      <c r="X77" s="117" t="s">
        <v>344</v>
      </c>
    </row>
    <row r="78" spans="1:24" ht="15.75" customHeight="1" x14ac:dyDescent="0.2">
      <c r="A78" s="30" t="s">
        <v>209</v>
      </c>
      <c r="B78" s="17" t="s">
        <v>182</v>
      </c>
      <c r="C78" s="17" t="s">
        <v>68</v>
      </c>
      <c r="D78" s="29" t="s">
        <v>190</v>
      </c>
      <c r="E78" s="29" t="s">
        <v>190</v>
      </c>
      <c r="F78" s="29" t="s">
        <v>190</v>
      </c>
      <c r="G78" s="29" t="s">
        <v>190</v>
      </c>
      <c r="H78" s="29" t="s">
        <v>190</v>
      </c>
      <c r="I78" s="29" t="s">
        <v>190</v>
      </c>
      <c r="J78" s="29" t="s">
        <v>190</v>
      </c>
      <c r="K78" s="29" t="s">
        <v>190</v>
      </c>
      <c r="L78" s="29">
        <v>0.11900000000000001</v>
      </c>
      <c r="M78" s="29">
        <v>0.121</v>
      </c>
      <c r="N78" s="29">
        <v>0.126</v>
      </c>
      <c r="O78" s="29">
        <v>0.14000000000000001</v>
      </c>
      <c r="P78" s="29">
        <v>0.16399999999999998</v>
      </c>
      <c r="Q78" s="29">
        <v>0.16300000000000001</v>
      </c>
      <c r="R78" s="29">
        <v>0.17199999999999999</v>
      </c>
      <c r="S78" s="29">
        <v>0.13900000000000001</v>
      </c>
      <c r="T78" s="29">
        <v>0.13</v>
      </c>
      <c r="U78" s="29">
        <v>0.13600000000000001</v>
      </c>
      <c r="V78" s="65">
        <v>0.125</v>
      </c>
      <c r="W78" s="117" t="s">
        <v>344</v>
      </c>
      <c r="X78" s="117" t="s">
        <v>344</v>
      </c>
    </row>
    <row r="79" spans="1:24" ht="15.75" customHeight="1" x14ac:dyDescent="0.2">
      <c r="A79" s="30" t="s">
        <v>209</v>
      </c>
      <c r="B79" s="17" t="s">
        <v>182</v>
      </c>
      <c r="C79" s="17" t="s">
        <v>69</v>
      </c>
      <c r="D79" s="29" t="s">
        <v>190</v>
      </c>
      <c r="E79" s="29" t="s">
        <v>190</v>
      </c>
      <c r="F79" s="29" t="s">
        <v>190</v>
      </c>
      <c r="G79" s="29" t="s">
        <v>190</v>
      </c>
      <c r="H79" s="29" t="s">
        <v>190</v>
      </c>
      <c r="I79" s="29" t="s">
        <v>190</v>
      </c>
      <c r="J79" s="29" t="s">
        <v>190</v>
      </c>
      <c r="K79" s="29" t="s">
        <v>190</v>
      </c>
      <c r="L79" s="29">
        <v>0.11900000000000001</v>
      </c>
      <c r="M79" s="29">
        <v>0.105</v>
      </c>
      <c r="N79" s="29">
        <v>0.113</v>
      </c>
      <c r="O79" s="29">
        <v>0.105</v>
      </c>
      <c r="P79" s="29">
        <v>0.11199999999999999</v>
      </c>
      <c r="Q79" s="29">
        <v>0.10800000000000001</v>
      </c>
      <c r="R79" s="29">
        <v>9.6000000000000002E-2</v>
      </c>
      <c r="S79" s="29">
        <v>9.8000000000000004E-2</v>
      </c>
      <c r="T79" s="29">
        <v>0.10800000000000001</v>
      </c>
      <c r="U79" s="29">
        <v>0.11</v>
      </c>
      <c r="V79" s="65">
        <v>8.8000000000000009E-2</v>
      </c>
      <c r="W79" s="117" t="s">
        <v>344</v>
      </c>
      <c r="X79" s="117" t="s">
        <v>344</v>
      </c>
    </row>
    <row r="80" spans="1:24" ht="15.75" customHeight="1" x14ac:dyDescent="0.2">
      <c r="A80" s="30" t="s">
        <v>209</v>
      </c>
      <c r="B80" s="17" t="s">
        <v>182</v>
      </c>
      <c r="C80" s="17" t="s">
        <v>70</v>
      </c>
      <c r="D80" s="29" t="s">
        <v>190</v>
      </c>
      <c r="E80" s="29" t="s">
        <v>190</v>
      </c>
      <c r="F80" s="29" t="s">
        <v>190</v>
      </c>
      <c r="G80" s="29" t="s">
        <v>190</v>
      </c>
      <c r="H80" s="29" t="s">
        <v>190</v>
      </c>
      <c r="I80" s="29" t="s">
        <v>190</v>
      </c>
      <c r="J80" s="29" t="s">
        <v>190</v>
      </c>
      <c r="K80" s="29" t="s">
        <v>190</v>
      </c>
      <c r="L80" s="29">
        <v>0.187</v>
      </c>
      <c r="M80" s="29">
        <v>0.17</v>
      </c>
      <c r="N80" s="29">
        <v>0.113</v>
      </c>
      <c r="O80" s="29">
        <v>8.199999999999999E-2</v>
      </c>
      <c r="P80" s="29">
        <v>0.11699999999999999</v>
      </c>
      <c r="Q80" s="29">
        <v>0.125</v>
      </c>
      <c r="R80" s="29">
        <v>0.10199999999999999</v>
      </c>
      <c r="S80" s="29">
        <v>0.11</v>
      </c>
      <c r="T80" s="29">
        <v>0.23699999999999999</v>
      </c>
      <c r="U80" s="29" t="s">
        <v>208</v>
      </c>
      <c r="V80" s="65">
        <v>0.22699999999999998</v>
      </c>
      <c r="W80" s="117" t="s">
        <v>344</v>
      </c>
      <c r="X80" s="117" t="s">
        <v>344</v>
      </c>
    </row>
    <row r="81" spans="1:24" ht="15.75" customHeight="1" x14ac:dyDescent="0.2">
      <c r="A81" s="30" t="s">
        <v>209</v>
      </c>
      <c r="B81" s="17" t="s">
        <v>182</v>
      </c>
      <c r="C81" s="17" t="s">
        <v>71</v>
      </c>
      <c r="D81" s="29" t="s">
        <v>190</v>
      </c>
      <c r="E81" s="29" t="s">
        <v>190</v>
      </c>
      <c r="F81" s="29" t="s">
        <v>190</v>
      </c>
      <c r="G81" s="29" t="s">
        <v>190</v>
      </c>
      <c r="H81" s="29" t="s">
        <v>190</v>
      </c>
      <c r="I81" s="29" t="s">
        <v>190</v>
      </c>
      <c r="J81" s="29" t="s">
        <v>190</v>
      </c>
      <c r="K81" s="29" t="s">
        <v>190</v>
      </c>
      <c r="L81" s="29">
        <v>0.115</v>
      </c>
      <c r="M81" s="29">
        <v>0.193</v>
      </c>
      <c r="N81" s="29">
        <v>9.3000000000000013E-2</v>
      </c>
      <c r="O81" s="29">
        <v>7.0999999999999994E-2</v>
      </c>
      <c r="P81" s="29" t="s">
        <v>208</v>
      </c>
      <c r="Q81" s="29">
        <v>9.8000000000000004E-2</v>
      </c>
      <c r="R81" s="29" t="s">
        <v>208</v>
      </c>
      <c r="S81" s="29">
        <v>8.3000000000000004E-2</v>
      </c>
      <c r="T81" s="29">
        <v>0.17</v>
      </c>
      <c r="U81" s="29" t="s">
        <v>208</v>
      </c>
      <c r="V81" s="29" t="s">
        <v>208</v>
      </c>
      <c r="W81" s="117" t="s">
        <v>344</v>
      </c>
      <c r="X81" s="117" t="s">
        <v>344</v>
      </c>
    </row>
    <row r="82" spans="1:24" ht="15.75" customHeight="1" x14ac:dyDescent="0.2">
      <c r="A82" s="30" t="s">
        <v>209</v>
      </c>
      <c r="B82" s="17" t="s">
        <v>182</v>
      </c>
      <c r="C82" s="17" t="s">
        <v>72</v>
      </c>
      <c r="D82" s="29" t="s">
        <v>190</v>
      </c>
      <c r="E82" s="29" t="s">
        <v>190</v>
      </c>
      <c r="F82" s="29" t="s">
        <v>190</v>
      </c>
      <c r="G82" s="29" t="s">
        <v>190</v>
      </c>
      <c r="H82" s="29" t="s">
        <v>190</v>
      </c>
      <c r="I82" s="29" t="s">
        <v>190</v>
      </c>
      <c r="J82" s="29" t="s">
        <v>190</v>
      </c>
      <c r="K82" s="29" t="s">
        <v>190</v>
      </c>
      <c r="L82" s="29">
        <v>0.191</v>
      </c>
      <c r="M82" s="29">
        <v>0.18100000000000002</v>
      </c>
      <c r="N82" s="29">
        <v>0.16899999999999998</v>
      </c>
      <c r="O82" s="29">
        <v>0.17800000000000002</v>
      </c>
      <c r="P82" s="29">
        <v>0.20100000000000001</v>
      </c>
      <c r="Q82" s="29">
        <v>0.18</v>
      </c>
      <c r="R82" s="29">
        <v>0.159</v>
      </c>
      <c r="S82" s="29">
        <v>0.21899999999999997</v>
      </c>
      <c r="T82" s="29">
        <v>0.20300000000000001</v>
      </c>
      <c r="U82" s="29">
        <v>0.19</v>
      </c>
      <c r="V82" s="65">
        <v>0.16699999999999998</v>
      </c>
      <c r="W82" s="117" t="s">
        <v>344</v>
      </c>
      <c r="X82" s="117" t="s">
        <v>344</v>
      </c>
    </row>
    <row r="83" spans="1:24" ht="15.75" customHeight="1" x14ac:dyDescent="0.2">
      <c r="A83" s="30" t="s">
        <v>209</v>
      </c>
      <c r="B83" s="17" t="s">
        <v>182</v>
      </c>
      <c r="C83" s="17" t="s">
        <v>73</v>
      </c>
      <c r="D83" s="29" t="s">
        <v>190</v>
      </c>
      <c r="E83" s="29" t="s">
        <v>190</v>
      </c>
      <c r="F83" s="29" t="s">
        <v>190</v>
      </c>
      <c r="G83" s="29" t="s">
        <v>190</v>
      </c>
      <c r="H83" s="29" t="s">
        <v>190</v>
      </c>
      <c r="I83" s="29" t="s">
        <v>190</v>
      </c>
      <c r="J83" s="29" t="s">
        <v>190</v>
      </c>
      <c r="K83" s="29" t="s">
        <v>190</v>
      </c>
      <c r="L83" s="29">
        <v>8.8000000000000009E-2</v>
      </c>
      <c r="M83" s="29">
        <v>0.13800000000000001</v>
      </c>
      <c r="N83" s="29">
        <v>0.17800000000000002</v>
      </c>
      <c r="O83" s="29">
        <v>0.20600000000000002</v>
      </c>
      <c r="P83" s="29">
        <v>0.113</v>
      </c>
      <c r="Q83" s="29">
        <v>0.11800000000000001</v>
      </c>
      <c r="R83" s="29">
        <v>0.17800000000000002</v>
      </c>
      <c r="S83" s="29">
        <v>0.29399999999999998</v>
      </c>
      <c r="T83" s="29" t="s">
        <v>208</v>
      </c>
      <c r="U83" s="29">
        <v>0.159</v>
      </c>
      <c r="V83" s="65">
        <v>0.28600000000000003</v>
      </c>
      <c r="W83" s="117" t="s">
        <v>344</v>
      </c>
      <c r="X83" s="117" t="s">
        <v>344</v>
      </c>
    </row>
    <row r="84" spans="1:24" ht="15.75" customHeight="1" x14ac:dyDescent="0.2">
      <c r="A84" s="30" t="s">
        <v>209</v>
      </c>
      <c r="B84" s="17" t="s">
        <v>182</v>
      </c>
      <c r="C84" s="17" t="s">
        <v>53</v>
      </c>
      <c r="D84" s="29" t="s">
        <v>190</v>
      </c>
      <c r="E84" s="29" t="s">
        <v>190</v>
      </c>
      <c r="F84" s="29" t="s">
        <v>190</v>
      </c>
      <c r="G84" s="29" t="s">
        <v>190</v>
      </c>
      <c r="H84" s="29" t="s">
        <v>190</v>
      </c>
      <c r="I84" s="29" t="s">
        <v>190</v>
      </c>
      <c r="J84" s="29" t="s">
        <v>190</v>
      </c>
      <c r="K84" s="29" t="s">
        <v>190</v>
      </c>
      <c r="L84" s="29">
        <v>0.11</v>
      </c>
      <c r="M84" s="29">
        <v>9.6000000000000002E-2</v>
      </c>
      <c r="N84" s="29">
        <v>0.113</v>
      </c>
      <c r="O84" s="29">
        <v>0.106</v>
      </c>
      <c r="P84" s="29">
        <v>0.107</v>
      </c>
      <c r="Q84" s="29">
        <v>0.129</v>
      </c>
      <c r="R84" s="29">
        <v>0.106</v>
      </c>
      <c r="S84" s="29">
        <v>0.10800000000000001</v>
      </c>
      <c r="T84" s="29">
        <v>0.105</v>
      </c>
      <c r="U84" s="29">
        <v>9.1999999999999998E-2</v>
      </c>
      <c r="V84" s="65">
        <v>9.5000000000000001E-2</v>
      </c>
      <c r="W84" s="117" t="s">
        <v>344</v>
      </c>
      <c r="X84" s="117" t="s">
        <v>344</v>
      </c>
    </row>
    <row r="85" spans="1:24" ht="15.75" customHeight="1" x14ac:dyDescent="0.2">
      <c r="A85" s="30" t="s">
        <v>209</v>
      </c>
      <c r="B85" s="17" t="s">
        <v>182</v>
      </c>
      <c r="C85" s="17" t="s">
        <v>74</v>
      </c>
      <c r="D85" s="29" t="s">
        <v>190</v>
      </c>
      <c r="E85" s="29" t="s">
        <v>190</v>
      </c>
      <c r="F85" s="29" t="s">
        <v>190</v>
      </c>
      <c r="G85" s="29" t="s">
        <v>190</v>
      </c>
      <c r="H85" s="29" t="s">
        <v>190</v>
      </c>
      <c r="I85" s="29" t="s">
        <v>190</v>
      </c>
      <c r="J85" s="29" t="s">
        <v>190</v>
      </c>
      <c r="K85" s="29" t="s">
        <v>190</v>
      </c>
      <c r="L85" s="29">
        <v>0.154</v>
      </c>
      <c r="M85" s="29">
        <v>0.247</v>
      </c>
      <c r="N85" s="29">
        <v>0.23</v>
      </c>
      <c r="O85" s="29">
        <v>0.16500000000000001</v>
      </c>
      <c r="P85" s="29">
        <v>0.161</v>
      </c>
      <c r="Q85" s="29">
        <v>0.14899999999999999</v>
      </c>
      <c r="R85" s="29" t="s">
        <v>208</v>
      </c>
      <c r="S85" s="29">
        <v>0.153</v>
      </c>
      <c r="T85" s="29" t="s">
        <v>208</v>
      </c>
      <c r="U85" s="29" t="s">
        <v>208</v>
      </c>
      <c r="V85" s="29" t="s">
        <v>208</v>
      </c>
      <c r="W85" s="117" t="s">
        <v>344</v>
      </c>
      <c r="X85" s="117" t="s">
        <v>344</v>
      </c>
    </row>
    <row r="86" spans="1:24" ht="15.75" customHeight="1" x14ac:dyDescent="0.2">
      <c r="A86" s="30" t="s">
        <v>209</v>
      </c>
      <c r="B86" s="17" t="s">
        <v>182</v>
      </c>
      <c r="C86" s="17" t="s">
        <v>75</v>
      </c>
      <c r="D86" s="29" t="s">
        <v>190</v>
      </c>
      <c r="E86" s="29" t="s">
        <v>190</v>
      </c>
      <c r="F86" s="29" t="s">
        <v>190</v>
      </c>
      <c r="G86" s="29" t="s">
        <v>190</v>
      </c>
      <c r="H86" s="29" t="s">
        <v>190</v>
      </c>
      <c r="I86" s="29" t="s">
        <v>190</v>
      </c>
      <c r="J86" s="29" t="s">
        <v>190</v>
      </c>
      <c r="K86" s="29" t="s">
        <v>190</v>
      </c>
      <c r="L86" s="29">
        <v>0.111</v>
      </c>
      <c r="M86" s="29">
        <v>0.08</v>
      </c>
      <c r="N86" s="29">
        <v>8.900000000000001E-2</v>
      </c>
      <c r="O86" s="29">
        <v>0.122</v>
      </c>
      <c r="P86" s="29">
        <v>9.9000000000000005E-2</v>
      </c>
      <c r="Q86" s="29">
        <v>9.1999999999999998E-2</v>
      </c>
      <c r="R86" s="29">
        <v>0.09</v>
      </c>
      <c r="S86" s="29">
        <v>8.5999999999999993E-2</v>
      </c>
      <c r="T86" s="29">
        <v>0.11800000000000001</v>
      </c>
      <c r="U86" s="29">
        <v>7.8E-2</v>
      </c>
      <c r="V86" s="65">
        <v>9.6000000000000002E-2</v>
      </c>
      <c r="W86" s="117" t="s">
        <v>344</v>
      </c>
      <c r="X86" s="117" t="s">
        <v>344</v>
      </c>
    </row>
    <row r="87" spans="1:24" ht="15.75" customHeight="1" x14ac:dyDescent="0.2">
      <c r="A87" s="30" t="s">
        <v>209</v>
      </c>
      <c r="B87" s="17" t="s">
        <v>182</v>
      </c>
      <c r="C87" s="17" t="s">
        <v>76</v>
      </c>
      <c r="D87" s="29" t="s">
        <v>190</v>
      </c>
      <c r="E87" s="29" t="s">
        <v>190</v>
      </c>
      <c r="F87" s="29" t="s">
        <v>190</v>
      </c>
      <c r="G87" s="29" t="s">
        <v>190</v>
      </c>
      <c r="H87" s="29" t="s">
        <v>190</v>
      </c>
      <c r="I87" s="29" t="s">
        <v>190</v>
      </c>
      <c r="J87" s="29" t="s">
        <v>190</v>
      </c>
      <c r="K87" s="29" t="s">
        <v>190</v>
      </c>
      <c r="L87" s="29">
        <v>0.19600000000000001</v>
      </c>
      <c r="M87" s="29">
        <v>0.17600000000000002</v>
      </c>
      <c r="N87" s="29">
        <v>0.16</v>
      </c>
      <c r="O87" s="29">
        <v>0.16500000000000001</v>
      </c>
      <c r="P87" s="29">
        <v>0.16600000000000001</v>
      </c>
      <c r="Q87" s="29">
        <v>0.222</v>
      </c>
      <c r="R87" s="29">
        <v>0.23199999999999998</v>
      </c>
      <c r="S87" s="29">
        <v>0.17499999999999999</v>
      </c>
      <c r="T87" s="29">
        <v>0.20699999999999999</v>
      </c>
      <c r="U87" s="29">
        <v>0.17600000000000002</v>
      </c>
      <c r="V87" s="65">
        <v>0.28800000000000003</v>
      </c>
      <c r="W87" s="117" t="s">
        <v>344</v>
      </c>
      <c r="X87" s="117" t="s">
        <v>344</v>
      </c>
    </row>
    <row r="88" spans="1:24" ht="15.75" customHeight="1" x14ac:dyDescent="0.2">
      <c r="A88" s="30" t="s">
        <v>209</v>
      </c>
      <c r="B88" s="17" t="s">
        <v>182</v>
      </c>
      <c r="C88" s="17" t="s">
        <v>77</v>
      </c>
      <c r="D88" s="29" t="s">
        <v>190</v>
      </c>
      <c r="E88" s="29" t="s">
        <v>190</v>
      </c>
      <c r="F88" s="29" t="s">
        <v>190</v>
      </c>
      <c r="G88" s="29" t="s">
        <v>190</v>
      </c>
      <c r="H88" s="29" t="s">
        <v>190</v>
      </c>
      <c r="I88" s="29" t="s">
        <v>190</v>
      </c>
      <c r="J88" s="29" t="s">
        <v>190</v>
      </c>
      <c r="K88" s="29" t="s">
        <v>190</v>
      </c>
      <c r="L88" s="29">
        <v>0.121</v>
      </c>
      <c r="M88" s="29">
        <v>0.16</v>
      </c>
      <c r="N88" s="29">
        <v>0.13500000000000001</v>
      </c>
      <c r="O88" s="29">
        <v>9.8000000000000004E-2</v>
      </c>
      <c r="P88" s="29">
        <v>0.13699999999999998</v>
      </c>
      <c r="Q88" s="29">
        <v>0.11699999999999999</v>
      </c>
      <c r="R88" s="29">
        <v>9.5000000000000001E-2</v>
      </c>
      <c r="S88" s="29">
        <v>0.11199999999999999</v>
      </c>
      <c r="T88" s="29">
        <v>0.14400000000000002</v>
      </c>
      <c r="U88" s="29">
        <v>0.115</v>
      </c>
      <c r="V88" s="65">
        <v>0.10199999999999999</v>
      </c>
      <c r="W88" s="117" t="s">
        <v>344</v>
      </c>
      <c r="X88" s="117" t="s">
        <v>344</v>
      </c>
    </row>
    <row r="89" spans="1:24" ht="15.75" customHeight="1" x14ac:dyDescent="0.2">
      <c r="A89" s="30" t="s">
        <v>209</v>
      </c>
      <c r="B89" s="17" t="s">
        <v>182</v>
      </c>
      <c r="C89" s="17" t="s">
        <v>78</v>
      </c>
      <c r="D89" s="29" t="s">
        <v>190</v>
      </c>
      <c r="E89" s="29" t="s">
        <v>190</v>
      </c>
      <c r="F89" s="29" t="s">
        <v>190</v>
      </c>
      <c r="G89" s="29" t="s">
        <v>190</v>
      </c>
      <c r="H89" s="29" t="s">
        <v>190</v>
      </c>
      <c r="I89" s="29" t="s">
        <v>190</v>
      </c>
      <c r="J89" s="29" t="s">
        <v>190</v>
      </c>
      <c r="K89" s="29" t="s">
        <v>190</v>
      </c>
      <c r="L89" s="29">
        <v>9.6000000000000002E-2</v>
      </c>
      <c r="M89" s="29">
        <v>0.11199999999999999</v>
      </c>
      <c r="N89" s="29">
        <v>0.109</v>
      </c>
      <c r="O89" s="29">
        <v>0.109</v>
      </c>
      <c r="P89" s="29">
        <v>0.14499999999999999</v>
      </c>
      <c r="Q89" s="29">
        <v>0.126</v>
      </c>
      <c r="R89" s="29">
        <v>0.107</v>
      </c>
      <c r="S89" s="29">
        <v>0.107</v>
      </c>
      <c r="T89" s="29">
        <v>7.5999999999999998E-2</v>
      </c>
      <c r="U89" s="29">
        <v>8.6999999999999994E-2</v>
      </c>
      <c r="V89" s="65">
        <v>7.9000000000000001E-2</v>
      </c>
      <c r="W89" s="117" t="s">
        <v>344</v>
      </c>
      <c r="X89" s="117" t="s">
        <v>344</v>
      </c>
    </row>
    <row r="90" spans="1:24" ht="15.75" customHeight="1" x14ac:dyDescent="0.2">
      <c r="A90" s="30" t="s">
        <v>209</v>
      </c>
      <c r="B90" s="17" t="s">
        <v>182</v>
      </c>
      <c r="C90" s="17" t="s">
        <v>79</v>
      </c>
      <c r="D90" s="29" t="s">
        <v>190</v>
      </c>
      <c r="E90" s="29" t="s">
        <v>190</v>
      </c>
      <c r="F90" s="29" t="s">
        <v>190</v>
      </c>
      <c r="G90" s="29" t="s">
        <v>190</v>
      </c>
      <c r="H90" s="29" t="s">
        <v>190</v>
      </c>
      <c r="I90" s="29" t="s">
        <v>190</v>
      </c>
      <c r="J90" s="29" t="s">
        <v>190</v>
      </c>
      <c r="K90" s="29" t="s">
        <v>190</v>
      </c>
      <c r="L90" s="29">
        <v>9.6999999999999989E-2</v>
      </c>
      <c r="M90" s="29">
        <v>8.199999999999999E-2</v>
      </c>
      <c r="N90" s="29">
        <v>8.5000000000000006E-2</v>
      </c>
      <c r="O90" s="29">
        <v>7.0000000000000007E-2</v>
      </c>
      <c r="P90" s="29">
        <v>9.8000000000000004E-2</v>
      </c>
      <c r="Q90" s="29">
        <v>0.10300000000000001</v>
      </c>
      <c r="R90" s="29">
        <v>0.122</v>
      </c>
      <c r="S90" s="29">
        <v>0.10199999999999999</v>
      </c>
      <c r="T90" s="29">
        <v>0.12</v>
      </c>
      <c r="U90" s="29">
        <v>9.9000000000000005E-2</v>
      </c>
      <c r="V90" s="65">
        <v>9.0999999999999998E-2</v>
      </c>
      <c r="W90" s="117" t="s">
        <v>344</v>
      </c>
      <c r="X90" s="117" t="s">
        <v>344</v>
      </c>
    </row>
    <row r="91" spans="1:24" ht="15.75" customHeight="1" x14ac:dyDescent="0.2">
      <c r="A91" s="30" t="s">
        <v>209</v>
      </c>
      <c r="B91" s="17" t="s">
        <v>182</v>
      </c>
      <c r="C91" s="17" t="s">
        <v>80</v>
      </c>
      <c r="D91" s="29" t="s">
        <v>190</v>
      </c>
      <c r="E91" s="29" t="s">
        <v>190</v>
      </c>
      <c r="F91" s="29" t="s">
        <v>190</v>
      </c>
      <c r="G91" s="29" t="s">
        <v>190</v>
      </c>
      <c r="H91" s="29" t="s">
        <v>190</v>
      </c>
      <c r="I91" s="29" t="s">
        <v>190</v>
      </c>
      <c r="J91" s="29" t="s">
        <v>190</v>
      </c>
      <c r="K91" s="29" t="s">
        <v>190</v>
      </c>
      <c r="L91" s="29">
        <v>0.17100000000000001</v>
      </c>
      <c r="M91" s="29">
        <v>0.21899999999999997</v>
      </c>
      <c r="N91" s="29">
        <v>0.15</v>
      </c>
      <c r="O91" s="29">
        <v>0.20499999999999999</v>
      </c>
      <c r="P91" s="29">
        <v>0.15</v>
      </c>
      <c r="Q91" s="29">
        <v>0.152</v>
      </c>
      <c r="R91" s="29">
        <v>0.19600000000000001</v>
      </c>
      <c r="S91" s="29">
        <v>0.157</v>
      </c>
      <c r="T91" s="29">
        <v>0.16200000000000001</v>
      </c>
      <c r="U91" s="29">
        <v>0.14199999999999999</v>
      </c>
      <c r="V91" s="65">
        <v>0.17499999999999999</v>
      </c>
      <c r="W91" s="117" t="s">
        <v>344</v>
      </c>
      <c r="X91" s="117" t="s">
        <v>344</v>
      </c>
    </row>
    <row r="92" spans="1:24" ht="15.75" customHeight="1" x14ac:dyDescent="0.2">
      <c r="A92" s="30" t="s">
        <v>209</v>
      </c>
      <c r="B92" s="17" t="s">
        <v>182</v>
      </c>
      <c r="C92" s="17" t="s">
        <v>81</v>
      </c>
      <c r="D92" s="29" t="s">
        <v>190</v>
      </c>
      <c r="E92" s="29" t="s">
        <v>190</v>
      </c>
      <c r="F92" s="29" t="s">
        <v>190</v>
      </c>
      <c r="G92" s="29" t="s">
        <v>190</v>
      </c>
      <c r="H92" s="29" t="s">
        <v>190</v>
      </c>
      <c r="I92" s="29" t="s">
        <v>190</v>
      </c>
      <c r="J92" s="29" t="s">
        <v>190</v>
      </c>
      <c r="K92" s="29" t="s">
        <v>190</v>
      </c>
      <c r="L92" s="29">
        <v>0.107</v>
      </c>
      <c r="M92" s="29">
        <v>9.1999999999999998E-2</v>
      </c>
      <c r="N92" s="29">
        <v>0.105</v>
      </c>
      <c r="O92" s="29">
        <v>0.107</v>
      </c>
      <c r="P92" s="29">
        <v>0.12300000000000001</v>
      </c>
      <c r="Q92" s="29">
        <v>9.0999999999999998E-2</v>
      </c>
      <c r="R92" s="29">
        <v>0.13500000000000001</v>
      </c>
      <c r="S92" s="29">
        <v>9.4E-2</v>
      </c>
      <c r="T92" s="29">
        <v>0.106</v>
      </c>
      <c r="U92" s="29">
        <v>8.3000000000000004E-2</v>
      </c>
      <c r="V92" s="65">
        <v>8.900000000000001E-2</v>
      </c>
      <c r="W92" s="117" t="s">
        <v>344</v>
      </c>
      <c r="X92" s="117" t="s">
        <v>344</v>
      </c>
    </row>
    <row r="93" spans="1:24" ht="15.75" customHeight="1" x14ac:dyDescent="0.2">
      <c r="A93" s="30" t="s">
        <v>209</v>
      </c>
      <c r="B93" s="17" t="s">
        <v>182</v>
      </c>
      <c r="C93" s="17" t="s">
        <v>82</v>
      </c>
      <c r="D93" s="29" t="s">
        <v>190</v>
      </c>
      <c r="E93" s="29" t="s">
        <v>190</v>
      </c>
      <c r="F93" s="29" t="s">
        <v>190</v>
      </c>
      <c r="G93" s="29" t="s">
        <v>190</v>
      </c>
      <c r="H93" s="29" t="s">
        <v>190</v>
      </c>
      <c r="I93" s="29" t="s">
        <v>190</v>
      </c>
      <c r="J93" s="29" t="s">
        <v>190</v>
      </c>
      <c r="K93" s="29" t="s">
        <v>190</v>
      </c>
      <c r="L93" s="29">
        <v>0.27</v>
      </c>
      <c r="M93" s="29">
        <v>0.28600000000000003</v>
      </c>
      <c r="N93" s="29">
        <v>0.22500000000000001</v>
      </c>
      <c r="O93" s="29">
        <v>0.27200000000000002</v>
      </c>
      <c r="P93" s="29">
        <v>0.26200000000000001</v>
      </c>
      <c r="Q93" s="29">
        <v>0.26500000000000001</v>
      </c>
      <c r="R93" s="29">
        <v>0.32899999999999996</v>
      </c>
      <c r="S93" s="29">
        <v>0.34200000000000003</v>
      </c>
      <c r="T93" s="29">
        <v>0.33700000000000002</v>
      </c>
      <c r="U93" s="29">
        <v>0.52500000000000002</v>
      </c>
      <c r="V93" s="65">
        <v>0.61899999999999999</v>
      </c>
      <c r="W93" s="117" t="s">
        <v>344</v>
      </c>
      <c r="X93" s="117" t="s">
        <v>344</v>
      </c>
    </row>
    <row r="94" spans="1:24" ht="15.75" customHeight="1" x14ac:dyDescent="0.2">
      <c r="A94" s="30" t="s">
        <v>209</v>
      </c>
      <c r="B94" s="17" t="s">
        <v>182</v>
      </c>
      <c r="C94" s="17" t="s">
        <v>83</v>
      </c>
      <c r="D94" s="29" t="s">
        <v>190</v>
      </c>
      <c r="E94" s="29" t="s">
        <v>190</v>
      </c>
      <c r="F94" s="29" t="s">
        <v>190</v>
      </c>
      <c r="G94" s="29" t="s">
        <v>190</v>
      </c>
      <c r="H94" s="29" t="s">
        <v>190</v>
      </c>
      <c r="I94" s="29" t="s">
        <v>190</v>
      </c>
      <c r="J94" s="29" t="s">
        <v>190</v>
      </c>
      <c r="K94" s="29" t="s">
        <v>190</v>
      </c>
      <c r="L94" s="29">
        <v>0.32899999999999996</v>
      </c>
      <c r="M94" s="29">
        <v>0.34200000000000003</v>
      </c>
      <c r="N94" s="29">
        <v>0.33299999999999996</v>
      </c>
      <c r="O94" s="29">
        <v>0.26899999999999996</v>
      </c>
      <c r="P94" s="29">
        <v>0.21600000000000003</v>
      </c>
      <c r="Q94" s="29">
        <v>0.20199999999999999</v>
      </c>
      <c r="R94" s="29">
        <v>0.2</v>
      </c>
      <c r="S94" s="29">
        <v>0.152</v>
      </c>
      <c r="T94" s="29">
        <v>0.24199999999999999</v>
      </c>
      <c r="U94" s="29">
        <v>0.16500000000000001</v>
      </c>
      <c r="V94" s="65">
        <v>0.29899999999999999</v>
      </c>
      <c r="W94" s="117" t="s">
        <v>344</v>
      </c>
      <c r="X94" s="117" t="s">
        <v>344</v>
      </c>
    </row>
    <row r="95" spans="1:24" ht="15.75" customHeight="1" x14ac:dyDescent="0.2">
      <c r="A95" s="30" t="s">
        <v>209</v>
      </c>
      <c r="B95" s="17" t="s">
        <v>182</v>
      </c>
      <c r="C95" s="17" t="s">
        <v>84</v>
      </c>
      <c r="D95" s="29" t="s">
        <v>190</v>
      </c>
      <c r="E95" s="29" t="s">
        <v>190</v>
      </c>
      <c r="F95" s="29" t="s">
        <v>190</v>
      </c>
      <c r="G95" s="29" t="s">
        <v>190</v>
      </c>
      <c r="H95" s="29" t="s">
        <v>190</v>
      </c>
      <c r="I95" s="29" t="s">
        <v>190</v>
      </c>
      <c r="J95" s="29" t="s">
        <v>190</v>
      </c>
      <c r="K95" s="29" t="s">
        <v>190</v>
      </c>
      <c r="L95" s="29">
        <v>0.26300000000000001</v>
      </c>
      <c r="M95" s="29">
        <v>0.253</v>
      </c>
      <c r="N95" s="29">
        <v>0.22800000000000001</v>
      </c>
      <c r="O95" s="29">
        <v>0.22</v>
      </c>
      <c r="P95" s="29">
        <v>0.22399999999999998</v>
      </c>
      <c r="Q95" s="29">
        <v>0.21299999999999999</v>
      </c>
      <c r="R95" s="29">
        <v>0.28100000000000003</v>
      </c>
      <c r="S95" s="29">
        <v>0.251</v>
      </c>
      <c r="T95" s="29">
        <v>0.17199999999999999</v>
      </c>
      <c r="U95" s="29">
        <v>0.09</v>
      </c>
      <c r="V95" s="65">
        <v>0.161</v>
      </c>
      <c r="W95" s="117" t="s">
        <v>344</v>
      </c>
      <c r="X95" s="117" t="s">
        <v>344</v>
      </c>
    </row>
    <row r="96" spans="1:24" ht="15.75" customHeight="1" x14ac:dyDescent="0.2">
      <c r="A96" s="30" t="s">
        <v>209</v>
      </c>
      <c r="B96" s="17" t="s">
        <v>182</v>
      </c>
      <c r="C96" s="17" t="s">
        <v>15</v>
      </c>
      <c r="D96" s="29" t="s">
        <v>190</v>
      </c>
      <c r="E96" s="29" t="s">
        <v>190</v>
      </c>
      <c r="F96" s="29" t="s">
        <v>190</v>
      </c>
      <c r="G96" s="29" t="s">
        <v>190</v>
      </c>
      <c r="H96" s="29" t="s">
        <v>190</v>
      </c>
      <c r="I96" s="29" t="s">
        <v>190</v>
      </c>
      <c r="J96" s="29" t="s">
        <v>190</v>
      </c>
      <c r="K96" s="29" t="s">
        <v>190</v>
      </c>
      <c r="L96" s="29">
        <v>0.17300000000000001</v>
      </c>
      <c r="M96" s="29">
        <v>0.19899999999999998</v>
      </c>
      <c r="N96" s="29">
        <v>0.17699999999999999</v>
      </c>
      <c r="O96" s="29">
        <v>0.17600000000000002</v>
      </c>
      <c r="P96" s="29">
        <v>0.16399999999999998</v>
      </c>
      <c r="Q96" s="29">
        <v>0.21600000000000003</v>
      </c>
      <c r="R96" s="29">
        <v>0.158</v>
      </c>
      <c r="S96" s="29">
        <v>0.158</v>
      </c>
      <c r="T96" s="29">
        <v>0.159</v>
      </c>
      <c r="U96" s="29">
        <v>0.183</v>
      </c>
      <c r="V96" s="65">
        <v>0.111</v>
      </c>
      <c r="W96" s="117" t="s">
        <v>344</v>
      </c>
      <c r="X96" s="117" t="s">
        <v>344</v>
      </c>
    </row>
    <row r="97" spans="1:24" ht="15.75" customHeight="1" x14ac:dyDescent="0.2">
      <c r="A97" s="30" t="s">
        <v>209</v>
      </c>
      <c r="B97" s="17" t="s">
        <v>182</v>
      </c>
      <c r="C97" s="17" t="s">
        <v>85</v>
      </c>
      <c r="D97" s="29" t="s">
        <v>190</v>
      </c>
      <c r="E97" s="29" t="s">
        <v>190</v>
      </c>
      <c r="F97" s="29" t="s">
        <v>190</v>
      </c>
      <c r="G97" s="29" t="s">
        <v>190</v>
      </c>
      <c r="H97" s="29" t="s">
        <v>190</v>
      </c>
      <c r="I97" s="29" t="s">
        <v>190</v>
      </c>
      <c r="J97" s="29" t="s">
        <v>190</v>
      </c>
      <c r="K97" s="29" t="s">
        <v>190</v>
      </c>
      <c r="L97" s="29">
        <v>0.12300000000000001</v>
      </c>
      <c r="M97" s="29">
        <v>0.13100000000000001</v>
      </c>
      <c r="N97" s="29">
        <v>0.153</v>
      </c>
      <c r="O97" s="29">
        <v>0.13100000000000001</v>
      </c>
      <c r="P97" s="29">
        <v>0.17199999999999999</v>
      </c>
      <c r="Q97" s="29">
        <v>0.126</v>
      </c>
      <c r="R97" s="29">
        <v>0.14699999999999999</v>
      </c>
      <c r="S97" s="29">
        <v>0.21199999999999999</v>
      </c>
      <c r="T97" s="29">
        <v>0.13400000000000001</v>
      </c>
      <c r="U97" s="29">
        <v>0.16</v>
      </c>
      <c r="V97" s="65">
        <v>0.153</v>
      </c>
      <c r="W97" s="117" t="s">
        <v>344</v>
      </c>
      <c r="X97" s="117" t="s">
        <v>344</v>
      </c>
    </row>
    <row r="98" spans="1:24" ht="15.75" customHeight="1" x14ac:dyDescent="0.2">
      <c r="A98" s="30" t="s">
        <v>209</v>
      </c>
      <c r="B98" s="17" t="s">
        <v>182</v>
      </c>
      <c r="C98" s="17" t="s">
        <v>86</v>
      </c>
      <c r="D98" s="29" t="s">
        <v>190</v>
      </c>
      <c r="E98" s="29" t="s">
        <v>190</v>
      </c>
      <c r="F98" s="29" t="s">
        <v>190</v>
      </c>
      <c r="G98" s="29" t="s">
        <v>190</v>
      </c>
      <c r="H98" s="29" t="s">
        <v>190</v>
      </c>
      <c r="I98" s="29" t="s">
        <v>190</v>
      </c>
      <c r="J98" s="29" t="s">
        <v>190</v>
      </c>
      <c r="K98" s="29" t="s">
        <v>190</v>
      </c>
      <c r="L98" s="29">
        <v>0.113</v>
      </c>
      <c r="M98" s="29">
        <v>0.113</v>
      </c>
      <c r="N98" s="29">
        <v>5.5999999999999994E-2</v>
      </c>
      <c r="O98" s="29" t="s">
        <v>208</v>
      </c>
      <c r="P98" s="29">
        <v>6.2E-2</v>
      </c>
      <c r="Q98" s="29">
        <v>0.17800000000000002</v>
      </c>
      <c r="R98" s="29">
        <v>4.9000000000000002E-2</v>
      </c>
      <c r="S98" s="29">
        <v>9.1999999999999998E-2</v>
      </c>
      <c r="T98" s="29">
        <v>8.900000000000001E-2</v>
      </c>
      <c r="U98" s="29">
        <v>0.09</v>
      </c>
      <c r="V98" s="65">
        <v>5.5999999999999994E-2</v>
      </c>
      <c r="W98" s="117" t="s">
        <v>344</v>
      </c>
      <c r="X98" s="117" t="s">
        <v>344</v>
      </c>
    </row>
    <row r="99" spans="1:24" ht="15.75" customHeight="1" x14ac:dyDescent="0.2">
      <c r="A99" s="30" t="s">
        <v>209</v>
      </c>
      <c r="B99" s="17" t="s">
        <v>182</v>
      </c>
      <c r="C99" s="17" t="s">
        <v>87</v>
      </c>
      <c r="D99" s="29" t="s">
        <v>190</v>
      </c>
      <c r="E99" s="29" t="s">
        <v>190</v>
      </c>
      <c r="F99" s="29" t="s">
        <v>190</v>
      </c>
      <c r="G99" s="29" t="s">
        <v>190</v>
      </c>
      <c r="H99" s="29" t="s">
        <v>190</v>
      </c>
      <c r="I99" s="29" t="s">
        <v>190</v>
      </c>
      <c r="J99" s="29" t="s">
        <v>190</v>
      </c>
      <c r="K99" s="29" t="s">
        <v>190</v>
      </c>
      <c r="L99" s="29">
        <v>0.25</v>
      </c>
      <c r="M99" s="29">
        <v>0.19699999999999998</v>
      </c>
      <c r="N99" s="29">
        <v>0.16600000000000001</v>
      </c>
      <c r="O99" s="29">
        <v>0.27399999999999997</v>
      </c>
      <c r="P99" s="29">
        <v>0.20399999999999999</v>
      </c>
      <c r="Q99" s="29">
        <v>0.252</v>
      </c>
      <c r="R99" s="29">
        <v>0.22399999999999998</v>
      </c>
      <c r="S99" s="29">
        <v>0.161</v>
      </c>
      <c r="T99" s="29">
        <v>0.22899999999999998</v>
      </c>
      <c r="U99" s="29">
        <v>0.182</v>
      </c>
      <c r="V99" s="65">
        <v>0.17100000000000001</v>
      </c>
      <c r="W99" s="117" t="s">
        <v>344</v>
      </c>
      <c r="X99" s="117" t="s">
        <v>344</v>
      </c>
    </row>
    <row r="100" spans="1:24" ht="15.75" customHeight="1" x14ac:dyDescent="0.2">
      <c r="A100" s="30" t="s">
        <v>209</v>
      </c>
      <c r="B100" s="17" t="s">
        <v>182</v>
      </c>
      <c r="C100" s="17" t="s">
        <v>88</v>
      </c>
      <c r="D100" s="29" t="s">
        <v>190</v>
      </c>
      <c r="E100" s="29" t="s">
        <v>190</v>
      </c>
      <c r="F100" s="29" t="s">
        <v>190</v>
      </c>
      <c r="G100" s="29" t="s">
        <v>190</v>
      </c>
      <c r="H100" s="29" t="s">
        <v>190</v>
      </c>
      <c r="I100" s="29" t="s">
        <v>190</v>
      </c>
      <c r="J100" s="29" t="s">
        <v>190</v>
      </c>
      <c r="K100" s="29" t="s">
        <v>190</v>
      </c>
      <c r="L100" s="29">
        <v>0.33700000000000002</v>
      </c>
      <c r="M100" s="29">
        <v>0.34299999999999997</v>
      </c>
      <c r="N100" s="29">
        <v>0.34700000000000003</v>
      </c>
      <c r="O100" s="29">
        <v>0.253</v>
      </c>
      <c r="P100" s="29">
        <v>0.54200000000000004</v>
      </c>
      <c r="Q100" s="29">
        <v>0.46</v>
      </c>
      <c r="R100" s="29">
        <v>0.55100000000000005</v>
      </c>
      <c r="S100" s="29">
        <v>0.34799999999999998</v>
      </c>
      <c r="T100" s="29">
        <v>0.25600000000000001</v>
      </c>
      <c r="U100" s="29" t="s">
        <v>208</v>
      </c>
      <c r="V100" s="29" t="s">
        <v>208</v>
      </c>
      <c r="W100" s="117" t="s">
        <v>344</v>
      </c>
      <c r="X100" s="117" t="s">
        <v>344</v>
      </c>
    </row>
    <row r="101" spans="1:24" ht="15.75" customHeight="1" x14ac:dyDescent="0.2">
      <c r="A101" s="30" t="s">
        <v>209</v>
      </c>
      <c r="B101" s="17" t="s">
        <v>182</v>
      </c>
      <c r="C101" s="17" t="s">
        <v>18</v>
      </c>
      <c r="D101" s="29" t="s">
        <v>190</v>
      </c>
      <c r="E101" s="29" t="s">
        <v>190</v>
      </c>
      <c r="F101" s="29" t="s">
        <v>190</v>
      </c>
      <c r="G101" s="29" t="s">
        <v>190</v>
      </c>
      <c r="H101" s="29" t="s">
        <v>190</v>
      </c>
      <c r="I101" s="29" t="s">
        <v>190</v>
      </c>
      <c r="J101" s="29" t="s">
        <v>190</v>
      </c>
      <c r="K101" s="29" t="s">
        <v>190</v>
      </c>
      <c r="L101" s="29">
        <v>0.12</v>
      </c>
      <c r="M101" s="29">
        <v>0.11900000000000001</v>
      </c>
      <c r="N101" s="29">
        <v>9.8000000000000004E-2</v>
      </c>
      <c r="O101" s="29">
        <v>0.124</v>
      </c>
      <c r="P101" s="29">
        <v>9.4E-2</v>
      </c>
      <c r="Q101" s="29">
        <v>0.109</v>
      </c>
      <c r="R101" s="29">
        <v>0.14300000000000002</v>
      </c>
      <c r="S101" s="29">
        <v>0.12300000000000001</v>
      </c>
      <c r="T101" s="29">
        <v>0.128</v>
      </c>
      <c r="U101" s="29">
        <v>3.9E-2</v>
      </c>
      <c r="V101" s="65">
        <v>0.11900000000000001</v>
      </c>
      <c r="W101" s="117" t="s">
        <v>344</v>
      </c>
      <c r="X101" s="117" t="s">
        <v>344</v>
      </c>
    </row>
    <row r="102" spans="1:24" ht="15.75" customHeight="1" x14ac:dyDescent="0.2">
      <c r="A102" s="30" t="s">
        <v>209</v>
      </c>
      <c r="B102" s="17" t="s">
        <v>182</v>
      </c>
      <c r="C102" s="17" t="s">
        <v>89</v>
      </c>
      <c r="D102" s="29" t="s">
        <v>190</v>
      </c>
      <c r="E102" s="29" t="s">
        <v>190</v>
      </c>
      <c r="F102" s="29" t="s">
        <v>190</v>
      </c>
      <c r="G102" s="29" t="s">
        <v>190</v>
      </c>
      <c r="H102" s="29" t="s">
        <v>190</v>
      </c>
      <c r="I102" s="29" t="s">
        <v>190</v>
      </c>
      <c r="J102" s="29" t="s">
        <v>190</v>
      </c>
      <c r="K102" s="29" t="s">
        <v>190</v>
      </c>
      <c r="L102" s="29">
        <v>0.16800000000000001</v>
      </c>
      <c r="M102" s="29">
        <v>0.16800000000000001</v>
      </c>
      <c r="N102" s="29">
        <v>0.191</v>
      </c>
      <c r="O102" s="29">
        <v>0.21899999999999997</v>
      </c>
      <c r="P102" s="29">
        <v>0.21100000000000002</v>
      </c>
      <c r="Q102" s="29">
        <v>0.10800000000000001</v>
      </c>
      <c r="R102" s="29">
        <v>0.16600000000000001</v>
      </c>
      <c r="S102" s="29">
        <v>0.14499999999999999</v>
      </c>
      <c r="T102" s="29">
        <v>0.14899999999999999</v>
      </c>
      <c r="U102" s="29">
        <v>0.188</v>
      </c>
      <c r="V102" s="65">
        <v>0.17699999999999999</v>
      </c>
      <c r="W102" s="117" t="s">
        <v>344</v>
      </c>
      <c r="X102" s="117" t="s">
        <v>344</v>
      </c>
    </row>
    <row r="103" spans="1:24" ht="15.75" customHeight="1" x14ac:dyDescent="0.2">
      <c r="A103" s="30" t="s">
        <v>209</v>
      </c>
      <c r="B103" s="17" t="s">
        <v>182</v>
      </c>
      <c r="C103" s="17" t="s">
        <v>90</v>
      </c>
      <c r="D103" s="29" t="s">
        <v>190</v>
      </c>
      <c r="E103" s="29" t="s">
        <v>190</v>
      </c>
      <c r="F103" s="29" t="s">
        <v>190</v>
      </c>
      <c r="G103" s="29" t="s">
        <v>190</v>
      </c>
      <c r="H103" s="29" t="s">
        <v>190</v>
      </c>
      <c r="I103" s="29" t="s">
        <v>190</v>
      </c>
      <c r="J103" s="29" t="s">
        <v>190</v>
      </c>
      <c r="K103" s="29" t="s">
        <v>190</v>
      </c>
      <c r="L103" s="29">
        <v>0.27200000000000002</v>
      </c>
      <c r="M103" s="29">
        <v>0.223</v>
      </c>
      <c r="N103" s="29">
        <v>0.17</v>
      </c>
      <c r="O103" s="29">
        <v>0.14499999999999999</v>
      </c>
      <c r="P103" s="29">
        <v>0.191</v>
      </c>
      <c r="Q103" s="29">
        <v>0.13200000000000001</v>
      </c>
      <c r="R103" s="29">
        <v>0.16699999999999998</v>
      </c>
      <c r="S103" s="29">
        <v>0.222</v>
      </c>
      <c r="T103" s="29">
        <v>0.214</v>
      </c>
      <c r="U103" s="29">
        <v>0.27399999999999997</v>
      </c>
      <c r="V103" s="65">
        <v>0.10099999999999999</v>
      </c>
      <c r="W103" s="117" t="s">
        <v>344</v>
      </c>
      <c r="X103" s="117" t="s">
        <v>344</v>
      </c>
    </row>
    <row r="104" spans="1:24" ht="15.75" customHeight="1" x14ac:dyDescent="0.2">
      <c r="A104" s="30" t="s">
        <v>209</v>
      </c>
      <c r="B104" s="17" t="s">
        <v>182</v>
      </c>
      <c r="C104" s="17" t="s">
        <v>91</v>
      </c>
      <c r="D104" s="29" t="s">
        <v>190</v>
      </c>
      <c r="E104" s="29" t="s">
        <v>190</v>
      </c>
      <c r="F104" s="29" t="s">
        <v>190</v>
      </c>
      <c r="G104" s="29" t="s">
        <v>190</v>
      </c>
      <c r="H104" s="29" t="s">
        <v>190</v>
      </c>
      <c r="I104" s="29" t="s">
        <v>190</v>
      </c>
      <c r="J104" s="29" t="s">
        <v>190</v>
      </c>
      <c r="K104" s="29" t="s">
        <v>190</v>
      </c>
      <c r="L104" s="29">
        <v>0.17899999999999999</v>
      </c>
      <c r="M104" s="29">
        <v>0.156</v>
      </c>
      <c r="N104" s="29">
        <v>9.5000000000000001E-2</v>
      </c>
      <c r="O104" s="29">
        <v>0.09</v>
      </c>
      <c r="P104" s="29">
        <v>0.223</v>
      </c>
      <c r="Q104" s="29">
        <v>8.8000000000000009E-2</v>
      </c>
      <c r="R104" s="29">
        <v>0.16399999999999998</v>
      </c>
      <c r="S104" s="29">
        <v>0.13400000000000001</v>
      </c>
      <c r="T104" s="29">
        <v>0.154</v>
      </c>
      <c r="U104" s="29" t="s">
        <v>208</v>
      </c>
      <c r="V104" s="65">
        <v>0.183</v>
      </c>
      <c r="W104" s="117" t="s">
        <v>344</v>
      </c>
      <c r="X104" s="117" t="s">
        <v>344</v>
      </c>
    </row>
    <row r="105" spans="1:24" ht="15.75" customHeight="1" x14ac:dyDescent="0.2">
      <c r="A105" s="30" t="s">
        <v>209</v>
      </c>
      <c r="B105" s="17" t="s">
        <v>182</v>
      </c>
      <c r="C105" s="17" t="s">
        <v>92</v>
      </c>
      <c r="D105" s="29" t="s">
        <v>190</v>
      </c>
      <c r="E105" s="29" t="s">
        <v>190</v>
      </c>
      <c r="F105" s="29" t="s">
        <v>190</v>
      </c>
      <c r="G105" s="29" t="s">
        <v>190</v>
      </c>
      <c r="H105" s="29" t="s">
        <v>190</v>
      </c>
      <c r="I105" s="29" t="s">
        <v>190</v>
      </c>
      <c r="J105" s="29" t="s">
        <v>190</v>
      </c>
      <c r="K105" s="29" t="s">
        <v>190</v>
      </c>
      <c r="L105" s="29">
        <v>0.27100000000000002</v>
      </c>
      <c r="M105" s="29">
        <v>0.126</v>
      </c>
      <c r="N105" s="29">
        <v>0.16300000000000001</v>
      </c>
      <c r="O105" s="29">
        <v>0.21899999999999997</v>
      </c>
      <c r="P105" s="29">
        <v>0.191</v>
      </c>
      <c r="Q105" s="29">
        <v>0.19600000000000001</v>
      </c>
      <c r="R105" s="29">
        <v>0.19800000000000001</v>
      </c>
      <c r="S105" s="29">
        <v>0.17499999999999999</v>
      </c>
      <c r="T105" s="29">
        <v>8.1000000000000003E-2</v>
      </c>
      <c r="U105" s="29">
        <v>0.06</v>
      </c>
      <c r="V105" s="29" t="s">
        <v>208</v>
      </c>
      <c r="W105" s="117" t="s">
        <v>344</v>
      </c>
      <c r="X105" s="117" t="s">
        <v>344</v>
      </c>
    </row>
    <row r="106" spans="1:24" ht="15.75" customHeight="1" x14ac:dyDescent="0.2">
      <c r="A106" s="30" t="s">
        <v>209</v>
      </c>
      <c r="B106" s="17" t="s">
        <v>182</v>
      </c>
      <c r="C106" s="17" t="s">
        <v>93</v>
      </c>
      <c r="D106" s="29" t="s">
        <v>190</v>
      </c>
      <c r="E106" s="29" t="s">
        <v>190</v>
      </c>
      <c r="F106" s="29" t="s">
        <v>190</v>
      </c>
      <c r="G106" s="29" t="s">
        <v>190</v>
      </c>
      <c r="H106" s="29" t="s">
        <v>190</v>
      </c>
      <c r="I106" s="29" t="s">
        <v>190</v>
      </c>
      <c r="J106" s="29" t="s">
        <v>190</v>
      </c>
      <c r="K106" s="29" t="s">
        <v>190</v>
      </c>
      <c r="L106" s="29">
        <v>0.16600000000000001</v>
      </c>
      <c r="M106" s="29">
        <v>0.155</v>
      </c>
      <c r="N106" s="29">
        <v>0.375</v>
      </c>
      <c r="O106" s="29">
        <v>0.46899999999999997</v>
      </c>
      <c r="P106" s="29">
        <v>0.184</v>
      </c>
      <c r="Q106" s="29">
        <v>0.16500000000000001</v>
      </c>
      <c r="R106" s="29" t="s">
        <v>208</v>
      </c>
      <c r="S106" s="29">
        <v>0.27200000000000002</v>
      </c>
      <c r="T106" s="29">
        <v>0.56999999999999995</v>
      </c>
      <c r="U106" s="29" t="s">
        <v>208</v>
      </c>
      <c r="V106" s="29" t="s">
        <v>208</v>
      </c>
      <c r="W106" s="117" t="s">
        <v>344</v>
      </c>
      <c r="X106" s="117" t="s">
        <v>344</v>
      </c>
    </row>
    <row r="107" spans="1:24" ht="15.75" customHeight="1" x14ac:dyDescent="0.2">
      <c r="A107" s="30" t="s">
        <v>209</v>
      </c>
      <c r="B107" s="17" t="s">
        <v>182</v>
      </c>
      <c r="C107" s="17" t="s">
        <v>94</v>
      </c>
      <c r="D107" s="29" t="s">
        <v>190</v>
      </c>
      <c r="E107" s="29" t="s">
        <v>190</v>
      </c>
      <c r="F107" s="29" t="s">
        <v>190</v>
      </c>
      <c r="G107" s="29" t="s">
        <v>190</v>
      </c>
      <c r="H107" s="29" t="s">
        <v>190</v>
      </c>
      <c r="I107" s="29" t="s">
        <v>190</v>
      </c>
      <c r="J107" s="29" t="s">
        <v>190</v>
      </c>
      <c r="K107" s="29" t="s">
        <v>190</v>
      </c>
      <c r="L107" s="29">
        <v>0.14400000000000002</v>
      </c>
      <c r="M107" s="29">
        <v>0.16300000000000001</v>
      </c>
      <c r="N107" s="29">
        <v>0.13500000000000001</v>
      </c>
      <c r="O107" s="29">
        <v>0.16300000000000001</v>
      </c>
      <c r="P107" s="29">
        <v>0.151</v>
      </c>
      <c r="Q107" s="29">
        <v>0.11699999999999999</v>
      </c>
      <c r="R107" s="29">
        <v>0.17100000000000001</v>
      </c>
      <c r="S107" s="29">
        <v>0.14800000000000002</v>
      </c>
      <c r="T107" s="29">
        <v>0.19399999999999998</v>
      </c>
      <c r="U107" s="29">
        <v>0.16300000000000001</v>
      </c>
      <c r="V107" s="65">
        <v>0.19899999999999998</v>
      </c>
      <c r="W107" s="117" t="s">
        <v>344</v>
      </c>
      <c r="X107" s="117" t="s">
        <v>344</v>
      </c>
    </row>
    <row r="108" spans="1:24" ht="15.75" customHeight="1" x14ac:dyDescent="0.2">
      <c r="A108" s="30" t="s">
        <v>209</v>
      </c>
      <c r="B108" s="17" t="s">
        <v>182</v>
      </c>
      <c r="C108" s="17" t="s">
        <v>95</v>
      </c>
      <c r="D108" s="29" t="s">
        <v>190</v>
      </c>
      <c r="E108" s="29" t="s">
        <v>190</v>
      </c>
      <c r="F108" s="29" t="s">
        <v>190</v>
      </c>
      <c r="G108" s="29" t="s">
        <v>190</v>
      </c>
      <c r="H108" s="29" t="s">
        <v>190</v>
      </c>
      <c r="I108" s="29" t="s">
        <v>190</v>
      </c>
      <c r="J108" s="29" t="s">
        <v>190</v>
      </c>
      <c r="K108" s="29" t="s">
        <v>190</v>
      </c>
      <c r="L108" s="29">
        <v>0.21100000000000002</v>
      </c>
      <c r="M108" s="29">
        <v>0.14300000000000002</v>
      </c>
      <c r="N108" s="29">
        <v>0.32400000000000001</v>
      </c>
      <c r="O108" s="29">
        <v>0.192</v>
      </c>
      <c r="P108" s="29">
        <v>0.17399999999999999</v>
      </c>
      <c r="Q108" s="29">
        <v>0.14199999999999999</v>
      </c>
      <c r="R108" s="29">
        <v>0.20600000000000002</v>
      </c>
      <c r="S108" s="29">
        <v>8.5999999999999993E-2</v>
      </c>
      <c r="T108" s="29" t="s">
        <v>208</v>
      </c>
      <c r="U108" s="29" t="s">
        <v>208</v>
      </c>
      <c r="V108" s="29" t="s">
        <v>208</v>
      </c>
      <c r="W108" s="117" t="s">
        <v>344</v>
      </c>
      <c r="X108" s="117" t="s">
        <v>344</v>
      </c>
    </row>
    <row r="109" spans="1:24" ht="30" customHeight="1" x14ac:dyDescent="0.2">
      <c r="A109" s="30" t="s">
        <v>209</v>
      </c>
      <c r="B109" s="17" t="s">
        <v>183</v>
      </c>
      <c r="C109" s="17" t="s">
        <v>112</v>
      </c>
      <c r="D109" s="33" t="s">
        <v>190</v>
      </c>
      <c r="E109" s="33" t="s">
        <v>190</v>
      </c>
      <c r="F109" s="33" t="s">
        <v>190</v>
      </c>
      <c r="G109" s="33" t="s">
        <v>190</v>
      </c>
      <c r="H109" s="33" t="s">
        <v>190</v>
      </c>
      <c r="I109" s="33" t="s">
        <v>190</v>
      </c>
      <c r="J109" s="29" t="s">
        <v>190</v>
      </c>
      <c r="K109" s="29" t="s">
        <v>190</v>
      </c>
      <c r="L109" s="29">
        <v>0.22600000000000001</v>
      </c>
      <c r="M109" s="29">
        <v>0.221</v>
      </c>
      <c r="N109" s="29">
        <v>0.192</v>
      </c>
      <c r="O109" s="29">
        <v>0.20899999999999999</v>
      </c>
      <c r="P109" s="29">
        <v>0.21299999999999999</v>
      </c>
      <c r="Q109" s="29">
        <v>0.20800000000000002</v>
      </c>
      <c r="R109" s="29">
        <v>0.24299999999999999</v>
      </c>
      <c r="S109" s="29">
        <v>0.24600000000000002</v>
      </c>
      <c r="T109" s="29">
        <v>0.22500000000000001</v>
      </c>
      <c r="U109" s="29">
        <v>0.193</v>
      </c>
      <c r="V109" s="65">
        <v>0.19399999999999998</v>
      </c>
      <c r="W109" s="117" t="s">
        <v>344</v>
      </c>
      <c r="X109" s="117" t="s">
        <v>344</v>
      </c>
    </row>
    <row r="110" spans="1:24" x14ac:dyDescent="0.2">
      <c r="A110" s="30" t="s">
        <v>209</v>
      </c>
      <c r="B110" s="17" t="s">
        <v>183</v>
      </c>
      <c r="C110" s="9" t="s">
        <v>113</v>
      </c>
      <c r="D110" s="33" t="s">
        <v>190</v>
      </c>
      <c r="E110" s="33" t="s">
        <v>190</v>
      </c>
      <c r="F110" s="33" t="s">
        <v>190</v>
      </c>
      <c r="G110" s="33" t="s">
        <v>190</v>
      </c>
      <c r="H110" s="33" t="s">
        <v>190</v>
      </c>
      <c r="I110" s="33" t="s">
        <v>190</v>
      </c>
      <c r="J110" s="29" t="s">
        <v>190</v>
      </c>
      <c r="K110" s="29" t="s">
        <v>190</v>
      </c>
      <c r="L110" s="29">
        <v>0.18600000000000003</v>
      </c>
      <c r="M110" s="29">
        <v>0.17199999999999999</v>
      </c>
      <c r="N110" s="29">
        <v>0.21899999999999997</v>
      </c>
      <c r="O110" s="29">
        <v>0.158</v>
      </c>
      <c r="P110" s="29">
        <v>0.182</v>
      </c>
      <c r="Q110" s="29">
        <v>0.11599999999999999</v>
      </c>
      <c r="R110" s="29">
        <v>0.16300000000000001</v>
      </c>
      <c r="S110" s="29">
        <v>0.115</v>
      </c>
      <c r="T110" s="29">
        <v>0.15</v>
      </c>
      <c r="U110" s="29">
        <v>0.10400000000000001</v>
      </c>
      <c r="V110" s="65">
        <v>0.14499999999999999</v>
      </c>
      <c r="W110" s="117" t="s">
        <v>344</v>
      </c>
      <c r="X110" s="117" t="s">
        <v>344</v>
      </c>
    </row>
    <row r="111" spans="1:24" x14ac:dyDescent="0.2">
      <c r="A111" s="30" t="s">
        <v>209</v>
      </c>
      <c r="B111" s="17" t="s">
        <v>183</v>
      </c>
      <c r="C111" s="9" t="s">
        <v>114</v>
      </c>
      <c r="D111" s="33" t="s">
        <v>190</v>
      </c>
      <c r="E111" s="33" t="s">
        <v>190</v>
      </c>
      <c r="F111" s="33" t="s">
        <v>190</v>
      </c>
      <c r="G111" s="33" t="s">
        <v>190</v>
      </c>
      <c r="H111" s="33" t="s">
        <v>190</v>
      </c>
      <c r="I111" s="33" t="s">
        <v>190</v>
      </c>
      <c r="J111" s="29" t="s">
        <v>190</v>
      </c>
      <c r="K111" s="29" t="s">
        <v>190</v>
      </c>
      <c r="L111" s="29">
        <v>0.14000000000000001</v>
      </c>
      <c r="M111" s="29">
        <v>0.17199999999999999</v>
      </c>
      <c r="N111" s="29">
        <v>0.14499999999999999</v>
      </c>
      <c r="O111" s="29">
        <v>0.12</v>
      </c>
      <c r="P111" s="29">
        <v>0.14599999999999999</v>
      </c>
      <c r="Q111" s="29">
        <v>0.127</v>
      </c>
      <c r="R111" s="29">
        <v>0.11199999999999999</v>
      </c>
      <c r="S111" s="29">
        <v>0.126</v>
      </c>
      <c r="T111" s="29">
        <v>0.155</v>
      </c>
      <c r="U111" s="29">
        <v>0.13900000000000001</v>
      </c>
      <c r="V111" s="65">
        <v>0.14699999999999999</v>
      </c>
      <c r="W111" s="117" t="s">
        <v>344</v>
      </c>
      <c r="X111" s="117" t="s">
        <v>344</v>
      </c>
    </row>
    <row r="112" spans="1:24" x14ac:dyDescent="0.2">
      <c r="A112" s="30" t="s">
        <v>209</v>
      </c>
      <c r="B112" s="17" t="s">
        <v>183</v>
      </c>
      <c r="C112" s="9" t="s">
        <v>115</v>
      </c>
      <c r="D112" s="33" t="s">
        <v>190</v>
      </c>
      <c r="E112" s="33" t="s">
        <v>190</v>
      </c>
      <c r="F112" s="33" t="s">
        <v>190</v>
      </c>
      <c r="G112" s="33" t="s">
        <v>190</v>
      </c>
      <c r="H112" s="33" t="s">
        <v>190</v>
      </c>
      <c r="I112" s="33" t="s">
        <v>190</v>
      </c>
      <c r="J112" s="29" t="s">
        <v>190</v>
      </c>
      <c r="K112" s="29" t="s">
        <v>190</v>
      </c>
      <c r="L112" s="29">
        <v>0.21</v>
      </c>
      <c r="M112" s="29">
        <v>0.21199999999999999</v>
      </c>
      <c r="N112" s="29">
        <v>0.22</v>
      </c>
      <c r="O112" s="29">
        <v>0.157</v>
      </c>
      <c r="P112" s="29">
        <v>0.21199999999999999</v>
      </c>
      <c r="Q112" s="29">
        <v>0.16500000000000001</v>
      </c>
      <c r="R112" s="29">
        <v>0.245</v>
      </c>
      <c r="S112" s="29">
        <v>0.221</v>
      </c>
      <c r="T112" s="29">
        <v>0.312</v>
      </c>
      <c r="U112" s="29">
        <v>0.23899999999999999</v>
      </c>
      <c r="V112" s="65">
        <v>0.26</v>
      </c>
      <c r="W112" s="117" t="s">
        <v>344</v>
      </c>
      <c r="X112" s="117" t="s">
        <v>344</v>
      </c>
    </row>
    <row r="113" spans="1:24" x14ac:dyDescent="0.2">
      <c r="A113" s="30" t="s">
        <v>209</v>
      </c>
      <c r="B113" s="17" t="s">
        <v>183</v>
      </c>
      <c r="C113" s="9" t="s">
        <v>13</v>
      </c>
      <c r="D113" s="33" t="s">
        <v>190</v>
      </c>
      <c r="E113" s="33" t="s">
        <v>190</v>
      </c>
      <c r="F113" s="33" t="s">
        <v>190</v>
      </c>
      <c r="G113" s="33" t="s">
        <v>190</v>
      </c>
      <c r="H113" s="33" t="s">
        <v>190</v>
      </c>
      <c r="I113" s="33" t="s">
        <v>190</v>
      </c>
      <c r="J113" s="29" t="s">
        <v>190</v>
      </c>
      <c r="K113" s="29" t="s">
        <v>190</v>
      </c>
      <c r="L113" s="29">
        <v>0.13</v>
      </c>
      <c r="M113" s="29">
        <v>0.11900000000000001</v>
      </c>
      <c r="N113" s="29">
        <v>0.11800000000000001</v>
      </c>
      <c r="O113" s="29">
        <v>0.11800000000000001</v>
      </c>
      <c r="P113" s="29">
        <v>0.14899999999999999</v>
      </c>
      <c r="Q113" s="29">
        <v>0.153</v>
      </c>
      <c r="R113" s="29">
        <v>0.17899999999999999</v>
      </c>
      <c r="S113" s="29">
        <v>0.14800000000000002</v>
      </c>
      <c r="T113" s="29">
        <v>0.124</v>
      </c>
      <c r="U113" s="29">
        <v>0.14300000000000002</v>
      </c>
      <c r="V113" s="65">
        <v>0.13500000000000001</v>
      </c>
      <c r="W113" s="117" t="s">
        <v>344</v>
      </c>
      <c r="X113" s="117" t="s">
        <v>344</v>
      </c>
    </row>
    <row r="114" spans="1:24" x14ac:dyDescent="0.2">
      <c r="A114" s="30" t="s">
        <v>209</v>
      </c>
      <c r="B114" s="17" t="s">
        <v>183</v>
      </c>
      <c r="C114" s="9" t="s">
        <v>116</v>
      </c>
      <c r="D114" s="33" t="s">
        <v>190</v>
      </c>
      <c r="E114" s="33" t="s">
        <v>190</v>
      </c>
      <c r="F114" s="33" t="s">
        <v>190</v>
      </c>
      <c r="G114" s="33" t="s">
        <v>190</v>
      </c>
      <c r="H114" s="33" t="s">
        <v>190</v>
      </c>
      <c r="I114" s="33" t="s">
        <v>190</v>
      </c>
      <c r="J114" s="29" t="s">
        <v>190</v>
      </c>
      <c r="K114" s="29" t="s">
        <v>190</v>
      </c>
      <c r="L114" s="29">
        <v>0.17300000000000001</v>
      </c>
      <c r="M114" s="29">
        <v>0.19899999999999998</v>
      </c>
      <c r="N114" s="29">
        <v>0.17699999999999999</v>
      </c>
      <c r="O114" s="29">
        <v>0.17600000000000002</v>
      </c>
      <c r="P114" s="29">
        <v>0.16399999999999998</v>
      </c>
      <c r="Q114" s="29">
        <v>0.21600000000000003</v>
      </c>
      <c r="R114" s="29">
        <v>0.158</v>
      </c>
      <c r="S114" s="29">
        <v>0.158</v>
      </c>
      <c r="T114" s="29">
        <v>0.159</v>
      </c>
      <c r="U114" s="29">
        <v>0.183</v>
      </c>
      <c r="V114" s="65">
        <v>0.111</v>
      </c>
      <c r="W114" s="117" t="s">
        <v>344</v>
      </c>
      <c r="X114" s="117" t="s">
        <v>344</v>
      </c>
    </row>
    <row r="115" spans="1:24" x14ac:dyDescent="0.2">
      <c r="A115" s="30" t="s">
        <v>209</v>
      </c>
      <c r="B115" s="17" t="s">
        <v>183</v>
      </c>
      <c r="C115" s="9" t="s">
        <v>117</v>
      </c>
      <c r="D115" s="33" t="s">
        <v>190</v>
      </c>
      <c r="E115" s="33" t="s">
        <v>190</v>
      </c>
      <c r="F115" s="33" t="s">
        <v>190</v>
      </c>
      <c r="G115" s="33" t="s">
        <v>190</v>
      </c>
      <c r="H115" s="33" t="s">
        <v>190</v>
      </c>
      <c r="I115" s="33" t="s">
        <v>190</v>
      </c>
      <c r="J115" s="29" t="s">
        <v>190</v>
      </c>
      <c r="K115" s="29" t="s">
        <v>190</v>
      </c>
      <c r="L115" s="29">
        <v>0.14400000000000002</v>
      </c>
      <c r="M115" s="29">
        <v>0.16300000000000001</v>
      </c>
      <c r="N115" s="29">
        <v>0.13500000000000001</v>
      </c>
      <c r="O115" s="29">
        <v>0.16300000000000001</v>
      </c>
      <c r="P115" s="29">
        <v>0.151</v>
      </c>
      <c r="Q115" s="29">
        <v>0.11699999999999999</v>
      </c>
      <c r="R115" s="29">
        <v>0.17100000000000001</v>
      </c>
      <c r="S115" s="29">
        <v>0.14800000000000002</v>
      </c>
      <c r="T115" s="29">
        <v>0.19399999999999998</v>
      </c>
      <c r="U115" s="29">
        <v>0.16300000000000001</v>
      </c>
      <c r="V115" s="65">
        <v>0.19899999999999998</v>
      </c>
      <c r="W115" s="117" t="s">
        <v>344</v>
      </c>
      <c r="X115" s="117" t="s">
        <v>344</v>
      </c>
    </row>
    <row r="116" spans="1:24" x14ac:dyDescent="0.2">
      <c r="A116" s="30" t="s">
        <v>209</v>
      </c>
      <c r="B116" s="17" t="s">
        <v>183</v>
      </c>
      <c r="C116" s="9" t="s">
        <v>118</v>
      </c>
      <c r="D116" s="33" t="s">
        <v>190</v>
      </c>
      <c r="E116" s="33" t="s">
        <v>190</v>
      </c>
      <c r="F116" s="33" t="s">
        <v>190</v>
      </c>
      <c r="G116" s="33" t="s">
        <v>190</v>
      </c>
      <c r="H116" s="33" t="s">
        <v>190</v>
      </c>
      <c r="I116" s="33" t="s">
        <v>190</v>
      </c>
      <c r="J116" s="29" t="s">
        <v>190</v>
      </c>
      <c r="K116" s="29" t="s">
        <v>190</v>
      </c>
      <c r="L116" s="29">
        <v>0.12</v>
      </c>
      <c r="M116" s="29">
        <v>0.11900000000000001</v>
      </c>
      <c r="N116" s="29">
        <v>9.8000000000000004E-2</v>
      </c>
      <c r="O116" s="29">
        <v>0.124</v>
      </c>
      <c r="P116" s="29">
        <v>9.4E-2</v>
      </c>
      <c r="Q116" s="29">
        <v>0.109</v>
      </c>
      <c r="R116" s="29">
        <v>0.14300000000000002</v>
      </c>
      <c r="S116" s="29">
        <v>0.12300000000000001</v>
      </c>
      <c r="T116" s="29">
        <v>0.128</v>
      </c>
      <c r="U116" s="29">
        <v>3.9E-2</v>
      </c>
      <c r="V116" s="65">
        <v>0.11900000000000001</v>
      </c>
      <c r="W116" s="117" t="s">
        <v>344</v>
      </c>
      <c r="X116" s="117" t="s">
        <v>344</v>
      </c>
    </row>
    <row r="117" spans="1:24" x14ac:dyDescent="0.2">
      <c r="A117" s="30" t="s">
        <v>209</v>
      </c>
      <c r="B117" s="17" t="s">
        <v>183</v>
      </c>
      <c r="C117" s="9" t="s">
        <v>184</v>
      </c>
      <c r="D117" s="33" t="s">
        <v>190</v>
      </c>
      <c r="E117" s="33" t="s">
        <v>190</v>
      </c>
      <c r="F117" s="33" t="s">
        <v>190</v>
      </c>
      <c r="G117" s="33" t="s">
        <v>190</v>
      </c>
      <c r="H117" s="33" t="s">
        <v>190</v>
      </c>
      <c r="I117" s="33" t="s">
        <v>190</v>
      </c>
      <c r="J117" s="29" t="s">
        <v>190</v>
      </c>
      <c r="K117" s="29" t="s">
        <v>190</v>
      </c>
      <c r="L117" s="29">
        <v>0.159</v>
      </c>
      <c r="M117" s="29">
        <v>0.16800000000000001</v>
      </c>
      <c r="N117" s="29">
        <v>0.155</v>
      </c>
      <c r="O117" s="29">
        <v>0.14000000000000001</v>
      </c>
      <c r="P117" s="29">
        <v>0.161</v>
      </c>
      <c r="Q117" s="29">
        <v>0.14699999999999999</v>
      </c>
      <c r="R117" s="29">
        <v>0.16200000000000001</v>
      </c>
      <c r="S117" s="29">
        <v>0.154</v>
      </c>
      <c r="T117" s="29">
        <v>0.16800000000000001</v>
      </c>
      <c r="U117" s="29">
        <v>0.14699999999999999</v>
      </c>
      <c r="V117" s="65">
        <v>0.158</v>
      </c>
      <c r="W117" s="117" t="s">
        <v>344</v>
      </c>
      <c r="X117" s="117" t="s">
        <v>344</v>
      </c>
    </row>
    <row r="118" spans="1:24" ht="30" customHeight="1" x14ac:dyDescent="0.2">
      <c r="A118" s="30" t="s">
        <v>209</v>
      </c>
      <c r="B118" s="17" t="s">
        <v>185</v>
      </c>
      <c r="C118" s="17" t="s">
        <v>111</v>
      </c>
      <c r="D118" s="33" t="s">
        <v>190</v>
      </c>
      <c r="E118" s="33" t="s">
        <v>190</v>
      </c>
      <c r="F118" s="33" t="s">
        <v>190</v>
      </c>
      <c r="G118" s="33" t="s">
        <v>190</v>
      </c>
      <c r="H118" s="33" t="s">
        <v>190</v>
      </c>
      <c r="I118" s="33" t="s">
        <v>190</v>
      </c>
      <c r="J118" s="29" t="s">
        <v>190</v>
      </c>
      <c r="K118" s="29" t="s">
        <v>190</v>
      </c>
      <c r="L118" s="29">
        <v>0.13800000000000001</v>
      </c>
      <c r="M118" s="29" t="s">
        <v>208</v>
      </c>
      <c r="N118" s="29" t="s">
        <v>208</v>
      </c>
      <c r="O118" s="29" t="s">
        <v>208</v>
      </c>
      <c r="P118" s="29" t="s">
        <v>208</v>
      </c>
      <c r="Q118" s="29">
        <v>0.19</v>
      </c>
      <c r="R118" s="29">
        <v>0.214</v>
      </c>
      <c r="S118" s="29">
        <v>0.188</v>
      </c>
      <c r="T118" s="29" t="s">
        <v>208</v>
      </c>
      <c r="U118" s="29" t="s">
        <v>208</v>
      </c>
      <c r="V118" s="65">
        <v>0.215</v>
      </c>
      <c r="W118" s="117" t="s">
        <v>344</v>
      </c>
      <c r="X118" s="117" t="s">
        <v>344</v>
      </c>
    </row>
    <row r="119" spans="1:24" x14ac:dyDescent="0.2">
      <c r="A119" s="30" t="s">
        <v>209</v>
      </c>
      <c r="B119" s="17" t="s">
        <v>185</v>
      </c>
      <c r="C119" s="9" t="s">
        <v>186</v>
      </c>
      <c r="D119" s="33" t="s">
        <v>190</v>
      </c>
      <c r="E119" s="33" t="s">
        <v>190</v>
      </c>
      <c r="F119" s="33" t="s">
        <v>190</v>
      </c>
      <c r="G119" s="33" t="s">
        <v>190</v>
      </c>
      <c r="H119" s="33" t="s">
        <v>190</v>
      </c>
      <c r="I119" s="33" t="s">
        <v>190</v>
      </c>
      <c r="J119" s="29" t="s">
        <v>190</v>
      </c>
      <c r="K119" s="29" t="s">
        <v>190</v>
      </c>
      <c r="L119" s="29">
        <v>0.127</v>
      </c>
      <c r="M119" s="29">
        <v>7.2999999999999995E-2</v>
      </c>
      <c r="N119" s="29">
        <v>0.111</v>
      </c>
      <c r="O119" s="29">
        <v>0.11800000000000001</v>
      </c>
      <c r="P119" s="29">
        <v>0.124</v>
      </c>
      <c r="Q119" s="29">
        <v>0.14099999999999999</v>
      </c>
      <c r="R119" s="29">
        <v>0.124</v>
      </c>
      <c r="S119" s="29">
        <v>0.113</v>
      </c>
      <c r="T119" s="29">
        <v>0.121</v>
      </c>
      <c r="U119" s="29">
        <v>0.10800000000000001</v>
      </c>
      <c r="V119" s="65">
        <v>9.8000000000000004E-2</v>
      </c>
      <c r="W119" s="117" t="s">
        <v>344</v>
      </c>
      <c r="X119" s="117" t="s">
        <v>344</v>
      </c>
    </row>
    <row r="120" spans="1:24" x14ac:dyDescent="0.2">
      <c r="A120" s="30" t="s">
        <v>209</v>
      </c>
      <c r="B120" s="17" t="s">
        <v>185</v>
      </c>
      <c r="C120" s="9" t="s">
        <v>151</v>
      </c>
      <c r="D120" s="29" t="s">
        <v>190</v>
      </c>
      <c r="E120" s="29" t="s">
        <v>190</v>
      </c>
      <c r="F120" s="29" t="s">
        <v>190</v>
      </c>
      <c r="G120" s="29" t="s">
        <v>190</v>
      </c>
      <c r="H120" s="29" t="s">
        <v>190</v>
      </c>
      <c r="I120" s="29" t="s">
        <v>190</v>
      </c>
      <c r="J120" s="29" t="s">
        <v>190</v>
      </c>
      <c r="K120" s="29" t="s">
        <v>190</v>
      </c>
      <c r="L120" s="29">
        <v>0.11599999999999999</v>
      </c>
      <c r="M120" s="29">
        <v>8.1000000000000003E-2</v>
      </c>
      <c r="N120" s="29">
        <v>0.11</v>
      </c>
      <c r="O120" s="29">
        <v>0.122</v>
      </c>
      <c r="P120" s="29">
        <v>0.109</v>
      </c>
      <c r="Q120" s="29">
        <v>0.13500000000000001</v>
      </c>
      <c r="R120" s="29">
        <v>0.128</v>
      </c>
      <c r="S120" s="29">
        <v>9.6000000000000002E-2</v>
      </c>
      <c r="T120" s="29">
        <v>0.1</v>
      </c>
      <c r="U120" s="29">
        <v>9.5000000000000001E-2</v>
      </c>
      <c r="V120" s="65">
        <v>0.10300000000000001</v>
      </c>
      <c r="W120" s="117" t="s">
        <v>344</v>
      </c>
      <c r="X120" s="117" t="s">
        <v>344</v>
      </c>
    </row>
    <row r="121" spans="1:24" ht="36" customHeight="1" x14ac:dyDescent="0.2">
      <c r="A121" s="30" t="s">
        <v>209</v>
      </c>
      <c r="B121" s="91" t="s">
        <v>270</v>
      </c>
      <c r="C121" s="92" t="s">
        <v>271</v>
      </c>
      <c r="D121" s="18" t="s">
        <v>190</v>
      </c>
      <c r="E121" s="18" t="s">
        <v>190</v>
      </c>
      <c r="F121" s="18" t="s">
        <v>190</v>
      </c>
      <c r="G121" s="18" t="s">
        <v>190</v>
      </c>
      <c r="H121" s="18" t="s">
        <v>190</v>
      </c>
      <c r="I121" s="18" t="s">
        <v>190</v>
      </c>
      <c r="J121" s="21" t="s">
        <v>190</v>
      </c>
      <c r="K121" s="21" t="s">
        <v>190</v>
      </c>
      <c r="L121" s="29">
        <v>0.28699999999999998</v>
      </c>
      <c r="M121" s="29">
        <v>0.309</v>
      </c>
      <c r="N121" s="29">
        <v>0.22699999999999998</v>
      </c>
      <c r="O121" s="29">
        <v>0.30499999999999999</v>
      </c>
      <c r="P121" s="29">
        <v>0.33200000000000002</v>
      </c>
      <c r="Q121" s="29">
        <v>0.307</v>
      </c>
      <c r="R121" s="29">
        <v>0.36099999999999999</v>
      </c>
      <c r="S121" s="29">
        <v>0.32899999999999996</v>
      </c>
      <c r="T121" s="29">
        <v>0.29899999999999999</v>
      </c>
      <c r="U121" s="29">
        <v>0.52100000000000002</v>
      </c>
      <c r="V121" s="29">
        <v>0.53400000000000003</v>
      </c>
      <c r="W121" s="117" t="s">
        <v>344</v>
      </c>
      <c r="X121" s="117" t="s">
        <v>344</v>
      </c>
    </row>
    <row r="122" spans="1:24" x14ac:dyDescent="0.2">
      <c r="A122" s="30" t="s">
        <v>209</v>
      </c>
      <c r="B122" s="91" t="s">
        <v>270</v>
      </c>
      <c r="C122" s="92" t="s">
        <v>272</v>
      </c>
      <c r="D122" s="18" t="s">
        <v>190</v>
      </c>
      <c r="E122" s="18" t="s">
        <v>190</v>
      </c>
      <c r="F122" s="18" t="s">
        <v>190</v>
      </c>
      <c r="G122" s="18" t="s">
        <v>190</v>
      </c>
      <c r="H122" s="18" t="s">
        <v>190</v>
      </c>
      <c r="I122" s="18" t="s">
        <v>190</v>
      </c>
      <c r="J122" s="21" t="s">
        <v>190</v>
      </c>
      <c r="K122" s="21" t="s">
        <v>190</v>
      </c>
      <c r="L122" s="29">
        <v>0.23800000000000002</v>
      </c>
      <c r="M122" s="29">
        <v>0.128</v>
      </c>
      <c r="N122" s="29">
        <v>0.24399999999999999</v>
      </c>
      <c r="O122" s="29">
        <v>0.27600000000000002</v>
      </c>
      <c r="P122" s="29">
        <v>0.38799999999999996</v>
      </c>
      <c r="Q122" s="29">
        <v>0.30099999999999999</v>
      </c>
      <c r="R122" s="29">
        <v>0.23899999999999999</v>
      </c>
      <c r="S122" s="29">
        <v>0.35799999999999998</v>
      </c>
      <c r="T122" s="29">
        <v>0.27600000000000002</v>
      </c>
      <c r="U122" s="29">
        <v>0.63500000000000001</v>
      </c>
      <c r="V122" s="29">
        <v>0.78799999999999992</v>
      </c>
      <c r="W122" s="117" t="s">
        <v>344</v>
      </c>
      <c r="X122" s="117" t="s">
        <v>344</v>
      </c>
    </row>
    <row r="123" spans="1:24" x14ac:dyDescent="0.2">
      <c r="A123" s="30" t="s">
        <v>209</v>
      </c>
      <c r="B123" s="91" t="s">
        <v>270</v>
      </c>
      <c r="C123" s="92" t="s">
        <v>273</v>
      </c>
      <c r="D123" s="18" t="s">
        <v>190</v>
      </c>
      <c r="E123" s="18" t="s">
        <v>190</v>
      </c>
      <c r="F123" s="18" t="s">
        <v>190</v>
      </c>
      <c r="G123" s="18" t="s">
        <v>190</v>
      </c>
      <c r="H123" s="18" t="s">
        <v>190</v>
      </c>
      <c r="I123" s="18" t="s">
        <v>190</v>
      </c>
      <c r="J123" s="21" t="s">
        <v>190</v>
      </c>
      <c r="K123" s="21" t="s">
        <v>190</v>
      </c>
      <c r="L123" s="29">
        <v>0.26899999999999996</v>
      </c>
      <c r="M123" s="29">
        <v>0.34200000000000003</v>
      </c>
      <c r="N123" s="29">
        <v>0.32400000000000001</v>
      </c>
      <c r="O123" s="29">
        <v>0.25700000000000001</v>
      </c>
      <c r="P123" s="29">
        <v>0.51300000000000001</v>
      </c>
      <c r="Q123" s="29">
        <v>0.38</v>
      </c>
      <c r="R123" s="29">
        <v>0.498</v>
      </c>
      <c r="S123" s="29">
        <v>0.36499999999999999</v>
      </c>
      <c r="T123" s="29">
        <v>0.27</v>
      </c>
      <c r="U123" s="29">
        <v>0.63500000000000001</v>
      </c>
      <c r="V123" s="29" t="s">
        <v>208</v>
      </c>
      <c r="W123" s="117" t="s">
        <v>344</v>
      </c>
      <c r="X123" s="117" t="s">
        <v>344</v>
      </c>
    </row>
    <row r="124" spans="1:24" x14ac:dyDescent="0.2">
      <c r="A124" s="30" t="s">
        <v>209</v>
      </c>
      <c r="B124" s="91" t="s">
        <v>270</v>
      </c>
      <c r="C124" s="92" t="s">
        <v>274</v>
      </c>
      <c r="D124" s="18" t="s">
        <v>190</v>
      </c>
      <c r="E124" s="18" t="s">
        <v>190</v>
      </c>
      <c r="F124" s="18" t="s">
        <v>190</v>
      </c>
      <c r="G124" s="18" t="s">
        <v>190</v>
      </c>
      <c r="H124" s="18" t="s">
        <v>190</v>
      </c>
      <c r="I124" s="18" t="s">
        <v>190</v>
      </c>
      <c r="J124" s="21" t="s">
        <v>190</v>
      </c>
      <c r="K124" s="21" t="s">
        <v>190</v>
      </c>
      <c r="L124" s="29">
        <v>0.129</v>
      </c>
      <c r="M124" s="29">
        <v>0.17100000000000001</v>
      </c>
      <c r="N124" s="29">
        <v>0.13</v>
      </c>
      <c r="O124" s="29">
        <v>0.16</v>
      </c>
      <c r="P124" s="29">
        <v>0.124</v>
      </c>
      <c r="Q124" s="29">
        <v>9.5000000000000001E-2</v>
      </c>
      <c r="R124" s="29">
        <v>0.11900000000000001</v>
      </c>
      <c r="S124" s="29">
        <v>0.13300000000000001</v>
      </c>
      <c r="T124" s="29">
        <v>0.187</v>
      </c>
      <c r="U124" s="29">
        <v>0.13699999999999998</v>
      </c>
      <c r="V124" s="29">
        <v>0.14800000000000002</v>
      </c>
      <c r="W124" s="117" t="s">
        <v>344</v>
      </c>
      <c r="X124" s="117" t="s">
        <v>344</v>
      </c>
    </row>
    <row r="125" spans="1:24" x14ac:dyDescent="0.2">
      <c r="A125" s="30" t="s">
        <v>209</v>
      </c>
      <c r="B125" s="91" t="s">
        <v>270</v>
      </c>
      <c r="C125" s="92" t="s">
        <v>275</v>
      </c>
      <c r="D125" s="18" t="s">
        <v>190</v>
      </c>
      <c r="E125" s="18" t="s">
        <v>190</v>
      </c>
      <c r="F125" s="18" t="s">
        <v>190</v>
      </c>
      <c r="G125" s="18" t="s">
        <v>190</v>
      </c>
      <c r="H125" s="18" t="s">
        <v>190</v>
      </c>
      <c r="I125" s="18" t="s">
        <v>190</v>
      </c>
      <c r="J125" s="21" t="s">
        <v>190</v>
      </c>
      <c r="K125" s="21" t="s">
        <v>190</v>
      </c>
      <c r="L125" s="29">
        <v>0.153</v>
      </c>
      <c r="M125" s="29">
        <v>0.17100000000000001</v>
      </c>
      <c r="N125" s="29">
        <v>0.17399999999999999</v>
      </c>
      <c r="O125" s="29">
        <v>0.14000000000000001</v>
      </c>
      <c r="P125" s="29">
        <v>0.14300000000000002</v>
      </c>
      <c r="Q125" s="29">
        <v>0.21100000000000002</v>
      </c>
      <c r="R125" s="29">
        <v>0.157</v>
      </c>
      <c r="S125" s="29">
        <v>0.13600000000000001</v>
      </c>
      <c r="T125" s="29">
        <v>0.15</v>
      </c>
      <c r="U125" s="29">
        <v>0.16</v>
      </c>
      <c r="V125" s="29">
        <v>0.115</v>
      </c>
      <c r="W125" s="117" t="s">
        <v>344</v>
      </c>
      <c r="X125" s="117" t="s">
        <v>344</v>
      </c>
    </row>
    <row r="126" spans="1:24" x14ac:dyDescent="0.2">
      <c r="A126" s="30" t="s">
        <v>209</v>
      </c>
      <c r="B126" s="91" t="s">
        <v>270</v>
      </c>
      <c r="C126" s="92" t="s">
        <v>276</v>
      </c>
      <c r="D126" s="18" t="s">
        <v>190</v>
      </c>
      <c r="E126" s="18" t="s">
        <v>190</v>
      </c>
      <c r="F126" s="18" t="s">
        <v>190</v>
      </c>
      <c r="G126" s="18" t="s">
        <v>190</v>
      </c>
      <c r="H126" s="18" t="s">
        <v>190</v>
      </c>
      <c r="I126" s="18" t="s">
        <v>190</v>
      </c>
      <c r="J126" s="21" t="s">
        <v>190</v>
      </c>
      <c r="K126" s="21" t="s">
        <v>190</v>
      </c>
      <c r="L126" s="29">
        <v>0.29199999999999998</v>
      </c>
      <c r="M126" s="29">
        <v>0.42</v>
      </c>
      <c r="N126" s="29">
        <v>0.20600000000000002</v>
      </c>
      <c r="O126" s="29">
        <v>0.53500000000000003</v>
      </c>
      <c r="P126" s="29">
        <v>0.38500000000000001</v>
      </c>
      <c r="Q126" s="29">
        <v>0.30599999999999999</v>
      </c>
      <c r="R126" s="29" t="s">
        <v>208</v>
      </c>
      <c r="S126" s="29">
        <v>0.40299999999999997</v>
      </c>
      <c r="T126" s="29" t="s">
        <v>208</v>
      </c>
      <c r="U126" s="29" t="s">
        <v>208</v>
      </c>
      <c r="V126" s="29" t="s">
        <v>208</v>
      </c>
      <c r="W126" s="117" t="s">
        <v>344</v>
      </c>
      <c r="X126" s="117" t="s">
        <v>344</v>
      </c>
    </row>
    <row r="127" spans="1:24" x14ac:dyDescent="0.2">
      <c r="A127" s="30" t="s">
        <v>209</v>
      </c>
      <c r="B127" s="91" t="s">
        <v>270</v>
      </c>
      <c r="C127" s="92" t="s">
        <v>277</v>
      </c>
      <c r="D127" s="18" t="s">
        <v>190</v>
      </c>
      <c r="E127" s="18" t="s">
        <v>190</v>
      </c>
      <c r="F127" s="18" t="s">
        <v>190</v>
      </c>
      <c r="G127" s="18" t="s">
        <v>190</v>
      </c>
      <c r="H127" s="18" t="s">
        <v>190</v>
      </c>
      <c r="I127" s="18" t="s">
        <v>190</v>
      </c>
      <c r="J127" s="21" t="s">
        <v>190</v>
      </c>
      <c r="K127" s="21" t="s">
        <v>190</v>
      </c>
      <c r="L127" s="29">
        <v>0.10199999999999999</v>
      </c>
      <c r="M127" s="29">
        <v>0.10400000000000001</v>
      </c>
      <c r="N127" s="29">
        <v>9.4E-2</v>
      </c>
      <c r="O127" s="29">
        <v>0.122</v>
      </c>
      <c r="P127" s="29">
        <v>8.8000000000000009E-2</v>
      </c>
      <c r="Q127" s="29">
        <v>0.10400000000000001</v>
      </c>
      <c r="R127" s="29">
        <v>0.12</v>
      </c>
      <c r="S127" s="29">
        <v>0.157</v>
      </c>
      <c r="T127" s="29">
        <v>0.125</v>
      </c>
      <c r="U127" s="29">
        <v>4.0999999999999995E-2</v>
      </c>
      <c r="V127" s="29">
        <v>0.126</v>
      </c>
      <c r="W127" s="117" t="s">
        <v>344</v>
      </c>
      <c r="X127" s="117" t="s">
        <v>344</v>
      </c>
    </row>
    <row r="128" spans="1:24" x14ac:dyDescent="0.2">
      <c r="A128" s="30" t="s">
        <v>209</v>
      </c>
      <c r="B128" s="91" t="s">
        <v>270</v>
      </c>
      <c r="C128" s="92" t="s">
        <v>278</v>
      </c>
      <c r="D128" s="18" t="s">
        <v>190</v>
      </c>
      <c r="E128" s="18" t="s">
        <v>190</v>
      </c>
      <c r="F128" s="18" t="s">
        <v>190</v>
      </c>
      <c r="G128" s="18" t="s">
        <v>190</v>
      </c>
      <c r="H128" s="18" t="s">
        <v>190</v>
      </c>
      <c r="I128" s="18" t="s">
        <v>190</v>
      </c>
      <c r="J128" s="21" t="s">
        <v>190</v>
      </c>
      <c r="K128" s="21" t="s">
        <v>190</v>
      </c>
      <c r="L128" s="29">
        <v>0.307</v>
      </c>
      <c r="M128" s="29">
        <v>0.26200000000000001</v>
      </c>
      <c r="N128" s="29" t="s">
        <v>208</v>
      </c>
      <c r="O128" s="29" t="s">
        <v>208</v>
      </c>
      <c r="P128" s="29" t="s">
        <v>208</v>
      </c>
      <c r="Q128" s="29" t="s">
        <v>208</v>
      </c>
      <c r="R128" s="29">
        <v>0.26100000000000001</v>
      </c>
      <c r="S128" s="29" t="s">
        <v>208</v>
      </c>
      <c r="T128" s="29" t="s">
        <v>208</v>
      </c>
      <c r="U128" s="29" t="s">
        <v>208</v>
      </c>
      <c r="V128" s="29" t="s">
        <v>208</v>
      </c>
      <c r="W128" s="117" t="s">
        <v>344</v>
      </c>
      <c r="X128" s="117" t="s">
        <v>344</v>
      </c>
    </row>
    <row r="129" spans="1:24" x14ac:dyDescent="0.2">
      <c r="A129" s="30" t="s">
        <v>209</v>
      </c>
      <c r="B129" s="91" t="s">
        <v>270</v>
      </c>
      <c r="C129" s="92" t="s">
        <v>279</v>
      </c>
      <c r="D129" s="18" t="s">
        <v>190</v>
      </c>
      <c r="E129" s="18" t="s">
        <v>190</v>
      </c>
      <c r="F129" s="18" t="s">
        <v>190</v>
      </c>
      <c r="G129" s="18" t="s">
        <v>190</v>
      </c>
      <c r="H129" s="18" t="s">
        <v>190</v>
      </c>
      <c r="I129" s="18" t="s">
        <v>190</v>
      </c>
      <c r="J129" s="21" t="s">
        <v>190</v>
      </c>
      <c r="K129" s="21" t="s">
        <v>190</v>
      </c>
      <c r="L129" s="29">
        <v>0.20499999999999999</v>
      </c>
      <c r="M129" s="29">
        <v>0.13100000000000001</v>
      </c>
      <c r="N129" s="29">
        <v>0.17100000000000001</v>
      </c>
      <c r="O129" s="29">
        <v>0.17699999999999999</v>
      </c>
      <c r="P129" s="29">
        <v>0.34600000000000003</v>
      </c>
      <c r="Q129" s="29">
        <v>0.26700000000000002</v>
      </c>
      <c r="R129" s="29">
        <v>0.46700000000000003</v>
      </c>
      <c r="S129" s="29">
        <v>0.193</v>
      </c>
      <c r="T129" s="29">
        <v>0.21600000000000003</v>
      </c>
      <c r="U129" s="29">
        <v>0.27100000000000002</v>
      </c>
      <c r="V129" s="29">
        <v>0.33299999999999996</v>
      </c>
      <c r="W129" s="117" t="s">
        <v>344</v>
      </c>
      <c r="X129" s="117" t="s">
        <v>344</v>
      </c>
    </row>
    <row r="130" spans="1:24" ht="33" customHeight="1" x14ac:dyDescent="0.2">
      <c r="A130" s="30" t="s">
        <v>209</v>
      </c>
      <c r="B130" s="82" t="s">
        <v>263</v>
      </c>
      <c r="C130" s="9" t="s">
        <v>280</v>
      </c>
      <c r="D130" s="29" t="s">
        <v>190</v>
      </c>
      <c r="E130" s="29" t="s">
        <v>190</v>
      </c>
      <c r="F130" s="29" t="s">
        <v>190</v>
      </c>
      <c r="G130" s="29" t="s">
        <v>190</v>
      </c>
      <c r="H130" s="29" t="s">
        <v>190</v>
      </c>
      <c r="I130" s="29" t="s">
        <v>190</v>
      </c>
      <c r="J130" s="29" t="s">
        <v>190</v>
      </c>
      <c r="K130" s="29" t="s">
        <v>190</v>
      </c>
      <c r="L130" s="29">
        <v>7.2999999999999995E-2</v>
      </c>
      <c r="M130" s="29">
        <v>7.2000000000000008E-2</v>
      </c>
      <c r="N130" s="29">
        <v>7.0999999999999994E-2</v>
      </c>
      <c r="O130" s="29">
        <v>7.8E-2</v>
      </c>
      <c r="P130" s="29">
        <v>8.6999999999999994E-2</v>
      </c>
      <c r="Q130" s="29">
        <v>8.1000000000000003E-2</v>
      </c>
      <c r="R130" s="29">
        <v>8.1000000000000003E-2</v>
      </c>
      <c r="S130" s="29">
        <v>8.4000000000000005E-2</v>
      </c>
      <c r="T130" s="29">
        <v>8.5000000000000006E-2</v>
      </c>
      <c r="U130" s="29">
        <v>8.8000000000000009E-2</v>
      </c>
      <c r="V130" s="29">
        <v>6.9000000000000006E-2</v>
      </c>
      <c r="W130" s="117" t="s">
        <v>344</v>
      </c>
      <c r="X130" s="117" t="s">
        <v>344</v>
      </c>
    </row>
    <row r="131" spans="1:24" x14ac:dyDescent="0.2">
      <c r="A131" s="30" t="s">
        <v>209</v>
      </c>
      <c r="B131" s="82" t="s">
        <v>263</v>
      </c>
      <c r="C131" s="92" t="s">
        <v>264</v>
      </c>
      <c r="D131" s="29" t="s">
        <v>190</v>
      </c>
      <c r="E131" s="29" t="s">
        <v>190</v>
      </c>
      <c r="F131" s="29" t="s">
        <v>190</v>
      </c>
      <c r="G131" s="29" t="s">
        <v>190</v>
      </c>
      <c r="H131" s="29" t="s">
        <v>190</v>
      </c>
      <c r="I131" s="29" t="s">
        <v>190</v>
      </c>
      <c r="J131" s="29" t="s">
        <v>190</v>
      </c>
      <c r="K131" s="29" t="s">
        <v>190</v>
      </c>
      <c r="L131" s="29">
        <v>0.09</v>
      </c>
      <c r="M131" s="29">
        <v>8.5999999999999993E-2</v>
      </c>
      <c r="N131" s="29">
        <v>0.09</v>
      </c>
      <c r="O131" s="29">
        <v>9.5000000000000001E-2</v>
      </c>
      <c r="P131" s="29">
        <v>0.1</v>
      </c>
      <c r="Q131" s="29">
        <v>9.6000000000000002E-2</v>
      </c>
      <c r="R131" s="29">
        <v>0.10199999999999999</v>
      </c>
      <c r="S131" s="29">
        <v>0.115</v>
      </c>
      <c r="T131" s="29">
        <v>0.09</v>
      </c>
      <c r="U131" s="29">
        <v>8.5000000000000006E-2</v>
      </c>
      <c r="V131" s="29">
        <v>0.105</v>
      </c>
      <c r="W131" s="117" t="s">
        <v>344</v>
      </c>
      <c r="X131" s="117" t="s">
        <v>344</v>
      </c>
    </row>
    <row r="132" spans="1:24" x14ac:dyDescent="0.2">
      <c r="A132" s="30" t="s">
        <v>209</v>
      </c>
      <c r="B132" s="82" t="s">
        <v>263</v>
      </c>
      <c r="C132" s="92" t="s">
        <v>265</v>
      </c>
      <c r="D132" s="29" t="s">
        <v>190</v>
      </c>
      <c r="E132" s="29" t="s">
        <v>190</v>
      </c>
      <c r="F132" s="29" t="s">
        <v>190</v>
      </c>
      <c r="G132" s="29" t="s">
        <v>190</v>
      </c>
      <c r="H132" s="29" t="s">
        <v>190</v>
      </c>
      <c r="I132" s="29" t="s">
        <v>190</v>
      </c>
      <c r="J132" s="29" t="s">
        <v>190</v>
      </c>
      <c r="K132" s="29" t="s">
        <v>190</v>
      </c>
      <c r="L132" s="29">
        <v>0.153</v>
      </c>
      <c r="M132" s="29">
        <v>0.13900000000000001</v>
      </c>
      <c r="N132" s="29">
        <v>0.153</v>
      </c>
      <c r="O132" s="29">
        <v>0.14099999999999999</v>
      </c>
      <c r="P132" s="29">
        <v>0.155</v>
      </c>
      <c r="Q132" s="29">
        <v>0.13900000000000001</v>
      </c>
      <c r="R132" s="29">
        <v>0.13900000000000001</v>
      </c>
      <c r="S132" s="29">
        <v>0.13600000000000001</v>
      </c>
      <c r="T132" s="29">
        <v>0.13100000000000001</v>
      </c>
      <c r="U132" s="29">
        <v>0.12300000000000001</v>
      </c>
      <c r="V132" s="29">
        <v>0.12300000000000001</v>
      </c>
      <c r="W132" s="117" t="s">
        <v>344</v>
      </c>
      <c r="X132" s="117" t="s">
        <v>344</v>
      </c>
    </row>
    <row r="133" spans="1:24" x14ac:dyDescent="0.2">
      <c r="A133" s="30" t="s">
        <v>209</v>
      </c>
      <c r="B133" s="82" t="s">
        <v>263</v>
      </c>
      <c r="C133" s="92" t="s">
        <v>266</v>
      </c>
      <c r="D133" s="29" t="s">
        <v>190</v>
      </c>
      <c r="E133" s="29" t="s">
        <v>190</v>
      </c>
      <c r="F133" s="29" t="s">
        <v>190</v>
      </c>
      <c r="G133" s="29" t="s">
        <v>190</v>
      </c>
      <c r="H133" s="29" t="s">
        <v>190</v>
      </c>
      <c r="I133" s="29" t="s">
        <v>190</v>
      </c>
      <c r="J133" s="29" t="s">
        <v>190</v>
      </c>
      <c r="K133" s="29" t="s">
        <v>190</v>
      </c>
      <c r="L133" s="29">
        <v>0.14099999999999999</v>
      </c>
      <c r="M133" s="29">
        <v>0.13100000000000001</v>
      </c>
      <c r="N133" s="29">
        <v>0.13699999999999998</v>
      </c>
      <c r="O133" s="29">
        <v>0.13500000000000001</v>
      </c>
      <c r="P133" s="29">
        <v>0.14000000000000001</v>
      </c>
      <c r="Q133" s="29">
        <v>0.152</v>
      </c>
      <c r="R133" s="29">
        <v>0.13900000000000001</v>
      </c>
      <c r="S133" s="29">
        <v>0.13600000000000001</v>
      </c>
      <c r="T133" s="29">
        <v>0.13300000000000001</v>
      </c>
      <c r="U133" s="29">
        <v>0.124</v>
      </c>
      <c r="V133" s="29">
        <v>0.13200000000000001</v>
      </c>
      <c r="W133" s="117" t="s">
        <v>344</v>
      </c>
      <c r="X133" s="117" t="s">
        <v>344</v>
      </c>
    </row>
    <row r="134" spans="1:24" x14ac:dyDescent="0.2">
      <c r="A134" s="30" t="s">
        <v>209</v>
      </c>
      <c r="B134" s="82" t="s">
        <v>263</v>
      </c>
      <c r="C134" s="92" t="s">
        <v>281</v>
      </c>
      <c r="D134" s="29" t="s">
        <v>190</v>
      </c>
      <c r="E134" s="29" t="s">
        <v>190</v>
      </c>
      <c r="F134" s="29" t="s">
        <v>190</v>
      </c>
      <c r="G134" s="29" t="s">
        <v>190</v>
      </c>
      <c r="H134" s="29" t="s">
        <v>190</v>
      </c>
      <c r="I134" s="29" t="s">
        <v>190</v>
      </c>
      <c r="J134" s="29" t="s">
        <v>190</v>
      </c>
      <c r="K134" s="29" t="s">
        <v>190</v>
      </c>
      <c r="L134" s="29">
        <v>0.13400000000000001</v>
      </c>
      <c r="M134" s="29">
        <v>0.13200000000000001</v>
      </c>
      <c r="N134" s="29">
        <v>0.124</v>
      </c>
      <c r="O134" s="29">
        <v>0.115</v>
      </c>
      <c r="P134" s="29">
        <v>0.13699999999999998</v>
      </c>
      <c r="Q134" s="29">
        <v>0.13300000000000001</v>
      </c>
      <c r="R134" s="29">
        <v>0.13600000000000001</v>
      </c>
      <c r="S134" s="29">
        <v>0.13600000000000001</v>
      </c>
      <c r="T134" s="29">
        <v>0.124</v>
      </c>
      <c r="U134" s="29">
        <v>0.12300000000000001</v>
      </c>
      <c r="V134" s="29">
        <v>0.11</v>
      </c>
      <c r="W134" s="117" t="s">
        <v>344</v>
      </c>
      <c r="X134" s="117" t="s">
        <v>344</v>
      </c>
    </row>
    <row r="135" spans="1:24" ht="31.5" customHeight="1" x14ac:dyDescent="0.2">
      <c r="A135" s="30" t="s">
        <v>207</v>
      </c>
      <c r="B135" s="17" t="s">
        <v>178</v>
      </c>
      <c r="C135" s="17" t="s">
        <v>48</v>
      </c>
      <c r="D135" s="29">
        <v>1E-3</v>
      </c>
      <c r="E135" s="29">
        <v>1E-3</v>
      </c>
      <c r="F135" s="29">
        <v>2E-3</v>
      </c>
      <c r="G135" s="29">
        <v>2E-3</v>
      </c>
      <c r="H135" s="29">
        <v>2E-3</v>
      </c>
      <c r="I135" s="29">
        <v>2E-3</v>
      </c>
      <c r="J135" s="29">
        <v>2E-3</v>
      </c>
      <c r="K135" s="29">
        <v>2E-3</v>
      </c>
      <c r="L135" s="29">
        <v>2E-3</v>
      </c>
      <c r="M135" s="29">
        <v>2E-3</v>
      </c>
      <c r="N135" s="29">
        <v>2E-3</v>
      </c>
      <c r="O135" s="29">
        <v>2E-3</v>
      </c>
      <c r="P135" s="29">
        <v>2E-3</v>
      </c>
      <c r="Q135" s="29">
        <v>2E-3</v>
      </c>
      <c r="R135" s="29">
        <v>2E-3</v>
      </c>
      <c r="S135" s="29">
        <v>2E-3</v>
      </c>
      <c r="T135" s="29">
        <v>2E-3</v>
      </c>
      <c r="U135" s="29">
        <v>2E-3</v>
      </c>
      <c r="V135" s="29">
        <v>2E-3</v>
      </c>
      <c r="W135" s="65">
        <v>3.0000000000000001E-3</v>
      </c>
      <c r="X135" s="65">
        <v>3.0000000000000001E-3</v>
      </c>
    </row>
    <row r="136" spans="1:24" x14ac:dyDescent="0.2">
      <c r="A136" s="30" t="s">
        <v>207</v>
      </c>
      <c r="B136" s="16" t="s">
        <v>178</v>
      </c>
      <c r="C136" s="17" t="s">
        <v>1</v>
      </c>
      <c r="D136" s="29">
        <v>4.0000000000000001E-3</v>
      </c>
      <c r="E136" s="29">
        <v>4.0000000000000001E-3</v>
      </c>
      <c r="F136" s="29">
        <v>4.0000000000000001E-3</v>
      </c>
      <c r="G136" s="29">
        <v>4.0000000000000001E-3</v>
      </c>
      <c r="H136" s="29">
        <v>4.0000000000000001E-3</v>
      </c>
      <c r="I136" s="29">
        <v>4.0000000000000001E-3</v>
      </c>
      <c r="J136" s="29">
        <v>4.0000000000000001E-3</v>
      </c>
      <c r="K136" s="29">
        <v>5.0000000000000001E-3</v>
      </c>
      <c r="L136" s="29">
        <v>5.0000000000000001E-3</v>
      </c>
      <c r="M136" s="29">
        <v>5.0000000000000001E-3</v>
      </c>
      <c r="N136" s="29">
        <v>5.0000000000000001E-3</v>
      </c>
      <c r="O136" s="29">
        <v>5.0000000000000001E-3</v>
      </c>
      <c r="P136" s="29">
        <v>5.0000000000000001E-3</v>
      </c>
      <c r="Q136" s="29">
        <v>5.0000000000000001E-3</v>
      </c>
      <c r="R136" s="29">
        <v>5.0000000000000001E-3</v>
      </c>
      <c r="S136" s="29">
        <v>5.0000000000000001E-3</v>
      </c>
      <c r="T136" s="29">
        <v>6.0000000000000001E-3</v>
      </c>
      <c r="U136" s="29">
        <v>6.0000000000000001E-3</v>
      </c>
      <c r="V136" s="29">
        <v>6.0000000000000001E-3</v>
      </c>
      <c r="W136" s="65">
        <v>8.0000000000000002E-3</v>
      </c>
      <c r="X136" s="65">
        <v>6.9999999999999993E-3</v>
      </c>
    </row>
    <row r="137" spans="1:24" ht="31.5" customHeight="1" x14ac:dyDescent="0.2">
      <c r="A137" s="30" t="s">
        <v>207</v>
      </c>
      <c r="B137" s="17" t="s">
        <v>179</v>
      </c>
      <c r="C137" s="17" t="s">
        <v>35</v>
      </c>
      <c r="D137" s="29">
        <v>1.6E-2</v>
      </c>
      <c r="E137" s="29">
        <v>1.4999999999999999E-2</v>
      </c>
      <c r="F137" s="29">
        <v>1.4999999999999999E-2</v>
      </c>
      <c r="G137" s="29">
        <v>1.3999999999999999E-2</v>
      </c>
      <c r="H137" s="29">
        <v>1.4999999999999999E-2</v>
      </c>
      <c r="I137" s="29">
        <v>1.4999999999999999E-2</v>
      </c>
      <c r="J137" s="29">
        <v>1.6E-2</v>
      </c>
      <c r="K137" s="29">
        <v>1.7000000000000001E-2</v>
      </c>
      <c r="L137" s="29">
        <v>1.7000000000000001E-2</v>
      </c>
      <c r="M137" s="29">
        <v>1.7000000000000001E-2</v>
      </c>
      <c r="N137" s="29">
        <v>1.7000000000000001E-2</v>
      </c>
      <c r="O137" s="29">
        <v>1.7000000000000001E-2</v>
      </c>
      <c r="P137" s="29">
        <v>0.02</v>
      </c>
      <c r="Q137" s="29">
        <v>2.1000000000000001E-2</v>
      </c>
      <c r="R137" s="29">
        <v>2.1000000000000001E-2</v>
      </c>
      <c r="S137" s="29">
        <v>0.02</v>
      </c>
      <c r="T137" s="29">
        <v>2.2000000000000002E-2</v>
      </c>
      <c r="U137" s="29">
        <v>2.3E-2</v>
      </c>
      <c r="V137" s="29">
        <v>2.5000000000000001E-2</v>
      </c>
      <c r="W137" s="117" t="s">
        <v>344</v>
      </c>
      <c r="X137" s="117" t="s">
        <v>344</v>
      </c>
    </row>
    <row r="138" spans="1:24" x14ac:dyDescent="0.2">
      <c r="A138" s="30" t="s">
        <v>207</v>
      </c>
      <c r="B138" s="16" t="s">
        <v>179</v>
      </c>
      <c r="C138" s="17" t="s">
        <v>36</v>
      </c>
      <c r="D138" s="29">
        <v>6.0000000000000001E-3</v>
      </c>
      <c r="E138" s="29">
        <v>6.0000000000000001E-3</v>
      </c>
      <c r="F138" s="29">
        <v>6.9999999999999993E-3</v>
      </c>
      <c r="G138" s="29">
        <v>6.9999999999999993E-3</v>
      </c>
      <c r="H138" s="29">
        <v>6.9999999999999993E-3</v>
      </c>
      <c r="I138" s="29">
        <v>6.9999999999999993E-3</v>
      </c>
      <c r="J138" s="29">
        <v>6.9999999999999993E-3</v>
      </c>
      <c r="K138" s="29">
        <v>8.0000000000000002E-3</v>
      </c>
      <c r="L138" s="29">
        <v>8.0000000000000002E-3</v>
      </c>
      <c r="M138" s="29">
        <v>8.0000000000000002E-3</v>
      </c>
      <c r="N138" s="29">
        <v>9.0000000000000011E-3</v>
      </c>
      <c r="O138" s="29">
        <v>9.0000000000000011E-3</v>
      </c>
      <c r="P138" s="29">
        <v>9.0000000000000011E-3</v>
      </c>
      <c r="Q138" s="29">
        <v>9.0000000000000011E-3</v>
      </c>
      <c r="R138" s="29">
        <v>9.0000000000000011E-3</v>
      </c>
      <c r="S138" s="29">
        <v>9.0000000000000011E-3</v>
      </c>
      <c r="T138" s="29">
        <v>1.1000000000000001E-2</v>
      </c>
      <c r="U138" s="29">
        <v>1.1000000000000001E-2</v>
      </c>
      <c r="V138" s="29">
        <v>1.1000000000000001E-2</v>
      </c>
      <c r="W138" s="117" t="s">
        <v>344</v>
      </c>
      <c r="X138" s="117" t="s">
        <v>344</v>
      </c>
    </row>
    <row r="139" spans="1:24" x14ac:dyDescent="0.2">
      <c r="A139" s="30" t="s">
        <v>207</v>
      </c>
      <c r="B139" s="16" t="s">
        <v>179</v>
      </c>
      <c r="C139" s="17" t="s">
        <v>37</v>
      </c>
      <c r="D139" s="29">
        <v>8.0000000000000002E-3</v>
      </c>
      <c r="E139" s="29">
        <v>8.0000000000000002E-3</v>
      </c>
      <c r="F139" s="29">
        <v>9.0000000000000011E-3</v>
      </c>
      <c r="G139" s="29">
        <v>9.0000000000000011E-3</v>
      </c>
      <c r="H139" s="29">
        <v>9.0000000000000011E-3</v>
      </c>
      <c r="I139" s="29">
        <v>9.0000000000000011E-3</v>
      </c>
      <c r="J139" s="29">
        <v>9.0000000000000011E-3</v>
      </c>
      <c r="K139" s="29">
        <v>0.01</v>
      </c>
      <c r="L139" s="29">
        <v>0.01</v>
      </c>
      <c r="M139" s="29">
        <v>0.01</v>
      </c>
      <c r="N139" s="29">
        <v>0.01</v>
      </c>
      <c r="O139" s="29">
        <v>1.1000000000000001E-2</v>
      </c>
      <c r="P139" s="29">
        <v>1.2E-2</v>
      </c>
      <c r="Q139" s="29">
        <v>1.1000000000000001E-2</v>
      </c>
      <c r="R139" s="29">
        <v>1.1000000000000001E-2</v>
      </c>
      <c r="S139" s="29">
        <v>1.2E-2</v>
      </c>
      <c r="T139" s="29">
        <v>1.3000000000000001E-2</v>
      </c>
      <c r="U139" s="29">
        <v>1.3999999999999999E-2</v>
      </c>
      <c r="V139" s="29">
        <v>1.3999999999999999E-2</v>
      </c>
      <c r="W139" s="117" t="s">
        <v>344</v>
      </c>
      <c r="X139" s="117" t="s">
        <v>344</v>
      </c>
    </row>
    <row r="140" spans="1:24" x14ac:dyDescent="0.2">
      <c r="A140" s="30" t="s">
        <v>207</v>
      </c>
      <c r="B140" s="16" t="s">
        <v>179</v>
      </c>
      <c r="C140" s="17" t="s">
        <v>236</v>
      </c>
      <c r="D140" s="29">
        <v>1.3999999999999999E-2</v>
      </c>
      <c r="E140" s="29">
        <v>1.3000000000000001E-2</v>
      </c>
      <c r="F140" s="29">
        <v>1.3000000000000001E-2</v>
      </c>
      <c r="G140" s="29">
        <v>1.3999999999999999E-2</v>
      </c>
      <c r="H140" s="29">
        <v>1.3999999999999999E-2</v>
      </c>
      <c r="I140" s="29">
        <v>1.4999999999999999E-2</v>
      </c>
      <c r="J140" s="29">
        <v>1.4999999999999999E-2</v>
      </c>
      <c r="K140" s="29">
        <v>1.6E-2</v>
      </c>
      <c r="L140" s="29">
        <v>1.7000000000000001E-2</v>
      </c>
      <c r="M140" s="29">
        <v>1.6E-2</v>
      </c>
      <c r="N140" s="29">
        <v>1.6E-2</v>
      </c>
      <c r="O140" s="29">
        <v>1.4999999999999999E-2</v>
      </c>
      <c r="P140" s="29">
        <v>1.6E-2</v>
      </c>
      <c r="Q140" s="29">
        <v>1.6E-2</v>
      </c>
      <c r="R140" s="29">
        <v>1.4999999999999999E-2</v>
      </c>
      <c r="S140" s="29">
        <v>1.6E-2</v>
      </c>
      <c r="T140" s="29">
        <v>2.1000000000000001E-2</v>
      </c>
      <c r="U140" s="29">
        <v>2.3E-2</v>
      </c>
      <c r="V140" s="29">
        <v>1.9E-2</v>
      </c>
      <c r="W140" s="117" t="s">
        <v>344</v>
      </c>
      <c r="X140" s="117" t="s">
        <v>344</v>
      </c>
    </row>
    <row r="141" spans="1:24" x14ac:dyDescent="0.2">
      <c r="A141" s="30" t="s">
        <v>207</v>
      </c>
      <c r="B141" s="16" t="s">
        <v>179</v>
      </c>
      <c r="C141" s="17" t="s">
        <v>38</v>
      </c>
      <c r="D141" s="29">
        <v>0.01</v>
      </c>
      <c r="E141" s="29">
        <v>0.01</v>
      </c>
      <c r="F141" s="29">
        <v>0.01</v>
      </c>
      <c r="G141" s="29">
        <v>0.01</v>
      </c>
      <c r="H141" s="29">
        <v>0.01</v>
      </c>
      <c r="I141" s="29">
        <v>1.1000000000000001E-2</v>
      </c>
      <c r="J141" s="29">
        <v>1.1000000000000001E-2</v>
      </c>
      <c r="K141" s="29">
        <v>1.2E-2</v>
      </c>
      <c r="L141" s="29">
        <v>1.2E-2</v>
      </c>
      <c r="M141" s="29">
        <v>1.1000000000000001E-2</v>
      </c>
      <c r="N141" s="29">
        <v>1.3000000000000001E-2</v>
      </c>
      <c r="O141" s="29">
        <v>1.3000000000000001E-2</v>
      </c>
      <c r="P141" s="29">
        <v>1.3999999999999999E-2</v>
      </c>
      <c r="Q141" s="29">
        <v>1.3000000000000001E-2</v>
      </c>
      <c r="R141" s="29">
        <v>1.3000000000000001E-2</v>
      </c>
      <c r="S141" s="29">
        <v>1.3999999999999999E-2</v>
      </c>
      <c r="T141" s="29">
        <v>1.4999999999999999E-2</v>
      </c>
      <c r="U141" s="29">
        <v>1.6E-2</v>
      </c>
      <c r="V141" s="29">
        <v>1.7000000000000001E-2</v>
      </c>
      <c r="W141" s="117" t="s">
        <v>344</v>
      </c>
      <c r="X141" s="117" t="s">
        <v>344</v>
      </c>
    </row>
    <row r="142" spans="1:24" x14ac:dyDescent="0.2">
      <c r="A142" s="30" t="s">
        <v>207</v>
      </c>
      <c r="B142" s="16" t="s">
        <v>179</v>
      </c>
      <c r="C142" s="17" t="s">
        <v>121</v>
      </c>
      <c r="D142" s="29">
        <v>1.2E-2</v>
      </c>
      <c r="E142" s="29">
        <v>1.2E-2</v>
      </c>
      <c r="F142" s="29">
        <v>1.2E-2</v>
      </c>
      <c r="G142" s="29">
        <v>1.2E-2</v>
      </c>
      <c r="H142" s="29">
        <v>1.2E-2</v>
      </c>
      <c r="I142" s="29">
        <v>1.2E-2</v>
      </c>
      <c r="J142" s="29">
        <v>1.3000000000000001E-2</v>
      </c>
      <c r="K142" s="29">
        <v>1.3999999999999999E-2</v>
      </c>
      <c r="L142" s="29">
        <v>1.3999999999999999E-2</v>
      </c>
      <c r="M142" s="29">
        <v>1.3999999999999999E-2</v>
      </c>
      <c r="N142" s="29">
        <v>1.3999999999999999E-2</v>
      </c>
      <c r="O142" s="29">
        <v>1.3999999999999999E-2</v>
      </c>
      <c r="P142" s="29">
        <v>1.6E-2</v>
      </c>
      <c r="Q142" s="29">
        <v>1.3999999999999999E-2</v>
      </c>
      <c r="R142" s="29">
        <v>1.6E-2</v>
      </c>
      <c r="S142" s="29">
        <v>1.6E-2</v>
      </c>
      <c r="T142" s="29">
        <v>1.9E-2</v>
      </c>
      <c r="U142" s="29">
        <v>2.2000000000000002E-2</v>
      </c>
      <c r="V142" s="29">
        <v>2.3E-2</v>
      </c>
      <c r="W142" s="117" t="s">
        <v>344</v>
      </c>
      <c r="X142" s="117" t="s">
        <v>344</v>
      </c>
    </row>
    <row r="143" spans="1:24" x14ac:dyDescent="0.2">
      <c r="A143" s="30" t="s">
        <v>207</v>
      </c>
      <c r="B143" s="16" t="s">
        <v>179</v>
      </c>
      <c r="C143" s="17" t="s">
        <v>39</v>
      </c>
      <c r="D143" s="29">
        <v>1.1000000000000001E-2</v>
      </c>
      <c r="E143" s="29">
        <v>1.1000000000000001E-2</v>
      </c>
      <c r="F143" s="29">
        <v>1.2E-2</v>
      </c>
      <c r="G143" s="29">
        <v>1.2E-2</v>
      </c>
      <c r="H143" s="29">
        <v>1.2E-2</v>
      </c>
      <c r="I143" s="29">
        <v>1.3000000000000001E-2</v>
      </c>
      <c r="J143" s="29">
        <v>1.3000000000000001E-2</v>
      </c>
      <c r="K143" s="29">
        <v>1.4999999999999999E-2</v>
      </c>
      <c r="L143" s="29">
        <v>1.4999999999999999E-2</v>
      </c>
      <c r="M143" s="29">
        <v>1.4999999999999999E-2</v>
      </c>
      <c r="N143" s="29">
        <v>1.3999999999999999E-2</v>
      </c>
      <c r="O143" s="29">
        <v>1.4999999999999999E-2</v>
      </c>
      <c r="P143" s="29">
        <v>1.7000000000000001E-2</v>
      </c>
      <c r="Q143" s="29">
        <v>1.6E-2</v>
      </c>
      <c r="R143" s="29">
        <v>1.7000000000000001E-2</v>
      </c>
      <c r="S143" s="29">
        <v>1.8000000000000002E-2</v>
      </c>
      <c r="T143" s="29">
        <v>1.9E-2</v>
      </c>
      <c r="U143" s="29">
        <v>2.1000000000000001E-2</v>
      </c>
      <c r="V143" s="29">
        <v>0.02</v>
      </c>
      <c r="W143" s="117" t="s">
        <v>344</v>
      </c>
      <c r="X143" s="117" t="s">
        <v>344</v>
      </c>
    </row>
    <row r="144" spans="1:24" x14ac:dyDescent="0.2">
      <c r="A144" s="30" t="s">
        <v>207</v>
      </c>
      <c r="B144" s="16" t="s">
        <v>179</v>
      </c>
      <c r="C144" s="17" t="s">
        <v>40</v>
      </c>
      <c r="D144" s="29">
        <v>1.6E-2</v>
      </c>
      <c r="E144" s="29">
        <v>1.6E-2</v>
      </c>
      <c r="F144" s="29">
        <v>1.7000000000000001E-2</v>
      </c>
      <c r="G144" s="29">
        <v>1.8000000000000002E-2</v>
      </c>
      <c r="H144" s="29">
        <v>1.9E-2</v>
      </c>
      <c r="I144" s="29">
        <v>1.9E-2</v>
      </c>
      <c r="J144" s="29">
        <v>0.02</v>
      </c>
      <c r="K144" s="29">
        <v>2.1000000000000001E-2</v>
      </c>
      <c r="L144" s="29">
        <v>2.1000000000000001E-2</v>
      </c>
      <c r="M144" s="29">
        <v>0.02</v>
      </c>
      <c r="N144" s="29">
        <v>0.02</v>
      </c>
      <c r="O144" s="29">
        <v>0.02</v>
      </c>
      <c r="P144" s="29">
        <v>2.2000000000000002E-2</v>
      </c>
      <c r="Q144" s="29">
        <v>2.3E-2</v>
      </c>
      <c r="R144" s="29">
        <v>2.5000000000000001E-2</v>
      </c>
      <c r="S144" s="29">
        <v>2.5000000000000001E-2</v>
      </c>
      <c r="T144" s="29">
        <v>3.1E-2</v>
      </c>
      <c r="U144" s="29">
        <v>3.1E-2</v>
      </c>
      <c r="V144" s="29">
        <v>3.1E-2</v>
      </c>
      <c r="W144" s="117" t="s">
        <v>344</v>
      </c>
      <c r="X144" s="117" t="s">
        <v>344</v>
      </c>
    </row>
    <row r="145" spans="1:24" ht="31.5" customHeight="1" x14ac:dyDescent="0.2">
      <c r="A145" s="30" t="s">
        <v>207</v>
      </c>
      <c r="B145" s="17" t="s">
        <v>180</v>
      </c>
      <c r="C145" s="17" t="s">
        <v>41</v>
      </c>
      <c r="D145" s="29">
        <v>1.9E-2</v>
      </c>
      <c r="E145" s="29">
        <v>1.8000000000000002E-2</v>
      </c>
      <c r="F145" s="29">
        <v>1.9E-2</v>
      </c>
      <c r="G145" s="29">
        <v>1.9E-2</v>
      </c>
      <c r="H145" s="29">
        <v>1.9E-2</v>
      </c>
      <c r="I145" s="29">
        <v>1.9E-2</v>
      </c>
      <c r="J145" s="29">
        <v>0.02</v>
      </c>
      <c r="K145" s="29">
        <v>2.1000000000000001E-2</v>
      </c>
      <c r="L145" s="29">
        <v>2.2000000000000002E-2</v>
      </c>
      <c r="M145" s="29">
        <v>2.2000000000000002E-2</v>
      </c>
      <c r="N145" s="29">
        <v>2.1000000000000001E-2</v>
      </c>
      <c r="O145" s="29">
        <v>2.2000000000000002E-2</v>
      </c>
      <c r="P145" s="29">
        <v>2.2000000000000002E-2</v>
      </c>
      <c r="Q145" s="29">
        <v>2.1000000000000001E-2</v>
      </c>
      <c r="R145" s="29">
        <v>2.3E-2</v>
      </c>
      <c r="S145" s="29">
        <v>2.4E-2</v>
      </c>
      <c r="T145" s="29">
        <v>2.7000000000000003E-2</v>
      </c>
      <c r="U145" s="29">
        <v>0.03</v>
      </c>
      <c r="V145" s="29">
        <v>3.3000000000000002E-2</v>
      </c>
      <c r="W145" s="117" t="s">
        <v>344</v>
      </c>
      <c r="X145" s="117" t="s">
        <v>344</v>
      </c>
    </row>
    <row r="146" spans="1:24" x14ac:dyDescent="0.2">
      <c r="A146" s="30" t="s">
        <v>207</v>
      </c>
      <c r="B146" s="16" t="s">
        <v>180</v>
      </c>
      <c r="C146" s="17" t="s">
        <v>42</v>
      </c>
      <c r="D146" s="29">
        <v>6.9999999999999993E-3</v>
      </c>
      <c r="E146" s="29">
        <v>6.9999999999999993E-3</v>
      </c>
      <c r="F146" s="29">
        <v>6.9999999999999993E-3</v>
      </c>
      <c r="G146" s="29">
        <v>6.9999999999999993E-3</v>
      </c>
      <c r="H146" s="29">
        <v>6.9999999999999993E-3</v>
      </c>
      <c r="I146" s="29">
        <v>6.9999999999999993E-3</v>
      </c>
      <c r="J146" s="29">
        <v>8.0000000000000002E-3</v>
      </c>
      <c r="K146" s="29">
        <v>8.0000000000000002E-3</v>
      </c>
      <c r="L146" s="29">
        <v>8.0000000000000002E-3</v>
      </c>
      <c r="M146" s="29">
        <v>8.0000000000000002E-3</v>
      </c>
      <c r="N146" s="29">
        <v>8.0000000000000002E-3</v>
      </c>
      <c r="O146" s="29">
        <v>8.0000000000000002E-3</v>
      </c>
      <c r="P146" s="29">
        <v>9.0000000000000011E-3</v>
      </c>
      <c r="Q146" s="29">
        <v>9.0000000000000011E-3</v>
      </c>
      <c r="R146" s="29">
        <v>9.0000000000000011E-3</v>
      </c>
      <c r="S146" s="29">
        <v>0.01</v>
      </c>
      <c r="T146" s="29">
        <v>1.1000000000000001E-2</v>
      </c>
      <c r="U146" s="29">
        <v>1.2E-2</v>
      </c>
      <c r="V146" s="29">
        <v>1.2E-2</v>
      </c>
      <c r="W146" s="117" t="s">
        <v>344</v>
      </c>
      <c r="X146" s="117" t="s">
        <v>344</v>
      </c>
    </row>
    <row r="147" spans="1:24" x14ac:dyDescent="0.2">
      <c r="A147" s="30" t="s">
        <v>207</v>
      </c>
      <c r="B147" s="16" t="s">
        <v>180</v>
      </c>
      <c r="C147" s="17" t="s">
        <v>43</v>
      </c>
      <c r="D147" s="29">
        <v>5.0000000000000001E-3</v>
      </c>
      <c r="E147" s="29">
        <v>5.0000000000000001E-3</v>
      </c>
      <c r="F147" s="29">
        <v>5.0000000000000001E-3</v>
      </c>
      <c r="G147" s="29">
        <v>5.0000000000000001E-3</v>
      </c>
      <c r="H147" s="29">
        <v>6.0000000000000001E-3</v>
      </c>
      <c r="I147" s="29">
        <v>6.0000000000000001E-3</v>
      </c>
      <c r="J147" s="29">
        <v>6.0000000000000001E-3</v>
      </c>
      <c r="K147" s="29">
        <v>6.9999999999999993E-3</v>
      </c>
      <c r="L147" s="29">
        <v>6.9999999999999993E-3</v>
      </c>
      <c r="M147" s="29">
        <v>6.0000000000000001E-3</v>
      </c>
      <c r="N147" s="29">
        <v>6.9999999999999993E-3</v>
      </c>
      <c r="O147" s="29">
        <v>6.9999999999999993E-3</v>
      </c>
      <c r="P147" s="29">
        <v>6.9999999999999993E-3</v>
      </c>
      <c r="Q147" s="29">
        <v>6.9999999999999993E-3</v>
      </c>
      <c r="R147" s="29">
        <v>6.9999999999999993E-3</v>
      </c>
      <c r="S147" s="29">
        <v>6.9999999999999993E-3</v>
      </c>
      <c r="T147" s="29">
        <v>9.0000000000000011E-3</v>
      </c>
      <c r="U147" s="29">
        <v>9.0000000000000011E-3</v>
      </c>
      <c r="V147" s="29">
        <v>9.0000000000000011E-3</v>
      </c>
      <c r="W147" s="117" t="s">
        <v>344</v>
      </c>
      <c r="X147" s="117" t="s">
        <v>344</v>
      </c>
    </row>
    <row r="148" spans="1:24" x14ac:dyDescent="0.2">
      <c r="A148" s="30" t="s">
        <v>207</v>
      </c>
      <c r="B148" s="16" t="s">
        <v>180</v>
      </c>
      <c r="C148" s="17" t="s">
        <v>44</v>
      </c>
      <c r="D148" s="29">
        <v>0.01</v>
      </c>
      <c r="E148" s="29">
        <v>9.0000000000000011E-3</v>
      </c>
      <c r="F148" s="29">
        <v>0.01</v>
      </c>
      <c r="G148" s="29">
        <v>0.01</v>
      </c>
      <c r="H148" s="29">
        <v>0.01</v>
      </c>
      <c r="I148" s="29">
        <v>0.01</v>
      </c>
      <c r="J148" s="29">
        <v>0.01</v>
      </c>
      <c r="K148" s="29">
        <v>1.1000000000000001E-2</v>
      </c>
      <c r="L148" s="29">
        <v>1.2E-2</v>
      </c>
      <c r="M148" s="29">
        <v>1.2E-2</v>
      </c>
      <c r="N148" s="29">
        <v>1.2E-2</v>
      </c>
      <c r="O148" s="29">
        <v>1.2E-2</v>
      </c>
      <c r="P148" s="29">
        <v>1.3999999999999999E-2</v>
      </c>
      <c r="Q148" s="29">
        <v>1.3000000000000001E-2</v>
      </c>
      <c r="R148" s="29">
        <v>1.2E-2</v>
      </c>
      <c r="S148" s="29">
        <v>1.3000000000000001E-2</v>
      </c>
      <c r="T148" s="29">
        <v>1.4999999999999999E-2</v>
      </c>
      <c r="U148" s="29">
        <v>1.4999999999999999E-2</v>
      </c>
      <c r="V148" s="29">
        <v>1.4999999999999999E-2</v>
      </c>
      <c r="W148" s="117" t="s">
        <v>344</v>
      </c>
      <c r="X148" s="117" t="s">
        <v>344</v>
      </c>
    </row>
    <row r="149" spans="1:24" ht="31.5" customHeight="1" x14ac:dyDescent="0.2">
      <c r="A149" s="30" t="s">
        <v>207</v>
      </c>
      <c r="B149" s="17" t="s">
        <v>181</v>
      </c>
      <c r="C149" s="17" t="s">
        <v>45</v>
      </c>
      <c r="D149" s="29">
        <f>D142</f>
        <v>1.2E-2</v>
      </c>
      <c r="E149" s="29">
        <f t="shared" ref="E149:U149" si="4">E142</f>
        <v>1.2E-2</v>
      </c>
      <c r="F149" s="29">
        <f t="shared" si="4"/>
        <v>1.2E-2</v>
      </c>
      <c r="G149" s="29">
        <f t="shared" si="4"/>
        <v>1.2E-2</v>
      </c>
      <c r="H149" s="29">
        <f t="shared" si="4"/>
        <v>1.2E-2</v>
      </c>
      <c r="I149" s="29">
        <f t="shared" si="4"/>
        <v>1.2E-2</v>
      </c>
      <c r="J149" s="29">
        <f t="shared" si="4"/>
        <v>1.3000000000000001E-2</v>
      </c>
      <c r="K149" s="29">
        <f t="shared" si="4"/>
        <v>1.3999999999999999E-2</v>
      </c>
      <c r="L149" s="29">
        <f t="shared" si="4"/>
        <v>1.3999999999999999E-2</v>
      </c>
      <c r="M149" s="29">
        <f t="shared" si="4"/>
        <v>1.3999999999999999E-2</v>
      </c>
      <c r="N149" s="29">
        <f t="shared" si="4"/>
        <v>1.3999999999999999E-2</v>
      </c>
      <c r="O149" s="29">
        <f t="shared" si="4"/>
        <v>1.3999999999999999E-2</v>
      </c>
      <c r="P149" s="29">
        <f t="shared" si="4"/>
        <v>1.6E-2</v>
      </c>
      <c r="Q149" s="29">
        <f t="shared" si="4"/>
        <v>1.3999999999999999E-2</v>
      </c>
      <c r="R149" s="29">
        <f t="shared" si="4"/>
        <v>1.6E-2</v>
      </c>
      <c r="S149" s="29">
        <f t="shared" si="4"/>
        <v>1.6E-2</v>
      </c>
      <c r="T149" s="29">
        <f t="shared" si="4"/>
        <v>1.9E-2</v>
      </c>
      <c r="U149" s="29">
        <f t="shared" si="4"/>
        <v>2.2000000000000002E-2</v>
      </c>
      <c r="V149" s="29">
        <f t="shared" ref="V149" si="5">V142</f>
        <v>2.3E-2</v>
      </c>
      <c r="W149" s="117" t="s">
        <v>344</v>
      </c>
      <c r="X149" s="117" t="s">
        <v>344</v>
      </c>
    </row>
    <row r="150" spans="1:24" x14ac:dyDescent="0.2">
      <c r="A150" s="30" t="s">
        <v>207</v>
      </c>
      <c r="B150" s="16" t="s">
        <v>181</v>
      </c>
      <c r="C150" s="17" t="s">
        <v>120</v>
      </c>
      <c r="D150" s="29">
        <f>D144</f>
        <v>1.6E-2</v>
      </c>
      <c r="E150" s="29">
        <f t="shared" ref="E150:U150" si="6">E144</f>
        <v>1.6E-2</v>
      </c>
      <c r="F150" s="29">
        <f t="shared" si="6"/>
        <v>1.7000000000000001E-2</v>
      </c>
      <c r="G150" s="29">
        <f t="shared" si="6"/>
        <v>1.8000000000000002E-2</v>
      </c>
      <c r="H150" s="29">
        <f t="shared" si="6"/>
        <v>1.9E-2</v>
      </c>
      <c r="I150" s="29">
        <f t="shared" si="6"/>
        <v>1.9E-2</v>
      </c>
      <c r="J150" s="29">
        <f t="shared" si="6"/>
        <v>0.02</v>
      </c>
      <c r="K150" s="29">
        <f t="shared" si="6"/>
        <v>2.1000000000000001E-2</v>
      </c>
      <c r="L150" s="29">
        <f t="shared" si="6"/>
        <v>2.1000000000000001E-2</v>
      </c>
      <c r="M150" s="29">
        <f t="shared" si="6"/>
        <v>0.02</v>
      </c>
      <c r="N150" s="29">
        <f t="shared" si="6"/>
        <v>0.02</v>
      </c>
      <c r="O150" s="29">
        <f t="shared" si="6"/>
        <v>0.02</v>
      </c>
      <c r="P150" s="29">
        <f t="shared" si="6"/>
        <v>2.2000000000000002E-2</v>
      </c>
      <c r="Q150" s="29">
        <f t="shared" si="6"/>
        <v>2.3E-2</v>
      </c>
      <c r="R150" s="29">
        <f t="shared" si="6"/>
        <v>2.5000000000000001E-2</v>
      </c>
      <c r="S150" s="29">
        <f t="shared" si="6"/>
        <v>2.5000000000000001E-2</v>
      </c>
      <c r="T150" s="29">
        <f t="shared" si="6"/>
        <v>3.1E-2</v>
      </c>
      <c r="U150" s="29">
        <f t="shared" si="6"/>
        <v>3.1E-2</v>
      </c>
      <c r="V150" s="29">
        <f t="shared" ref="V150" si="7">V144</f>
        <v>3.1E-2</v>
      </c>
      <c r="W150" s="117" t="s">
        <v>344</v>
      </c>
      <c r="X150" s="117" t="s">
        <v>344</v>
      </c>
    </row>
    <row r="151" spans="1:24" x14ac:dyDescent="0.2">
      <c r="A151" s="30" t="s">
        <v>207</v>
      </c>
      <c r="B151" s="16" t="s">
        <v>181</v>
      </c>
      <c r="C151" s="17" t="s">
        <v>46</v>
      </c>
      <c r="D151" s="29">
        <v>4.0000000000000001E-3</v>
      </c>
      <c r="E151" s="29">
        <v>4.0000000000000001E-3</v>
      </c>
      <c r="F151" s="29">
        <v>4.0000000000000001E-3</v>
      </c>
      <c r="G151" s="29">
        <v>4.0000000000000001E-3</v>
      </c>
      <c r="H151" s="29">
        <v>4.0000000000000001E-3</v>
      </c>
      <c r="I151" s="29">
        <v>4.0000000000000001E-3</v>
      </c>
      <c r="J151" s="29">
        <v>5.0000000000000001E-3</v>
      </c>
      <c r="K151" s="29">
        <v>5.0000000000000001E-3</v>
      </c>
      <c r="L151" s="29">
        <v>5.0000000000000001E-3</v>
      </c>
      <c r="M151" s="29">
        <v>5.0000000000000001E-3</v>
      </c>
      <c r="N151" s="29">
        <v>5.0000000000000001E-3</v>
      </c>
      <c r="O151" s="29">
        <v>5.0000000000000001E-3</v>
      </c>
      <c r="P151" s="29">
        <v>6.0000000000000001E-3</v>
      </c>
      <c r="Q151" s="29">
        <v>6.0000000000000001E-3</v>
      </c>
      <c r="R151" s="29">
        <v>5.0000000000000001E-3</v>
      </c>
      <c r="S151" s="29">
        <v>6.0000000000000001E-3</v>
      </c>
      <c r="T151" s="29">
        <v>6.0000000000000001E-3</v>
      </c>
      <c r="U151" s="29">
        <v>6.9999999999999993E-3</v>
      </c>
      <c r="V151" s="29">
        <v>6.9999999999999993E-3</v>
      </c>
      <c r="W151" s="117" t="s">
        <v>344</v>
      </c>
      <c r="X151" s="117" t="s">
        <v>344</v>
      </c>
    </row>
    <row r="152" spans="1:24" ht="31.5" customHeight="1" x14ac:dyDescent="0.2">
      <c r="A152" s="30" t="s">
        <v>207</v>
      </c>
      <c r="B152" s="17" t="s">
        <v>47</v>
      </c>
      <c r="C152" s="17" t="s">
        <v>22</v>
      </c>
      <c r="D152" s="29">
        <v>1.9E-2</v>
      </c>
      <c r="E152" s="29">
        <v>1.8000000000000002E-2</v>
      </c>
      <c r="F152" s="29">
        <v>1.8000000000000002E-2</v>
      </c>
      <c r="G152" s="29">
        <v>1.7000000000000001E-2</v>
      </c>
      <c r="H152" s="29">
        <v>1.8000000000000002E-2</v>
      </c>
      <c r="I152" s="29">
        <v>1.6E-2</v>
      </c>
      <c r="J152" s="29">
        <v>1.8000000000000002E-2</v>
      </c>
      <c r="K152" s="29">
        <v>1.9E-2</v>
      </c>
      <c r="L152" s="29">
        <v>0.02</v>
      </c>
      <c r="M152" s="29">
        <v>2.1000000000000001E-2</v>
      </c>
      <c r="N152" s="29">
        <v>0.02</v>
      </c>
      <c r="O152" s="29">
        <v>2.1000000000000001E-2</v>
      </c>
      <c r="P152" s="29">
        <v>2.6000000000000002E-2</v>
      </c>
      <c r="Q152" s="29">
        <v>2.7000000000000003E-2</v>
      </c>
      <c r="R152" s="29">
        <v>2.7000000000000003E-2</v>
      </c>
      <c r="S152" s="29">
        <v>2.6000000000000002E-2</v>
      </c>
      <c r="T152" s="29">
        <v>3.1E-2</v>
      </c>
      <c r="U152" s="29">
        <v>3.1E-2</v>
      </c>
      <c r="V152" s="29">
        <v>3.4000000000000002E-2</v>
      </c>
      <c r="W152" s="117" t="s">
        <v>344</v>
      </c>
      <c r="X152" s="117" t="s">
        <v>344</v>
      </c>
    </row>
    <row r="153" spans="1:24" x14ac:dyDescent="0.2">
      <c r="A153" s="30" t="s">
        <v>207</v>
      </c>
      <c r="B153" s="16" t="s">
        <v>47</v>
      </c>
      <c r="C153" s="17" t="s">
        <v>23</v>
      </c>
      <c r="D153" s="29">
        <v>2.4E-2</v>
      </c>
      <c r="E153" s="29">
        <v>2.3E-2</v>
      </c>
      <c r="F153" s="29">
        <v>2.2000000000000002E-2</v>
      </c>
      <c r="G153" s="29">
        <v>2.2000000000000002E-2</v>
      </c>
      <c r="H153" s="29">
        <v>2.2000000000000002E-2</v>
      </c>
      <c r="I153" s="29">
        <v>2.3E-2</v>
      </c>
      <c r="J153" s="29">
        <v>2.6000000000000002E-2</v>
      </c>
      <c r="K153" s="29">
        <v>2.7000000000000003E-2</v>
      </c>
      <c r="L153" s="29">
        <v>2.7000000000000003E-2</v>
      </c>
      <c r="M153" s="29">
        <v>2.7000000000000003E-2</v>
      </c>
      <c r="N153" s="29">
        <v>2.6000000000000002E-2</v>
      </c>
      <c r="O153" s="29">
        <v>2.7999999999999997E-2</v>
      </c>
      <c r="P153" s="29">
        <v>3.1E-2</v>
      </c>
      <c r="Q153" s="29">
        <v>3.2000000000000001E-2</v>
      </c>
      <c r="R153" s="29">
        <v>3.1E-2</v>
      </c>
      <c r="S153" s="29">
        <v>0.03</v>
      </c>
      <c r="T153" s="29">
        <v>0.03</v>
      </c>
      <c r="U153" s="29">
        <v>3.4000000000000002E-2</v>
      </c>
      <c r="V153" s="29">
        <v>3.6000000000000004E-2</v>
      </c>
      <c r="W153" s="117" t="s">
        <v>344</v>
      </c>
      <c r="X153" s="117" t="s">
        <v>344</v>
      </c>
    </row>
    <row r="154" spans="1:24" x14ac:dyDescent="0.2">
      <c r="A154" s="30" t="s">
        <v>207</v>
      </c>
      <c r="B154" s="16" t="s">
        <v>47</v>
      </c>
      <c r="C154" s="17" t="s">
        <v>29</v>
      </c>
      <c r="D154" s="29">
        <v>2.2000000000000002E-2</v>
      </c>
      <c r="E154" s="29">
        <v>2.1000000000000001E-2</v>
      </c>
      <c r="F154" s="29">
        <v>2.1000000000000001E-2</v>
      </c>
      <c r="G154" s="29">
        <v>2.1000000000000001E-2</v>
      </c>
      <c r="H154" s="29">
        <v>2.3E-2</v>
      </c>
      <c r="I154" s="29">
        <v>2.5000000000000001E-2</v>
      </c>
      <c r="J154" s="29">
        <v>2.5000000000000001E-2</v>
      </c>
      <c r="K154" s="29">
        <v>2.7000000000000003E-2</v>
      </c>
      <c r="L154" s="29">
        <v>2.5000000000000001E-2</v>
      </c>
      <c r="M154" s="29">
        <v>2.7999999999999997E-2</v>
      </c>
      <c r="N154" s="29">
        <v>0.03</v>
      </c>
      <c r="O154" s="29">
        <v>2.7999999999999997E-2</v>
      </c>
      <c r="P154" s="29">
        <v>0.03</v>
      </c>
      <c r="Q154" s="29">
        <v>2.7999999999999997E-2</v>
      </c>
      <c r="R154" s="29">
        <v>2.5000000000000001E-2</v>
      </c>
      <c r="S154" s="29">
        <v>2.7999999999999997E-2</v>
      </c>
      <c r="T154" s="29">
        <v>0.03</v>
      </c>
      <c r="U154" s="29">
        <v>3.2000000000000001E-2</v>
      </c>
      <c r="V154" s="29">
        <v>3.2000000000000001E-2</v>
      </c>
      <c r="W154" s="117" t="s">
        <v>344</v>
      </c>
      <c r="X154" s="117" t="s">
        <v>344</v>
      </c>
    </row>
    <row r="155" spans="1:24" x14ac:dyDescent="0.2">
      <c r="A155" s="30" t="s">
        <v>207</v>
      </c>
      <c r="B155" s="16" t="s">
        <v>47</v>
      </c>
      <c r="C155" s="17" t="s">
        <v>24</v>
      </c>
      <c r="D155" s="29">
        <v>2.7000000000000003E-2</v>
      </c>
      <c r="E155" s="29">
        <v>2.5000000000000001E-2</v>
      </c>
      <c r="F155" s="29">
        <v>2.5000000000000001E-2</v>
      </c>
      <c r="G155" s="29">
        <v>2.5000000000000001E-2</v>
      </c>
      <c r="H155" s="29">
        <v>2.5000000000000001E-2</v>
      </c>
      <c r="I155" s="29">
        <v>2.6000000000000002E-2</v>
      </c>
      <c r="J155" s="29">
        <v>2.7000000000000003E-2</v>
      </c>
      <c r="K155" s="29">
        <v>2.7000000000000003E-2</v>
      </c>
      <c r="L155" s="29">
        <v>3.1E-2</v>
      </c>
      <c r="M155" s="29">
        <v>2.8999999999999998E-2</v>
      </c>
      <c r="N155" s="29">
        <v>2.7999999999999997E-2</v>
      </c>
      <c r="O155" s="29">
        <v>0.03</v>
      </c>
      <c r="P155" s="29">
        <v>0.03</v>
      </c>
      <c r="Q155" s="29">
        <v>2.8999999999999998E-2</v>
      </c>
      <c r="R155" s="29">
        <v>3.4000000000000002E-2</v>
      </c>
      <c r="S155" s="29">
        <v>3.4000000000000002E-2</v>
      </c>
      <c r="T155" s="29">
        <v>3.7999999999999999E-2</v>
      </c>
      <c r="U155" s="29">
        <v>4.0999999999999995E-2</v>
      </c>
      <c r="V155" s="29">
        <v>4.4999999999999998E-2</v>
      </c>
      <c r="W155" s="117" t="s">
        <v>344</v>
      </c>
      <c r="X155" s="117" t="s">
        <v>344</v>
      </c>
    </row>
    <row r="156" spans="1:24" x14ac:dyDescent="0.2">
      <c r="A156" s="30" t="s">
        <v>207</v>
      </c>
      <c r="B156" s="16" t="s">
        <v>47</v>
      </c>
      <c r="C156" s="17" t="s">
        <v>25</v>
      </c>
      <c r="D156" s="29">
        <v>2.2000000000000002E-2</v>
      </c>
      <c r="E156" s="29">
        <v>2.1000000000000001E-2</v>
      </c>
      <c r="F156" s="29">
        <v>2.1000000000000001E-2</v>
      </c>
      <c r="G156" s="29">
        <v>2.2000000000000002E-2</v>
      </c>
      <c r="H156" s="29">
        <v>2.2000000000000002E-2</v>
      </c>
      <c r="I156" s="29">
        <v>2.2000000000000002E-2</v>
      </c>
      <c r="J156" s="29">
        <v>2.3E-2</v>
      </c>
      <c r="K156" s="29">
        <v>2.2000000000000002E-2</v>
      </c>
      <c r="L156" s="29">
        <v>2.4E-2</v>
      </c>
      <c r="M156" s="29">
        <v>2.6000000000000002E-2</v>
      </c>
      <c r="N156" s="29">
        <v>2.2000000000000002E-2</v>
      </c>
      <c r="O156" s="29">
        <v>2.7000000000000003E-2</v>
      </c>
      <c r="P156" s="29">
        <v>0.03</v>
      </c>
      <c r="Q156" s="29">
        <v>2.7000000000000003E-2</v>
      </c>
      <c r="R156" s="29">
        <v>2.3E-2</v>
      </c>
      <c r="S156" s="29">
        <v>2.7000000000000003E-2</v>
      </c>
      <c r="T156" s="29">
        <v>2.7000000000000003E-2</v>
      </c>
      <c r="U156" s="29">
        <v>2.8999999999999998E-2</v>
      </c>
      <c r="V156" s="29">
        <v>0.03</v>
      </c>
      <c r="W156" s="117" t="s">
        <v>344</v>
      </c>
      <c r="X156" s="117" t="s">
        <v>344</v>
      </c>
    </row>
    <row r="157" spans="1:24" x14ac:dyDescent="0.2">
      <c r="A157" s="30" t="s">
        <v>207</v>
      </c>
      <c r="B157" s="16" t="s">
        <v>47</v>
      </c>
      <c r="C157" s="17" t="s">
        <v>2</v>
      </c>
      <c r="D157" s="29">
        <v>3.1E-2</v>
      </c>
      <c r="E157" s="29">
        <v>0.03</v>
      </c>
      <c r="F157" s="29">
        <v>3.3000000000000002E-2</v>
      </c>
      <c r="G157" s="29">
        <v>3.6000000000000004E-2</v>
      </c>
      <c r="H157" s="29">
        <v>3.2000000000000001E-2</v>
      </c>
      <c r="I157" s="29">
        <v>3.6000000000000004E-2</v>
      </c>
      <c r="J157" s="29">
        <v>3.4000000000000002E-2</v>
      </c>
      <c r="K157" s="29">
        <v>4.2999999999999997E-2</v>
      </c>
      <c r="L157" s="29">
        <v>4.9000000000000002E-2</v>
      </c>
      <c r="M157" s="29">
        <v>0.04</v>
      </c>
      <c r="N157" s="29">
        <v>4.0999999999999995E-2</v>
      </c>
      <c r="O157" s="29">
        <v>0.03</v>
      </c>
      <c r="P157" s="29">
        <v>3.4000000000000002E-2</v>
      </c>
      <c r="Q157" s="29">
        <v>3.2000000000000001E-2</v>
      </c>
      <c r="R157" s="29">
        <v>3.1E-2</v>
      </c>
      <c r="S157" s="29">
        <v>0.03</v>
      </c>
      <c r="T157" s="29">
        <v>4.4999999999999998E-2</v>
      </c>
      <c r="U157" s="29">
        <v>5.2000000000000005E-2</v>
      </c>
      <c r="V157" s="29">
        <v>4.0999999999999995E-2</v>
      </c>
      <c r="W157" s="117" t="s">
        <v>344</v>
      </c>
      <c r="X157" s="117" t="s">
        <v>344</v>
      </c>
    </row>
    <row r="158" spans="1:24" x14ac:dyDescent="0.2">
      <c r="A158" s="30" t="s">
        <v>207</v>
      </c>
      <c r="B158" s="16" t="s">
        <v>47</v>
      </c>
      <c r="C158" s="17" t="s">
        <v>3</v>
      </c>
      <c r="D158" s="29">
        <v>2.2000000000000002E-2</v>
      </c>
      <c r="E158" s="29">
        <v>2.3E-2</v>
      </c>
      <c r="F158" s="29">
        <v>2.4E-2</v>
      </c>
      <c r="G158" s="29">
        <v>2.6000000000000002E-2</v>
      </c>
      <c r="H158" s="29">
        <v>2.7999999999999997E-2</v>
      </c>
      <c r="I158" s="29">
        <v>2.7000000000000003E-2</v>
      </c>
      <c r="J158" s="29">
        <v>2.7999999999999997E-2</v>
      </c>
      <c r="K158" s="29">
        <v>3.1E-2</v>
      </c>
      <c r="L158" s="29">
        <v>0.03</v>
      </c>
      <c r="M158" s="29">
        <v>2.8999999999999998E-2</v>
      </c>
      <c r="N158" s="29">
        <v>2.7999999999999997E-2</v>
      </c>
      <c r="O158" s="29">
        <v>2.6000000000000002E-2</v>
      </c>
      <c r="P158" s="29">
        <v>0.03</v>
      </c>
      <c r="Q158" s="29">
        <v>3.1E-2</v>
      </c>
      <c r="R158" s="29">
        <v>3.6000000000000004E-2</v>
      </c>
      <c r="S158" s="29">
        <v>3.5000000000000003E-2</v>
      </c>
      <c r="T158" s="29">
        <v>4.2999999999999997E-2</v>
      </c>
      <c r="U158" s="29">
        <v>0.04</v>
      </c>
      <c r="V158" s="29">
        <v>4.4999999999999998E-2</v>
      </c>
      <c r="W158" s="117" t="s">
        <v>344</v>
      </c>
      <c r="X158" s="117" t="s">
        <v>344</v>
      </c>
    </row>
    <row r="159" spans="1:24" x14ac:dyDescent="0.2">
      <c r="A159" s="30" t="s">
        <v>207</v>
      </c>
      <c r="B159" s="16" t="s">
        <v>47</v>
      </c>
      <c r="C159" s="17" t="s">
        <v>30</v>
      </c>
      <c r="D159" s="29">
        <v>1.6E-2</v>
      </c>
      <c r="E159" s="29">
        <v>1.6E-2</v>
      </c>
      <c r="F159" s="29">
        <v>1.8000000000000002E-2</v>
      </c>
      <c r="G159" s="29">
        <v>1.7000000000000001E-2</v>
      </c>
      <c r="H159" s="29">
        <v>0.02</v>
      </c>
      <c r="I159" s="29">
        <v>2.1000000000000001E-2</v>
      </c>
      <c r="J159" s="29">
        <v>0.02</v>
      </c>
      <c r="K159" s="29">
        <v>0.02</v>
      </c>
      <c r="L159" s="29">
        <v>1.9E-2</v>
      </c>
      <c r="M159" s="29">
        <v>1.8000000000000002E-2</v>
      </c>
      <c r="N159" s="29">
        <v>2.2000000000000002E-2</v>
      </c>
      <c r="O159" s="29">
        <v>2.3E-2</v>
      </c>
      <c r="P159" s="29">
        <v>2.5000000000000001E-2</v>
      </c>
      <c r="Q159" s="29">
        <v>2.7000000000000003E-2</v>
      </c>
      <c r="R159" s="29">
        <v>2.4E-2</v>
      </c>
      <c r="S159" s="29">
        <v>2.7000000000000003E-2</v>
      </c>
      <c r="T159" s="29">
        <v>2.8999999999999998E-2</v>
      </c>
      <c r="U159" s="29">
        <v>0.03</v>
      </c>
      <c r="V159" s="29">
        <v>2.7000000000000003E-2</v>
      </c>
      <c r="W159" s="117" t="s">
        <v>344</v>
      </c>
      <c r="X159" s="117" t="s">
        <v>344</v>
      </c>
    </row>
    <row r="160" spans="1:24" x14ac:dyDescent="0.2">
      <c r="A160" s="30" t="s">
        <v>207</v>
      </c>
      <c r="B160" s="16" t="s">
        <v>47</v>
      </c>
      <c r="C160" s="17" t="s">
        <v>4</v>
      </c>
      <c r="D160" s="29">
        <v>1.9E-2</v>
      </c>
      <c r="E160" s="29">
        <v>1.8000000000000002E-2</v>
      </c>
      <c r="F160" s="29">
        <v>0.02</v>
      </c>
      <c r="G160" s="29">
        <v>2.1000000000000001E-2</v>
      </c>
      <c r="H160" s="29">
        <v>2.2000000000000002E-2</v>
      </c>
      <c r="I160" s="29">
        <v>2.2000000000000002E-2</v>
      </c>
      <c r="J160" s="29">
        <v>2.2000000000000002E-2</v>
      </c>
      <c r="K160" s="29">
        <v>2.4E-2</v>
      </c>
      <c r="L160" s="29">
        <v>2.5000000000000001E-2</v>
      </c>
      <c r="M160" s="29">
        <v>2.4E-2</v>
      </c>
      <c r="N160" s="29">
        <v>2.5000000000000001E-2</v>
      </c>
      <c r="O160" s="29">
        <v>2.6000000000000002E-2</v>
      </c>
      <c r="P160" s="29">
        <v>0.03</v>
      </c>
      <c r="Q160" s="29">
        <v>0.03</v>
      </c>
      <c r="R160" s="29">
        <v>2.8999999999999998E-2</v>
      </c>
      <c r="S160" s="29">
        <v>3.2000000000000001E-2</v>
      </c>
      <c r="T160" s="29">
        <v>3.3000000000000002E-2</v>
      </c>
      <c r="U160" s="29">
        <v>3.6000000000000004E-2</v>
      </c>
      <c r="V160" s="29">
        <v>2.8999999999999998E-2</v>
      </c>
      <c r="W160" s="117" t="s">
        <v>344</v>
      </c>
      <c r="X160" s="117" t="s">
        <v>344</v>
      </c>
    </row>
    <row r="161" spans="1:24" x14ac:dyDescent="0.2">
      <c r="A161" s="30" t="s">
        <v>207</v>
      </c>
      <c r="B161" s="16" t="s">
        <v>47</v>
      </c>
      <c r="C161" s="17" t="s">
        <v>32</v>
      </c>
      <c r="D161" s="29">
        <v>0.02</v>
      </c>
      <c r="E161" s="29">
        <v>1.9E-2</v>
      </c>
      <c r="F161" s="29">
        <v>1.9E-2</v>
      </c>
      <c r="G161" s="29">
        <v>0.02</v>
      </c>
      <c r="H161" s="29">
        <v>2.3E-2</v>
      </c>
      <c r="I161" s="29">
        <v>2.7000000000000003E-2</v>
      </c>
      <c r="J161" s="29">
        <v>2.5000000000000001E-2</v>
      </c>
      <c r="K161" s="29">
        <v>2.7999999999999997E-2</v>
      </c>
      <c r="L161" s="29">
        <v>2.7999999999999997E-2</v>
      </c>
      <c r="M161" s="29">
        <v>2.7000000000000003E-2</v>
      </c>
      <c r="N161" s="29">
        <v>2.8999999999999998E-2</v>
      </c>
      <c r="O161" s="29">
        <v>2.5000000000000001E-2</v>
      </c>
      <c r="P161" s="29">
        <v>2.7999999999999997E-2</v>
      </c>
      <c r="Q161" s="29">
        <v>2.6000000000000002E-2</v>
      </c>
      <c r="R161" s="29">
        <v>2.5000000000000001E-2</v>
      </c>
      <c r="S161" s="29">
        <v>2.3E-2</v>
      </c>
      <c r="T161" s="29">
        <v>2.7000000000000003E-2</v>
      </c>
      <c r="U161" s="29">
        <v>0.03</v>
      </c>
      <c r="V161" s="29">
        <v>2.8999999999999998E-2</v>
      </c>
      <c r="W161" s="117" t="s">
        <v>344</v>
      </c>
      <c r="X161" s="117" t="s">
        <v>344</v>
      </c>
    </row>
    <row r="162" spans="1:24" x14ac:dyDescent="0.2">
      <c r="A162" s="30" t="s">
        <v>207</v>
      </c>
      <c r="B162" s="16" t="s">
        <v>47</v>
      </c>
      <c r="C162" s="17" t="s">
        <v>5</v>
      </c>
      <c r="D162" s="29">
        <v>2.3E-2</v>
      </c>
      <c r="E162" s="29">
        <v>2.3E-2</v>
      </c>
      <c r="F162" s="29">
        <v>2.3E-2</v>
      </c>
      <c r="G162" s="29">
        <v>2.3E-2</v>
      </c>
      <c r="H162" s="29">
        <v>2.3E-2</v>
      </c>
      <c r="I162" s="29">
        <v>2.3E-2</v>
      </c>
      <c r="J162" s="29">
        <v>2.5000000000000001E-2</v>
      </c>
      <c r="K162" s="29">
        <v>2.8999999999999998E-2</v>
      </c>
      <c r="L162" s="29">
        <v>0.03</v>
      </c>
      <c r="M162" s="29">
        <v>2.7999999999999997E-2</v>
      </c>
      <c r="N162" s="29">
        <v>3.2000000000000001E-2</v>
      </c>
      <c r="O162" s="29">
        <v>0.03</v>
      </c>
      <c r="P162" s="29">
        <v>0.03</v>
      </c>
      <c r="Q162" s="29">
        <v>0.03</v>
      </c>
      <c r="R162" s="29">
        <v>2.8999999999999998E-2</v>
      </c>
      <c r="S162" s="29">
        <v>2.7000000000000003E-2</v>
      </c>
      <c r="T162" s="29">
        <v>3.9E-2</v>
      </c>
      <c r="U162" s="29">
        <v>4.2999999999999997E-2</v>
      </c>
      <c r="V162" s="29">
        <v>3.9E-2</v>
      </c>
      <c r="W162" s="117" t="s">
        <v>344</v>
      </c>
      <c r="X162" s="117" t="s">
        <v>344</v>
      </c>
    </row>
    <row r="163" spans="1:24" x14ac:dyDescent="0.2">
      <c r="A163" s="30" t="s">
        <v>207</v>
      </c>
      <c r="B163" s="16" t="s">
        <v>47</v>
      </c>
      <c r="C163" s="17" t="s">
        <v>6</v>
      </c>
      <c r="D163" s="29">
        <v>2.4E-2</v>
      </c>
      <c r="E163" s="29">
        <v>2.3E-2</v>
      </c>
      <c r="F163" s="29">
        <v>2.2000000000000002E-2</v>
      </c>
      <c r="G163" s="29">
        <v>2.3E-2</v>
      </c>
      <c r="H163" s="29">
        <v>2.3E-2</v>
      </c>
      <c r="I163" s="29">
        <v>2.4E-2</v>
      </c>
      <c r="J163" s="29">
        <v>2.4E-2</v>
      </c>
      <c r="K163" s="29">
        <v>2.7000000000000003E-2</v>
      </c>
      <c r="L163" s="29">
        <v>2.7000000000000003E-2</v>
      </c>
      <c r="M163" s="29">
        <v>2.6000000000000002E-2</v>
      </c>
      <c r="N163" s="29">
        <v>2.6000000000000002E-2</v>
      </c>
      <c r="O163" s="29">
        <v>2.7999999999999997E-2</v>
      </c>
      <c r="P163" s="29">
        <v>2.8999999999999998E-2</v>
      </c>
      <c r="Q163" s="29">
        <v>3.2000000000000001E-2</v>
      </c>
      <c r="R163" s="29">
        <v>0.03</v>
      </c>
      <c r="S163" s="29">
        <v>0.03</v>
      </c>
      <c r="T163" s="29">
        <v>3.4000000000000002E-2</v>
      </c>
      <c r="U163" s="29">
        <v>3.1E-2</v>
      </c>
      <c r="V163" s="29">
        <v>0.04</v>
      </c>
      <c r="W163" s="117" t="s">
        <v>344</v>
      </c>
      <c r="X163" s="117" t="s">
        <v>344</v>
      </c>
    </row>
    <row r="164" spans="1:24" x14ac:dyDescent="0.2">
      <c r="A164" s="30" t="s">
        <v>207</v>
      </c>
      <c r="B164" s="16" t="s">
        <v>47</v>
      </c>
      <c r="C164" s="17" t="s">
        <v>8</v>
      </c>
      <c r="D164" s="29">
        <v>1.9E-2</v>
      </c>
      <c r="E164" s="29">
        <v>1.8000000000000002E-2</v>
      </c>
      <c r="F164" s="29">
        <v>1.7000000000000001E-2</v>
      </c>
      <c r="G164" s="29">
        <v>1.9E-2</v>
      </c>
      <c r="H164" s="29">
        <v>1.8000000000000002E-2</v>
      </c>
      <c r="I164" s="29">
        <v>0.02</v>
      </c>
      <c r="J164" s="29">
        <v>0.02</v>
      </c>
      <c r="K164" s="29">
        <v>2.2000000000000002E-2</v>
      </c>
      <c r="L164" s="29">
        <v>0.02</v>
      </c>
      <c r="M164" s="29">
        <v>2.1000000000000001E-2</v>
      </c>
      <c r="N164" s="29">
        <v>2.2000000000000002E-2</v>
      </c>
      <c r="O164" s="29">
        <v>2.2000000000000002E-2</v>
      </c>
      <c r="P164" s="29">
        <v>2.4E-2</v>
      </c>
      <c r="Q164" s="29">
        <v>2.4E-2</v>
      </c>
      <c r="R164" s="29">
        <v>2.2000000000000002E-2</v>
      </c>
      <c r="S164" s="29">
        <v>2.4E-2</v>
      </c>
      <c r="T164" s="29">
        <v>3.1E-2</v>
      </c>
      <c r="U164" s="29">
        <v>3.6000000000000004E-2</v>
      </c>
      <c r="V164" s="29">
        <v>3.1E-2</v>
      </c>
      <c r="W164" s="117" t="s">
        <v>344</v>
      </c>
      <c r="X164" s="117" t="s">
        <v>344</v>
      </c>
    </row>
    <row r="165" spans="1:24" x14ac:dyDescent="0.2">
      <c r="A165" s="30" t="s">
        <v>207</v>
      </c>
      <c r="B165" s="16" t="s">
        <v>47</v>
      </c>
      <c r="C165" s="17" t="s">
        <v>9</v>
      </c>
      <c r="D165" s="29">
        <v>1.8000000000000002E-2</v>
      </c>
      <c r="E165" s="29">
        <v>1.8000000000000002E-2</v>
      </c>
      <c r="F165" s="29">
        <v>0.02</v>
      </c>
      <c r="G165" s="29">
        <v>0.02</v>
      </c>
      <c r="H165" s="29">
        <v>1.8000000000000002E-2</v>
      </c>
      <c r="I165" s="29">
        <v>2.1000000000000001E-2</v>
      </c>
      <c r="J165" s="29">
        <v>0.02</v>
      </c>
      <c r="K165" s="29">
        <v>2.2000000000000002E-2</v>
      </c>
      <c r="L165" s="29">
        <v>2.3E-2</v>
      </c>
      <c r="M165" s="29">
        <v>2.1000000000000001E-2</v>
      </c>
      <c r="N165" s="29">
        <v>2.3E-2</v>
      </c>
      <c r="O165" s="29">
        <v>2.5000000000000001E-2</v>
      </c>
      <c r="P165" s="29">
        <v>2.7999999999999997E-2</v>
      </c>
      <c r="Q165" s="29">
        <v>2.4E-2</v>
      </c>
      <c r="R165" s="29">
        <v>2.6000000000000002E-2</v>
      </c>
      <c r="S165" s="29">
        <v>2.7000000000000003E-2</v>
      </c>
      <c r="T165" s="29">
        <v>2.7000000000000003E-2</v>
      </c>
      <c r="U165" s="29">
        <v>2.7999999999999997E-2</v>
      </c>
      <c r="V165" s="29">
        <v>3.1E-2</v>
      </c>
      <c r="W165" s="117" t="s">
        <v>344</v>
      </c>
      <c r="X165" s="117" t="s">
        <v>344</v>
      </c>
    </row>
    <row r="166" spans="1:24" x14ac:dyDescent="0.2">
      <c r="A166" s="30" t="s">
        <v>207</v>
      </c>
      <c r="B166" s="16" t="s">
        <v>47</v>
      </c>
      <c r="C166" s="17" t="s">
        <v>33</v>
      </c>
      <c r="D166" s="29">
        <v>1.8000000000000002E-2</v>
      </c>
      <c r="E166" s="29">
        <v>1.8000000000000002E-2</v>
      </c>
      <c r="F166" s="29">
        <v>1.9E-2</v>
      </c>
      <c r="G166" s="29">
        <v>1.8000000000000002E-2</v>
      </c>
      <c r="H166" s="29">
        <v>1.9E-2</v>
      </c>
      <c r="I166" s="29">
        <v>1.9E-2</v>
      </c>
      <c r="J166" s="29">
        <v>1.7000000000000001E-2</v>
      </c>
      <c r="K166" s="29">
        <v>2.2000000000000002E-2</v>
      </c>
      <c r="L166" s="29">
        <v>2.6000000000000002E-2</v>
      </c>
      <c r="M166" s="29">
        <v>2.3E-2</v>
      </c>
      <c r="N166" s="29">
        <v>2.7999999999999997E-2</v>
      </c>
      <c r="O166" s="29">
        <v>2.7000000000000003E-2</v>
      </c>
      <c r="P166" s="29">
        <v>2.6000000000000002E-2</v>
      </c>
      <c r="Q166" s="29">
        <v>2.7999999999999997E-2</v>
      </c>
      <c r="R166" s="29">
        <v>2.5000000000000001E-2</v>
      </c>
      <c r="S166" s="29">
        <v>2.4E-2</v>
      </c>
      <c r="T166" s="29">
        <v>2.8999999999999998E-2</v>
      </c>
      <c r="U166" s="29">
        <v>2.6000000000000002E-2</v>
      </c>
      <c r="V166" s="29">
        <v>2.7999999999999997E-2</v>
      </c>
      <c r="W166" s="117" t="s">
        <v>344</v>
      </c>
      <c r="X166" s="117" t="s">
        <v>344</v>
      </c>
    </row>
    <row r="167" spans="1:24" x14ac:dyDescent="0.2">
      <c r="A167" s="30" t="s">
        <v>207</v>
      </c>
      <c r="B167" s="16" t="s">
        <v>47</v>
      </c>
      <c r="C167" s="17" t="s">
        <v>10</v>
      </c>
      <c r="D167" s="29">
        <v>2.4E-2</v>
      </c>
      <c r="E167" s="29">
        <v>2.5000000000000001E-2</v>
      </c>
      <c r="F167" s="29">
        <v>2.7999999999999997E-2</v>
      </c>
      <c r="G167" s="29">
        <v>2.7000000000000003E-2</v>
      </c>
      <c r="H167" s="29">
        <v>2.4E-2</v>
      </c>
      <c r="I167" s="29">
        <v>2.3E-2</v>
      </c>
      <c r="J167" s="29">
        <v>2.3E-2</v>
      </c>
      <c r="K167" s="29">
        <v>2.5000000000000001E-2</v>
      </c>
      <c r="L167" s="29">
        <v>2.7999999999999997E-2</v>
      </c>
      <c r="M167" s="29">
        <v>0.03</v>
      </c>
      <c r="N167" s="29">
        <v>2.8999999999999998E-2</v>
      </c>
      <c r="O167" s="29">
        <v>2.7000000000000003E-2</v>
      </c>
      <c r="P167" s="29">
        <v>3.2000000000000001E-2</v>
      </c>
      <c r="Q167" s="29">
        <v>2.7999999999999997E-2</v>
      </c>
      <c r="R167" s="29">
        <v>3.1E-2</v>
      </c>
      <c r="S167" s="29">
        <v>3.5000000000000003E-2</v>
      </c>
      <c r="T167" s="29">
        <v>4.2999999999999997E-2</v>
      </c>
      <c r="U167" s="29">
        <v>4.8000000000000001E-2</v>
      </c>
      <c r="V167" s="29">
        <v>5.2999999999999999E-2</v>
      </c>
      <c r="W167" s="117" t="s">
        <v>344</v>
      </c>
      <c r="X167" s="117" t="s">
        <v>344</v>
      </c>
    </row>
    <row r="168" spans="1:24" x14ac:dyDescent="0.2">
      <c r="A168" s="30" t="s">
        <v>207</v>
      </c>
      <c r="B168" s="16" t="s">
        <v>47</v>
      </c>
      <c r="C168" s="17" t="s">
        <v>11</v>
      </c>
      <c r="D168" s="29">
        <v>1.9E-2</v>
      </c>
      <c r="E168" s="29">
        <v>1.8000000000000002E-2</v>
      </c>
      <c r="F168" s="29">
        <v>2.1000000000000001E-2</v>
      </c>
      <c r="G168" s="29">
        <v>0.02</v>
      </c>
      <c r="H168" s="29">
        <v>0.02</v>
      </c>
      <c r="I168" s="29">
        <v>2.2000000000000002E-2</v>
      </c>
      <c r="J168" s="29">
        <v>2.4E-2</v>
      </c>
      <c r="K168" s="29">
        <v>2.4E-2</v>
      </c>
      <c r="L168" s="29">
        <v>2.6000000000000002E-2</v>
      </c>
      <c r="M168" s="29">
        <v>2.2000000000000002E-2</v>
      </c>
      <c r="N168" s="29">
        <v>2.3E-2</v>
      </c>
      <c r="O168" s="29">
        <v>2.7999999999999997E-2</v>
      </c>
      <c r="P168" s="29">
        <v>2.5000000000000001E-2</v>
      </c>
      <c r="Q168" s="29">
        <v>2.5000000000000001E-2</v>
      </c>
      <c r="R168" s="29">
        <v>2.5000000000000001E-2</v>
      </c>
      <c r="S168" s="29">
        <v>2.5000000000000001E-2</v>
      </c>
      <c r="T168" s="29">
        <v>3.5000000000000003E-2</v>
      </c>
      <c r="U168" s="29">
        <v>3.1E-2</v>
      </c>
      <c r="V168" s="29">
        <v>3.7000000000000005E-2</v>
      </c>
      <c r="W168" s="117" t="s">
        <v>344</v>
      </c>
      <c r="X168" s="117" t="s">
        <v>344</v>
      </c>
    </row>
    <row r="169" spans="1:24" x14ac:dyDescent="0.2">
      <c r="A169" s="30" t="s">
        <v>207</v>
      </c>
      <c r="B169" s="16" t="s">
        <v>47</v>
      </c>
      <c r="C169" s="17" t="s">
        <v>12</v>
      </c>
      <c r="D169" s="29">
        <v>2.1000000000000001E-2</v>
      </c>
      <c r="E169" s="29">
        <v>2.3E-2</v>
      </c>
      <c r="F169" s="29">
        <v>2.3E-2</v>
      </c>
      <c r="G169" s="29">
        <v>2.3E-2</v>
      </c>
      <c r="H169" s="29">
        <v>2.4E-2</v>
      </c>
      <c r="I169" s="29">
        <v>2.7000000000000003E-2</v>
      </c>
      <c r="J169" s="29">
        <v>2.6000000000000002E-2</v>
      </c>
      <c r="K169" s="29">
        <v>2.7999999999999997E-2</v>
      </c>
      <c r="L169" s="29">
        <v>0.03</v>
      </c>
      <c r="M169" s="29">
        <v>3.1E-2</v>
      </c>
      <c r="N169" s="29">
        <v>3.3000000000000002E-2</v>
      </c>
      <c r="O169" s="29">
        <v>3.3000000000000002E-2</v>
      </c>
      <c r="P169" s="29">
        <v>3.6000000000000004E-2</v>
      </c>
      <c r="Q169" s="29">
        <v>2.7000000000000003E-2</v>
      </c>
      <c r="R169" s="29">
        <v>2.7999999999999997E-2</v>
      </c>
      <c r="S169" s="29">
        <v>2.7999999999999997E-2</v>
      </c>
      <c r="T169" s="29">
        <v>3.1E-2</v>
      </c>
      <c r="U169" s="29">
        <v>3.7999999999999999E-2</v>
      </c>
      <c r="V169" s="29">
        <v>3.7999999999999999E-2</v>
      </c>
      <c r="W169" s="117" t="s">
        <v>344</v>
      </c>
      <c r="X169" s="117" t="s">
        <v>344</v>
      </c>
    </row>
    <row r="170" spans="1:24" x14ac:dyDescent="0.2">
      <c r="A170" s="30" t="s">
        <v>207</v>
      </c>
      <c r="B170" s="16" t="s">
        <v>47</v>
      </c>
      <c r="C170" s="17" t="s">
        <v>13</v>
      </c>
      <c r="D170" s="29">
        <v>2.3E-2</v>
      </c>
      <c r="E170" s="29">
        <v>2.2000000000000002E-2</v>
      </c>
      <c r="F170" s="29">
        <v>0.02</v>
      </c>
      <c r="G170" s="29">
        <v>1.9E-2</v>
      </c>
      <c r="H170" s="29">
        <v>2.2000000000000002E-2</v>
      </c>
      <c r="I170" s="29">
        <v>2.3E-2</v>
      </c>
      <c r="J170" s="29">
        <v>2.6000000000000002E-2</v>
      </c>
      <c r="K170" s="29">
        <v>2.6000000000000002E-2</v>
      </c>
      <c r="L170" s="29">
        <v>2.4E-2</v>
      </c>
      <c r="M170" s="29">
        <v>2.3E-2</v>
      </c>
      <c r="N170" s="29">
        <v>2.3E-2</v>
      </c>
      <c r="O170" s="29">
        <v>2.5000000000000001E-2</v>
      </c>
      <c r="P170" s="29">
        <v>3.1E-2</v>
      </c>
      <c r="Q170" s="29">
        <v>2.8999999999999998E-2</v>
      </c>
      <c r="R170" s="29">
        <v>3.3000000000000002E-2</v>
      </c>
      <c r="S170" s="29">
        <v>3.1E-2</v>
      </c>
      <c r="T170" s="29">
        <v>3.4000000000000002E-2</v>
      </c>
      <c r="U170" s="29">
        <v>4.0999999999999995E-2</v>
      </c>
      <c r="V170" s="29">
        <v>0.04</v>
      </c>
      <c r="W170" s="117" t="s">
        <v>344</v>
      </c>
      <c r="X170" s="117" t="s">
        <v>344</v>
      </c>
    </row>
    <row r="171" spans="1:24" x14ac:dyDescent="0.2">
      <c r="A171" s="30" t="s">
        <v>207</v>
      </c>
      <c r="B171" s="16" t="s">
        <v>47</v>
      </c>
      <c r="C171" s="17" t="s">
        <v>7</v>
      </c>
      <c r="D171" s="29">
        <v>4.2999999999999997E-2</v>
      </c>
      <c r="E171" s="29">
        <v>4.2999999999999997E-2</v>
      </c>
      <c r="F171" s="29">
        <v>4.4999999999999998E-2</v>
      </c>
      <c r="G171" s="29">
        <v>4.8000000000000001E-2</v>
      </c>
      <c r="H171" s="29">
        <v>5.4000000000000006E-2</v>
      </c>
      <c r="I171" s="29">
        <v>5.9000000000000004E-2</v>
      </c>
      <c r="J171" s="29">
        <v>6.7000000000000004E-2</v>
      </c>
      <c r="K171" s="29">
        <v>6.8000000000000005E-2</v>
      </c>
      <c r="L171" s="29">
        <v>5.4000000000000006E-2</v>
      </c>
      <c r="M171" s="29">
        <v>5.0999999999999997E-2</v>
      </c>
      <c r="N171" s="29">
        <v>4.5999999999999999E-2</v>
      </c>
      <c r="O171" s="29">
        <v>4.9000000000000002E-2</v>
      </c>
      <c r="P171" s="29">
        <v>4.4999999999999998E-2</v>
      </c>
      <c r="Q171" s="29">
        <v>3.6000000000000004E-2</v>
      </c>
      <c r="R171" s="29">
        <v>4.2000000000000003E-2</v>
      </c>
      <c r="S171" s="29">
        <v>4.0999999999999995E-2</v>
      </c>
      <c r="T171" s="29">
        <v>4.9000000000000002E-2</v>
      </c>
      <c r="U171" s="29">
        <v>5.7000000000000002E-2</v>
      </c>
      <c r="V171" s="29">
        <v>6.8000000000000005E-2</v>
      </c>
      <c r="W171" s="117" t="s">
        <v>344</v>
      </c>
      <c r="X171" s="117" t="s">
        <v>344</v>
      </c>
    </row>
    <row r="172" spans="1:24" x14ac:dyDescent="0.2">
      <c r="A172" s="30" t="s">
        <v>207</v>
      </c>
      <c r="B172" s="16" t="s">
        <v>47</v>
      </c>
      <c r="C172" s="17" t="s">
        <v>14</v>
      </c>
      <c r="D172" s="29">
        <v>1.8000000000000002E-2</v>
      </c>
      <c r="E172" s="29">
        <v>1.8000000000000002E-2</v>
      </c>
      <c r="F172" s="29">
        <v>1.9E-2</v>
      </c>
      <c r="G172" s="29">
        <v>1.9E-2</v>
      </c>
      <c r="H172" s="29">
        <v>0.02</v>
      </c>
      <c r="I172" s="29">
        <v>0.02</v>
      </c>
      <c r="J172" s="29">
        <v>2.3E-2</v>
      </c>
      <c r="K172" s="29">
        <v>2.6000000000000002E-2</v>
      </c>
      <c r="L172" s="29">
        <v>2.3E-2</v>
      </c>
      <c r="M172" s="29">
        <v>2.7000000000000003E-2</v>
      </c>
      <c r="N172" s="29">
        <v>2.4E-2</v>
      </c>
      <c r="O172" s="29">
        <v>2.7999999999999997E-2</v>
      </c>
      <c r="P172" s="29">
        <v>3.1E-2</v>
      </c>
      <c r="Q172" s="29">
        <v>2.7000000000000003E-2</v>
      </c>
      <c r="R172" s="29">
        <v>2.6000000000000002E-2</v>
      </c>
      <c r="S172" s="29">
        <v>2.6000000000000002E-2</v>
      </c>
      <c r="T172" s="29">
        <v>0.03</v>
      </c>
      <c r="U172" s="29">
        <v>0.03</v>
      </c>
      <c r="V172" s="29">
        <v>0.03</v>
      </c>
      <c r="W172" s="117" t="s">
        <v>344</v>
      </c>
      <c r="X172" s="117" t="s">
        <v>344</v>
      </c>
    </row>
    <row r="173" spans="1:24" x14ac:dyDescent="0.2">
      <c r="A173" s="30" t="s">
        <v>207</v>
      </c>
      <c r="B173" s="16" t="s">
        <v>47</v>
      </c>
      <c r="C173" s="17" t="s">
        <v>31</v>
      </c>
      <c r="D173" s="29">
        <v>1.6E-2</v>
      </c>
      <c r="E173" s="29">
        <v>1.6E-2</v>
      </c>
      <c r="F173" s="29">
        <v>1.8000000000000002E-2</v>
      </c>
      <c r="G173" s="29">
        <v>2.1000000000000001E-2</v>
      </c>
      <c r="H173" s="29">
        <v>2.4E-2</v>
      </c>
      <c r="I173" s="29">
        <v>0.02</v>
      </c>
      <c r="J173" s="29">
        <v>0.02</v>
      </c>
      <c r="K173" s="29">
        <v>2.1000000000000001E-2</v>
      </c>
      <c r="L173" s="29">
        <v>0.02</v>
      </c>
      <c r="M173" s="29">
        <v>0.02</v>
      </c>
      <c r="N173" s="29">
        <v>2.1000000000000001E-2</v>
      </c>
      <c r="O173" s="29">
        <v>2.1000000000000001E-2</v>
      </c>
      <c r="P173" s="29">
        <v>2.3E-2</v>
      </c>
      <c r="Q173" s="29">
        <v>2.3E-2</v>
      </c>
      <c r="R173" s="29">
        <v>2.6000000000000002E-2</v>
      </c>
      <c r="S173" s="29">
        <v>2.1000000000000001E-2</v>
      </c>
      <c r="T173" s="29">
        <v>2.7000000000000003E-2</v>
      </c>
      <c r="U173" s="29">
        <v>2.7000000000000003E-2</v>
      </c>
      <c r="V173" s="29">
        <v>3.6000000000000004E-2</v>
      </c>
      <c r="W173" s="117" t="s">
        <v>344</v>
      </c>
      <c r="X173" s="117" t="s">
        <v>344</v>
      </c>
    </row>
    <row r="174" spans="1:24" x14ac:dyDescent="0.2">
      <c r="A174" s="30" t="s">
        <v>207</v>
      </c>
      <c r="B174" s="16" t="s">
        <v>47</v>
      </c>
      <c r="C174" s="17" t="s">
        <v>15</v>
      </c>
      <c r="D174" s="29">
        <v>4.5999999999999999E-2</v>
      </c>
      <c r="E174" s="29">
        <v>5.4000000000000006E-2</v>
      </c>
      <c r="F174" s="29">
        <v>0.06</v>
      </c>
      <c r="G174" s="29">
        <v>6.4000000000000001E-2</v>
      </c>
      <c r="H174" s="29">
        <v>5.0999999999999997E-2</v>
      </c>
      <c r="I174" s="29">
        <v>4.7E-2</v>
      </c>
      <c r="J174" s="29">
        <v>4.9000000000000002E-2</v>
      </c>
      <c r="K174" s="29">
        <v>5.4000000000000006E-2</v>
      </c>
      <c r="L174" s="29">
        <v>5.7999999999999996E-2</v>
      </c>
      <c r="M174" s="29">
        <v>6.5000000000000002E-2</v>
      </c>
      <c r="N174" s="29">
        <v>6.3E-2</v>
      </c>
      <c r="O174" s="29">
        <v>6.8000000000000005E-2</v>
      </c>
      <c r="P174" s="29">
        <v>6.2E-2</v>
      </c>
      <c r="Q174" s="29">
        <v>6.9000000000000006E-2</v>
      </c>
      <c r="R174" s="29">
        <v>6.3E-2</v>
      </c>
      <c r="S174" s="29">
        <v>7.2999999999999995E-2</v>
      </c>
      <c r="T174" s="29">
        <v>9.3000000000000013E-2</v>
      </c>
      <c r="U174" s="29" t="s">
        <v>256</v>
      </c>
      <c r="V174" s="29" t="s">
        <v>256</v>
      </c>
      <c r="W174" s="117" t="s">
        <v>344</v>
      </c>
      <c r="X174" s="117" t="s">
        <v>344</v>
      </c>
    </row>
    <row r="175" spans="1:24" x14ac:dyDescent="0.2">
      <c r="A175" s="30" t="s">
        <v>207</v>
      </c>
      <c r="B175" s="16" t="s">
        <v>47</v>
      </c>
      <c r="C175" s="17" t="s">
        <v>16</v>
      </c>
      <c r="D175" s="29">
        <v>2.3E-2</v>
      </c>
      <c r="E175" s="29">
        <v>2.1000000000000001E-2</v>
      </c>
      <c r="F175" s="29">
        <v>2.1000000000000001E-2</v>
      </c>
      <c r="G175" s="29">
        <v>2.3E-2</v>
      </c>
      <c r="H175" s="29">
        <v>2.2000000000000002E-2</v>
      </c>
      <c r="I175" s="29">
        <v>2.3E-2</v>
      </c>
      <c r="J175" s="29">
        <v>2.3E-2</v>
      </c>
      <c r="K175" s="29">
        <v>2.4E-2</v>
      </c>
      <c r="L175" s="29">
        <v>2.4E-2</v>
      </c>
      <c r="M175" s="29">
        <v>2.5000000000000001E-2</v>
      </c>
      <c r="N175" s="29">
        <v>2.7000000000000003E-2</v>
      </c>
      <c r="O175" s="29">
        <v>2.7999999999999997E-2</v>
      </c>
      <c r="P175" s="29">
        <v>3.4000000000000002E-2</v>
      </c>
      <c r="Q175" s="29">
        <v>0.03</v>
      </c>
      <c r="R175" s="29">
        <v>2.8999999999999998E-2</v>
      </c>
      <c r="S175" s="29">
        <v>3.3000000000000002E-2</v>
      </c>
      <c r="T175" s="29">
        <v>3.2000000000000001E-2</v>
      </c>
      <c r="U175" s="29">
        <v>3.6000000000000004E-2</v>
      </c>
      <c r="V175" s="29">
        <v>3.9E-2</v>
      </c>
      <c r="W175" s="117" t="s">
        <v>344</v>
      </c>
      <c r="X175" s="117" t="s">
        <v>344</v>
      </c>
    </row>
    <row r="176" spans="1:24" x14ac:dyDescent="0.2">
      <c r="A176" s="30" t="s">
        <v>207</v>
      </c>
      <c r="B176" s="16" t="s">
        <v>47</v>
      </c>
      <c r="C176" s="17" t="s">
        <v>26</v>
      </c>
      <c r="D176" s="29">
        <v>1.7000000000000001E-2</v>
      </c>
      <c r="E176" s="29">
        <v>1.6E-2</v>
      </c>
      <c r="F176" s="29">
        <v>1.6E-2</v>
      </c>
      <c r="G176" s="29">
        <v>1.7000000000000001E-2</v>
      </c>
      <c r="H176" s="29">
        <v>1.6E-2</v>
      </c>
      <c r="I176" s="29">
        <v>1.8000000000000002E-2</v>
      </c>
      <c r="J176" s="29">
        <v>2.1000000000000001E-2</v>
      </c>
      <c r="K176" s="29">
        <v>2.5000000000000001E-2</v>
      </c>
      <c r="L176" s="29">
        <v>2.3E-2</v>
      </c>
      <c r="M176" s="29">
        <v>2.4E-2</v>
      </c>
      <c r="N176" s="29">
        <v>2.2000000000000002E-2</v>
      </c>
      <c r="O176" s="29">
        <v>2.2000000000000002E-2</v>
      </c>
      <c r="P176" s="29">
        <v>2.2000000000000002E-2</v>
      </c>
      <c r="Q176" s="29">
        <v>2.6000000000000002E-2</v>
      </c>
      <c r="R176" s="29">
        <v>2.5000000000000001E-2</v>
      </c>
      <c r="S176" s="29">
        <v>2.4E-2</v>
      </c>
      <c r="T176" s="29">
        <v>3.1E-2</v>
      </c>
      <c r="U176" s="29">
        <v>2.7000000000000003E-2</v>
      </c>
      <c r="V176" s="29">
        <v>2.7000000000000003E-2</v>
      </c>
      <c r="W176" s="117" t="s">
        <v>344</v>
      </c>
      <c r="X176" s="117" t="s">
        <v>344</v>
      </c>
    </row>
    <row r="177" spans="1:24" x14ac:dyDescent="0.2">
      <c r="A177" s="30" t="s">
        <v>207</v>
      </c>
      <c r="B177" s="16" t="s">
        <v>47</v>
      </c>
      <c r="C177" s="17" t="s">
        <v>17</v>
      </c>
      <c r="D177" s="29">
        <v>2.3E-2</v>
      </c>
      <c r="E177" s="29">
        <v>2.3E-2</v>
      </c>
      <c r="F177" s="29">
        <v>2.3E-2</v>
      </c>
      <c r="G177" s="29">
        <v>2.4E-2</v>
      </c>
      <c r="H177" s="29">
        <v>2.6000000000000002E-2</v>
      </c>
      <c r="I177" s="29">
        <v>2.7000000000000003E-2</v>
      </c>
      <c r="J177" s="29">
        <v>2.7000000000000003E-2</v>
      </c>
      <c r="K177" s="29">
        <v>2.7999999999999997E-2</v>
      </c>
      <c r="L177" s="29">
        <v>2.8999999999999998E-2</v>
      </c>
      <c r="M177" s="29">
        <v>2.7999999999999997E-2</v>
      </c>
      <c r="N177" s="29">
        <v>2.7000000000000003E-2</v>
      </c>
      <c r="O177" s="29">
        <v>0.03</v>
      </c>
      <c r="P177" s="29">
        <v>3.4000000000000002E-2</v>
      </c>
      <c r="Q177" s="29">
        <v>3.4000000000000002E-2</v>
      </c>
      <c r="R177" s="29">
        <v>3.4000000000000002E-2</v>
      </c>
      <c r="S177" s="29">
        <v>3.5000000000000003E-2</v>
      </c>
      <c r="T177" s="29">
        <v>4.2999999999999997E-2</v>
      </c>
      <c r="U177" s="29">
        <v>4.9000000000000002E-2</v>
      </c>
      <c r="V177" s="29">
        <v>4.2999999999999997E-2</v>
      </c>
      <c r="W177" s="117" t="s">
        <v>344</v>
      </c>
      <c r="X177" s="117" t="s">
        <v>344</v>
      </c>
    </row>
    <row r="178" spans="1:24" x14ac:dyDescent="0.2">
      <c r="A178" s="30" t="s">
        <v>207</v>
      </c>
      <c r="B178" s="16" t="s">
        <v>47</v>
      </c>
      <c r="C178" s="17" t="s">
        <v>18</v>
      </c>
      <c r="D178" s="29">
        <v>4.4000000000000004E-2</v>
      </c>
      <c r="E178" s="29">
        <v>4.2999999999999997E-2</v>
      </c>
      <c r="F178" s="29">
        <v>4.4000000000000004E-2</v>
      </c>
      <c r="G178" s="29">
        <v>4.4000000000000004E-2</v>
      </c>
      <c r="H178" s="29">
        <v>4.2000000000000003E-2</v>
      </c>
      <c r="I178" s="29">
        <v>4.0999999999999995E-2</v>
      </c>
      <c r="J178" s="29">
        <v>0.04</v>
      </c>
      <c r="K178" s="29">
        <v>4.4999999999999998E-2</v>
      </c>
      <c r="L178" s="29">
        <v>5.2999999999999999E-2</v>
      </c>
      <c r="M178" s="29">
        <v>5.7999999999999996E-2</v>
      </c>
      <c r="N178" s="29">
        <v>5.5E-2</v>
      </c>
      <c r="O178" s="29">
        <v>5.5E-2</v>
      </c>
      <c r="P178" s="29">
        <v>5.2000000000000005E-2</v>
      </c>
      <c r="Q178" s="29">
        <v>0.06</v>
      </c>
      <c r="R178" s="29">
        <v>7.2999999999999995E-2</v>
      </c>
      <c r="S178" s="29" t="s">
        <v>256</v>
      </c>
      <c r="T178" s="29" t="s">
        <v>256</v>
      </c>
      <c r="U178" s="29" t="s">
        <v>256</v>
      </c>
      <c r="V178" s="29" t="s">
        <v>256</v>
      </c>
      <c r="W178" s="117" t="s">
        <v>344</v>
      </c>
      <c r="X178" s="117" t="s">
        <v>344</v>
      </c>
    </row>
    <row r="179" spans="1:24" x14ac:dyDescent="0.2">
      <c r="A179" s="30" t="s">
        <v>207</v>
      </c>
      <c r="B179" s="16" t="s">
        <v>47</v>
      </c>
      <c r="C179" s="17" t="s">
        <v>19</v>
      </c>
      <c r="D179" s="29">
        <v>2.2000000000000002E-2</v>
      </c>
      <c r="E179" s="29">
        <v>0.02</v>
      </c>
      <c r="F179" s="29">
        <v>2.2000000000000002E-2</v>
      </c>
      <c r="G179" s="29">
        <v>2.1000000000000001E-2</v>
      </c>
      <c r="H179" s="29">
        <v>2.2000000000000002E-2</v>
      </c>
      <c r="I179" s="29">
        <v>2.4E-2</v>
      </c>
      <c r="J179" s="29">
        <v>2.5000000000000001E-2</v>
      </c>
      <c r="K179" s="29">
        <v>2.7000000000000003E-2</v>
      </c>
      <c r="L179" s="29">
        <v>2.7000000000000003E-2</v>
      </c>
      <c r="M179" s="29">
        <v>2.7000000000000003E-2</v>
      </c>
      <c r="N179" s="29">
        <v>2.7000000000000003E-2</v>
      </c>
      <c r="O179" s="29">
        <v>2.6000000000000002E-2</v>
      </c>
      <c r="P179" s="29">
        <v>2.7000000000000003E-2</v>
      </c>
      <c r="Q179" s="29">
        <v>2.8999999999999998E-2</v>
      </c>
      <c r="R179" s="29">
        <v>3.2000000000000001E-2</v>
      </c>
      <c r="S179" s="29">
        <v>3.3000000000000002E-2</v>
      </c>
      <c r="T179" s="29">
        <v>3.3000000000000002E-2</v>
      </c>
      <c r="U179" s="29">
        <v>4.0999999999999995E-2</v>
      </c>
      <c r="V179" s="29">
        <v>4.2999999999999997E-2</v>
      </c>
      <c r="W179" s="117" t="s">
        <v>344</v>
      </c>
      <c r="X179" s="117" t="s">
        <v>344</v>
      </c>
    </row>
    <row r="180" spans="1:24" x14ac:dyDescent="0.2">
      <c r="A180" s="30" t="s">
        <v>207</v>
      </c>
      <c r="B180" s="16" t="s">
        <v>47</v>
      </c>
      <c r="C180" s="17" t="s">
        <v>20</v>
      </c>
      <c r="D180" s="29">
        <v>1.9E-2</v>
      </c>
      <c r="E180" s="29">
        <v>0.02</v>
      </c>
      <c r="F180" s="29">
        <v>0.02</v>
      </c>
      <c r="G180" s="29">
        <v>1.8000000000000002E-2</v>
      </c>
      <c r="H180" s="29">
        <v>0.02</v>
      </c>
      <c r="I180" s="29">
        <v>0.02</v>
      </c>
      <c r="J180" s="29">
        <v>0.02</v>
      </c>
      <c r="K180" s="29">
        <v>2.2000000000000002E-2</v>
      </c>
      <c r="L180" s="29">
        <v>2.3E-2</v>
      </c>
      <c r="M180" s="29">
        <v>2.2000000000000002E-2</v>
      </c>
      <c r="N180" s="29">
        <v>2.2000000000000002E-2</v>
      </c>
      <c r="O180" s="29">
        <v>2.2000000000000002E-2</v>
      </c>
      <c r="P180" s="29">
        <v>2.6000000000000002E-2</v>
      </c>
      <c r="Q180" s="29">
        <v>2.5000000000000001E-2</v>
      </c>
      <c r="R180" s="29">
        <v>0.03</v>
      </c>
      <c r="S180" s="29">
        <v>2.8999999999999998E-2</v>
      </c>
      <c r="T180" s="29">
        <v>3.3000000000000002E-2</v>
      </c>
      <c r="U180" s="29">
        <v>3.2000000000000001E-2</v>
      </c>
      <c r="V180" s="29">
        <v>3.1E-2</v>
      </c>
      <c r="W180" s="117" t="s">
        <v>344</v>
      </c>
      <c r="X180" s="117" t="s">
        <v>344</v>
      </c>
    </row>
    <row r="181" spans="1:24" x14ac:dyDescent="0.2">
      <c r="A181" s="30" t="s">
        <v>207</v>
      </c>
      <c r="B181" s="16" t="s">
        <v>47</v>
      </c>
      <c r="C181" s="17" t="s">
        <v>21</v>
      </c>
      <c r="D181" s="29">
        <v>2.5000000000000001E-2</v>
      </c>
      <c r="E181" s="29">
        <v>2.5000000000000001E-2</v>
      </c>
      <c r="F181" s="29">
        <v>2.5000000000000001E-2</v>
      </c>
      <c r="G181" s="29">
        <v>2.7000000000000003E-2</v>
      </c>
      <c r="H181" s="29">
        <v>2.8999999999999998E-2</v>
      </c>
      <c r="I181" s="29">
        <v>2.8999999999999998E-2</v>
      </c>
      <c r="J181" s="29">
        <v>2.8999999999999998E-2</v>
      </c>
      <c r="K181" s="29">
        <v>3.1E-2</v>
      </c>
      <c r="L181" s="29">
        <v>3.4000000000000002E-2</v>
      </c>
      <c r="M181" s="29">
        <v>2.8999999999999998E-2</v>
      </c>
      <c r="N181" s="29">
        <v>2.7999999999999997E-2</v>
      </c>
      <c r="O181" s="29">
        <v>2.6000000000000002E-2</v>
      </c>
      <c r="P181" s="29">
        <v>0.03</v>
      </c>
      <c r="Q181" s="29">
        <v>0.03</v>
      </c>
      <c r="R181" s="29">
        <v>2.7999999999999997E-2</v>
      </c>
      <c r="S181" s="29">
        <v>2.7999999999999997E-2</v>
      </c>
      <c r="T181" s="29">
        <v>3.6000000000000004E-2</v>
      </c>
      <c r="U181" s="29">
        <v>3.7999999999999999E-2</v>
      </c>
      <c r="V181" s="29">
        <v>3.1E-2</v>
      </c>
      <c r="W181" s="117" t="s">
        <v>344</v>
      </c>
      <c r="X181" s="117" t="s">
        <v>344</v>
      </c>
    </row>
    <row r="182" spans="1:24" x14ac:dyDescent="0.2">
      <c r="A182" s="30" t="s">
        <v>207</v>
      </c>
      <c r="B182" s="16" t="s">
        <v>47</v>
      </c>
      <c r="C182" s="17" t="s">
        <v>27</v>
      </c>
      <c r="D182" s="29">
        <v>1.6E-2</v>
      </c>
      <c r="E182" s="29">
        <v>1.4999999999999999E-2</v>
      </c>
      <c r="F182" s="29">
        <v>1.7000000000000001E-2</v>
      </c>
      <c r="G182" s="29">
        <v>1.7000000000000001E-2</v>
      </c>
      <c r="H182" s="29">
        <v>1.9E-2</v>
      </c>
      <c r="I182" s="29">
        <v>2.1000000000000001E-2</v>
      </c>
      <c r="J182" s="29">
        <v>2.1000000000000001E-2</v>
      </c>
      <c r="K182" s="29">
        <v>2.1000000000000001E-2</v>
      </c>
      <c r="L182" s="29">
        <v>1.8000000000000002E-2</v>
      </c>
      <c r="M182" s="29">
        <v>1.9E-2</v>
      </c>
      <c r="N182" s="29">
        <v>2.3E-2</v>
      </c>
      <c r="O182" s="29">
        <v>2.1000000000000001E-2</v>
      </c>
      <c r="P182" s="29">
        <v>2.1000000000000001E-2</v>
      </c>
      <c r="Q182" s="29">
        <v>2.3E-2</v>
      </c>
      <c r="R182" s="29">
        <v>0.02</v>
      </c>
      <c r="S182" s="29">
        <v>2.2000000000000002E-2</v>
      </c>
      <c r="T182" s="29">
        <v>2.4E-2</v>
      </c>
      <c r="U182" s="29">
        <v>0.03</v>
      </c>
      <c r="V182" s="29">
        <v>2.8999999999999998E-2</v>
      </c>
      <c r="W182" s="117" t="s">
        <v>344</v>
      </c>
      <c r="X182" s="117" t="s">
        <v>344</v>
      </c>
    </row>
    <row r="183" spans="1:24" x14ac:dyDescent="0.2">
      <c r="A183" s="30" t="s">
        <v>207</v>
      </c>
      <c r="B183" s="16" t="s">
        <v>47</v>
      </c>
      <c r="C183" s="17" t="s">
        <v>28</v>
      </c>
      <c r="D183" s="29">
        <v>1.8000000000000002E-2</v>
      </c>
      <c r="E183" s="29">
        <v>1.8000000000000002E-2</v>
      </c>
      <c r="F183" s="29">
        <v>1.8000000000000002E-2</v>
      </c>
      <c r="G183" s="29">
        <v>1.9E-2</v>
      </c>
      <c r="H183" s="29">
        <v>1.8000000000000002E-2</v>
      </c>
      <c r="I183" s="29">
        <v>0.02</v>
      </c>
      <c r="J183" s="29">
        <v>2.1000000000000001E-2</v>
      </c>
      <c r="K183" s="29">
        <v>2.1000000000000001E-2</v>
      </c>
      <c r="L183" s="29">
        <v>2.2000000000000002E-2</v>
      </c>
      <c r="M183" s="29">
        <v>0.02</v>
      </c>
      <c r="N183" s="29">
        <v>0.02</v>
      </c>
      <c r="O183" s="29">
        <v>1.9E-2</v>
      </c>
      <c r="P183" s="29">
        <v>2.3E-2</v>
      </c>
      <c r="Q183" s="29">
        <v>2.5000000000000001E-2</v>
      </c>
      <c r="R183" s="29">
        <v>2.7000000000000003E-2</v>
      </c>
      <c r="S183" s="29">
        <v>2.6000000000000002E-2</v>
      </c>
      <c r="T183" s="29">
        <v>3.5000000000000003E-2</v>
      </c>
      <c r="U183" s="29">
        <v>3.3000000000000002E-2</v>
      </c>
      <c r="V183" s="29">
        <v>3.1E-2</v>
      </c>
      <c r="W183" s="117" t="s">
        <v>344</v>
      </c>
      <c r="X183" s="117" t="s">
        <v>344</v>
      </c>
    </row>
    <row r="184" spans="1:24" ht="31.5" customHeight="1" x14ac:dyDescent="0.2">
      <c r="A184" s="30" t="s">
        <v>207</v>
      </c>
      <c r="B184" s="17" t="s">
        <v>182</v>
      </c>
      <c r="C184" s="17" t="s">
        <v>54</v>
      </c>
      <c r="D184" s="29" t="s">
        <v>190</v>
      </c>
      <c r="E184" s="29" t="s">
        <v>190</v>
      </c>
      <c r="F184" s="29" t="s">
        <v>190</v>
      </c>
      <c r="G184" s="29" t="s">
        <v>190</v>
      </c>
      <c r="H184" s="29" t="s">
        <v>190</v>
      </c>
      <c r="I184" s="29" t="s">
        <v>190</v>
      </c>
      <c r="J184" s="29" t="s">
        <v>190</v>
      </c>
      <c r="K184" s="29" t="s">
        <v>190</v>
      </c>
      <c r="L184" s="29">
        <v>1.8000000000000002E-2</v>
      </c>
      <c r="M184" s="29">
        <v>1.8000000000000002E-2</v>
      </c>
      <c r="N184" s="29">
        <v>1.8000000000000002E-2</v>
      </c>
      <c r="O184" s="29">
        <v>1.8000000000000002E-2</v>
      </c>
      <c r="P184" s="29">
        <v>2.2000000000000002E-2</v>
      </c>
      <c r="Q184" s="29">
        <v>2.3E-2</v>
      </c>
      <c r="R184" s="29">
        <v>2.3E-2</v>
      </c>
      <c r="S184" s="29">
        <v>2.2000000000000002E-2</v>
      </c>
      <c r="T184" s="29">
        <v>2.4E-2</v>
      </c>
      <c r="U184" s="29">
        <v>2.6000000000000002E-2</v>
      </c>
      <c r="V184" s="65">
        <v>2.7999999999999997E-2</v>
      </c>
      <c r="W184" s="117" t="s">
        <v>344</v>
      </c>
      <c r="X184" s="117" t="s">
        <v>344</v>
      </c>
    </row>
    <row r="185" spans="1:24" x14ac:dyDescent="0.2">
      <c r="A185" s="30" t="s">
        <v>207</v>
      </c>
      <c r="B185" s="16" t="s">
        <v>182</v>
      </c>
      <c r="C185" s="16" t="s">
        <v>55</v>
      </c>
      <c r="D185" s="29" t="s">
        <v>190</v>
      </c>
      <c r="E185" s="29" t="s">
        <v>190</v>
      </c>
      <c r="F185" s="29" t="s">
        <v>190</v>
      </c>
      <c r="G185" s="29" t="s">
        <v>190</v>
      </c>
      <c r="H185" s="29" t="s">
        <v>190</v>
      </c>
      <c r="I185" s="29" t="s">
        <v>190</v>
      </c>
      <c r="J185" s="29" t="s">
        <v>190</v>
      </c>
      <c r="K185" s="29" t="s">
        <v>190</v>
      </c>
      <c r="L185" s="29" t="s">
        <v>256</v>
      </c>
      <c r="M185" s="29" t="s">
        <v>256</v>
      </c>
      <c r="N185" s="29">
        <v>0.109</v>
      </c>
      <c r="O185" s="29">
        <v>0.11199999999999999</v>
      </c>
      <c r="P185" s="29">
        <v>0.126</v>
      </c>
      <c r="Q185" s="29">
        <v>8.8000000000000009E-2</v>
      </c>
      <c r="R185" s="29" t="s">
        <v>256</v>
      </c>
      <c r="S185" s="29" t="s">
        <v>256</v>
      </c>
      <c r="T185" s="29" t="s">
        <v>256</v>
      </c>
      <c r="U185" s="29" t="s">
        <v>208</v>
      </c>
      <c r="V185" s="29" t="s">
        <v>256</v>
      </c>
      <c r="W185" s="117" t="s">
        <v>344</v>
      </c>
      <c r="X185" s="117" t="s">
        <v>344</v>
      </c>
    </row>
    <row r="186" spans="1:24" x14ac:dyDescent="0.2">
      <c r="A186" s="30" t="s">
        <v>207</v>
      </c>
      <c r="B186" s="16" t="s">
        <v>182</v>
      </c>
      <c r="C186" s="16" t="s">
        <v>56</v>
      </c>
      <c r="D186" s="29" t="s">
        <v>190</v>
      </c>
      <c r="E186" s="29" t="s">
        <v>190</v>
      </c>
      <c r="F186" s="29" t="s">
        <v>190</v>
      </c>
      <c r="G186" s="29" t="s">
        <v>190</v>
      </c>
      <c r="H186" s="29" t="s">
        <v>190</v>
      </c>
      <c r="I186" s="29" t="s">
        <v>190</v>
      </c>
      <c r="J186" s="29" t="s">
        <v>190</v>
      </c>
      <c r="K186" s="29" t="s">
        <v>190</v>
      </c>
      <c r="L186" s="29">
        <v>3.7000000000000005E-2</v>
      </c>
      <c r="M186" s="29">
        <v>0.05</v>
      </c>
      <c r="N186" s="29">
        <v>5.5E-2</v>
      </c>
      <c r="O186" s="29">
        <v>4.8000000000000001E-2</v>
      </c>
      <c r="P186" s="29">
        <v>4.8000000000000001E-2</v>
      </c>
      <c r="Q186" s="29">
        <v>4.9000000000000002E-2</v>
      </c>
      <c r="R186" s="29">
        <v>4.2999999999999997E-2</v>
      </c>
      <c r="S186" s="29">
        <v>4.8000000000000001E-2</v>
      </c>
      <c r="T186" s="29">
        <v>5.0999999999999997E-2</v>
      </c>
      <c r="U186" s="29">
        <v>5.0999999999999997E-2</v>
      </c>
      <c r="V186" s="65">
        <v>6.9000000000000006E-2</v>
      </c>
      <c r="W186" s="117" t="s">
        <v>344</v>
      </c>
      <c r="X186" s="117" t="s">
        <v>344</v>
      </c>
    </row>
    <row r="187" spans="1:24" x14ac:dyDescent="0.2">
      <c r="A187" s="30" t="s">
        <v>207</v>
      </c>
      <c r="B187" s="16" t="s">
        <v>182</v>
      </c>
      <c r="C187" s="16" t="s">
        <v>57</v>
      </c>
      <c r="D187" s="29" t="s">
        <v>190</v>
      </c>
      <c r="E187" s="29" t="s">
        <v>190</v>
      </c>
      <c r="F187" s="29" t="s">
        <v>190</v>
      </c>
      <c r="G187" s="29" t="s">
        <v>190</v>
      </c>
      <c r="H187" s="29" t="s">
        <v>190</v>
      </c>
      <c r="I187" s="29" t="s">
        <v>190</v>
      </c>
      <c r="J187" s="29" t="s">
        <v>190</v>
      </c>
      <c r="K187" s="29" t="s">
        <v>190</v>
      </c>
      <c r="L187" s="29">
        <v>0.14000000000000001</v>
      </c>
      <c r="M187" s="29">
        <v>0.16800000000000001</v>
      </c>
      <c r="N187" s="29" t="s">
        <v>256</v>
      </c>
      <c r="O187" s="29" t="s">
        <v>256</v>
      </c>
      <c r="P187" s="29" t="s">
        <v>256</v>
      </c>
      <c r="Q187" s="29" t="s">
        <v>256</v>
      </c>
      <c r="R187" s="29" t="s">
        <v>256</v>
      </c>
      <c r="S187" s="29" t="s">
        <v>256</v>
      </c>
      <c r="T187" s="29" t="s">
        <v>256</v>
      </c>
      <c r="U187" s="29" t="s">
        <v>256</v>
      </c>
      <c r="V187" s="29" t="s">
        <v>256</v>
      </c>
      <c r="W187" s="117" t="s">
        <v>344</v>
      </c>
      <c r="X187" s="117" t="s">
        <v>344</v>
      </c>
    </row>
    <row r="188" spans="1:24" x14ac:dyDescent="0.2">
      <c r="A188" s="30" t="s">
        <v>207</v>
      </c>
      <c r="B188" s="16" t="s">
        <v>182</v>
      </c>
      <c r="C188" s="16" t="s">
        <v>58</v>
      </c>
      <c r="D188" s="29" t="s">
        <v>190</v>
      </c>
      <c r="E188" s="29" t="s">
        <v>190</v>
      </c>
      <c r="F188" s="29" t="s">
        <v>190</v>
      </c>
      <c r="G188" s="29" t="s">
        <v>190</v>
      </c>
      <c r="H188" s="29" t="s">
        <v>190</v>
      </c>
      <c r="I188" s="29" t="s">
        <v>190</v>
      </c>
      <c r="J188" s="29" t="s">
        <v>190</v>
      </c>
      <c r="K188" s="29" t="s">
        <v>190</v>
      </c>
      <c r="L188" s="29">
        <v>2.4E-2</v>
      </c>
      <c r="M188" s="29">
        <v>2.4E-2</v>
      </c>
      <c r="N188" s="29">
        <v>2.4E-2</v>
      </c>
      <c r="O188" s="29">
        <v>2.3E-2</v>
      </c>
      <c r="P188" s="29">
        <v>2.5000000000000001E-2</v>
      </c>
      <c r="Q188" s="29">
        <v>2.7000000000000003E-2</v>
      </c>
      <c r="R188" s="29">
        <v>2.7999999999999997E-2</v>
      </c>
      <c r="S188" s="29">
        <v>0.03</v>
      </c>
      <c r="T188" s="29">
        <v>3.4000000000000002E-2</v>
      </c>
      <c r="U188" s="29">
        <v>3.7000000000000005E-2</v>
      </c>
      <c r="V188" s="65">
        <v>3.5000000000000003E-2</v>
      </c>
      <c r="W188" s="117" t="s">
        <v>344</v>
      </c>
      <c r="X188" s="117" t="s">
        <v>344</v>
      </c>
    </row>
    <row r="189" spans="1:24" x14ac:dyDescent="0.2">
      <c r="A189" s="30" t="s">
        <v>207</v>
      </c>
      <c r="B189" s="16" t="s">
        <v>182</v>
      </c>
      <c r="C189" s="16" t="s">
        <v>96</v>
      </c>
      <c r="D189" s="29" t="s">
        <v>190</v>
      </c>
      <c r="E189" s="29" t="s">
        <v>190</v>
      </c>
      <c r="F189" s="29" t="s">
        <v>190</v>
      </c>
      <c r="G189" s="29" t="s">
        <v>190</v>
      </c>
      <c r="H189" s="29" t="s">
        <v>190</v>
      </c>
      <c r="I189" s="29" t="s">
        <v>190</v>
      </c>
      <c r="J189" s="29" t="s">
        <v>190</v>
      </c>
      <c r="K189" s="29" t="s">
        <v>190</v>
      </c>
      <c r="L189" s="29">
        <v>7.400000000000001E-2</v>
      </c>
      <c r="M189" s="29">
        <v>5.9000000000000004E-2</v>
      </c>
      <c r="N189" s="29">
        <v>6.6000000000000003E-2</v>
      </c>
      <c r="O189" s="29">
        <v>7.400000000000001E-2</v>
      </c>
      <c r="P189" s="29">
        <v>8.900000000000001E-2</v>
      </c>
      <c r="Q189" s="29">
        <v>8.5999999999999993E-2</v>
      </c>
      <c r="R189" s="29">
        <v>8.6999999999999994E-2</v>
      </c>
      <c r="S189" s="29">
        <v>0.10199999999999999</v>
      </c>
      <c r="T189" s="29">
        <v>0.13500000000000001</v>
      </c>
      <c r="U189" s="29">
        <v>0.13500000000000001</v>
      </c>
      <c r="V189" s="65">
        <v>9.9000000000000005E-2</v>
      </c>
      <c r="W189" s="117" t="s">
        <v>344</v>
      </c>
      <c r="X189" s="117" t="s">
        <v>344</v>
      </c>
    </row>
    <row r="190" spans="1:24" x14ac:dyDescent="0.2">
      <c r="A190" s="30" t="s">
        <v>207</v>
      </c>
      <c r="B190" s="16" t="s">
        <v>182</v>
      </c>
      <c r="C190" s="16" t="s">
        <v>59</v>
      </c>
      <c r="D190" s="29" t="s">
        <v>190</v>
      </c>
      <c r="E190" s="29" t="s">
        <v>190</v>
      </c>
      <c r="F190" s="29" t="s">
        <v>190</v>
      </c>
      <c r="G190" s="29" t="s">
        <v>190</v>
      </c>
      <c r="H190" s="29" t="s">
        <v>190</v>
      </c>
      <c r="I190" s="29" t="s">
        <v>190</v>
      </c>
      <c r="J190" s="29" t="s">
        <v>190</v>
      </c>
      <c r="K190" s="29" t="s">
        <v>190</v>
      </c>
      <c r="L190" s="29" t="s">
        <v>256</v>
      </c>
      <c r="M190" s="29" t="s">
        <v>256</v>
      </c>
      <c r="N190" s="29" t="s">
        <v>256</v>
      </c>
      <c r="O190" s="29" t="s">
        <v>256</v>
      </c>
      <c r="P190" s="29" t="s">
        <v>256</v>
      </c>
      <c r="Q190" s="29" t="s">
        <v>256</v>
      </c>
      <c r="R190" s="29" t="s">
        <v>256</v>
      </c>
      <c r="S190" s="29" t="s">
        <v>256</v>
      </c>
      <c r="T190" s="29" t="s">
        <v>256</v>
      </c>
      <c r="U190" s="29" t="s">
        <v>256</v>
      </c>
      <c r="V190" s="29" t="s">
        <v>256</v>
      </c>
      <c r="W190" s="117" t="s">
        <v>344</v>
      </c>
      <c r="X190" s="117" t="s">
        <v>344</v>
      </c>
    </row>
    <row r="191" spans="1:24" x14ac:dyDescent="0.2">
      <c r="A191" s="30" t="s">
        <v>207</v>
      </c>
      <c r="B191" s="16" t="s">
        <v>182</v>
      </c>
      <c r="C191" s="16" t="s">
        <v>60</v>
      </c>
      <c r="D191" s="29" t="s">
        <v>190</v>
      </c>
      <c r="E191" s="29" t="s">
        <v>190</v>
      </c>
      <c r="F191" s="29" t="s">
        <v>190</v>
      </c>
      <c r="G191" s="29" t="s">
        <v>190</v>
      </c>
      <c r="H191" s="29" t="s">
        <v>190</v>
      </c>
      <c r="I191" s="29" t="s">
        <v>190</v>
      </c>
      <c r="J191" s="29" t="s">
        <v>190</v>
      </c>
      <c r="K191" s="29" t="s">
        <v>190</v>
      </c>
      <c r="L191" s="29">
        <v>0.122</v>
      </c>
      <c r="M191" s="29">
        <v>0.107</v>
      </c>
      <c r="N191" s="29" t="s">
        <v>256</v>
      </c>
      <c r="O191" s="29" t="s">
        <v>256</v>
      </c>
      <c r="P191" s="29">
        <v>0.113</v>
      </c>
      <c r="Q191" s="29">
        <v>0.106</v>
      </c>
      <c r="R191" s="29">
        <v>0.14000000000000001</v>
      </c>
      <c r="S191" s="29">
        <v>0.124</v>
      </c>
      <c r="T191" s="29" t="s">
        <v>256</v>
      </c>
      <c r="U191" s="29" t="s">
        <v>208</v>
      </c>
      <c r="V191" s="29" t="s">
        <v>208</v>
      </c>
      <c r="W191" s="117" t="s">
        <v>344</v>
      </c>
      <c r="X191" s="117" t="s">
        <v>344</v>
      </c>
    </row>
    <row r="192" spans="1:24" x14ac:dyDescent="0.2">
      <c r="A192" s="30" t="s">
        <v>207</v>
      </c>
      <c r="B192" s="16" t="s">
        <v>182</v>
      </c>
      <c r="C192" s="16" t="s">
        <v>97</v>
      </c>
      <c r="D192" s="29" t="s">
        <v>190</v>
      </c>
      <c r="E192" s="29" t="s">
        <v>190</v>
      </c>
      <c r="F192" s="29" t="s">
        <v>190</v>
      </c>
      <c r="G192" s="29" t="s">
        <v>190</v>
      </c>
      <c r="H192" s="29" t="s">
        <v>190</v>
      </c>
      <c r="I192" s="29" t="s">
        <v>190</v>
      </c>
      <c r="J192" s="29" t="s">
        <v>190</v>
      </c>
      <c r="K192" s="29" t="s">
        <v>190</v>
      </c>
      <c r="L192" s="29" t="s">
        <v>256</v>
      </c>
      <c r="M192" s="29" t="s">
        <v>256</v>
      </c>
      <c r="N192" s="29" t="s">
        <v>256</v>
      </c>
      <c r="O192" s="29">
        <v>0.10099999999999999</v>
      </c>
      <c r="P192" s="29">
        <v>0.122</v>
      </c>
      <c r="Q192" s="29">
        <v>0.13300000000000001</v>
      </c>
      <c r="R192" s="29" t="s">
        <v>256</v>
      </c>
      <c r="S192" s="29" t="s">
        <v>256</v>
      </c>
      <c r="T192" s="29" t="s">
        <v>256</v>
      </c>
      <c r="U192" s="29" t="s">
        <v>256</v>
      </c>
      <c r="V192" s="29" t="s">
        <v>256</v>
      </c>
      <c r="W192" s="117" t="s">
        <v>344</v>
      </c>
      <c r="X192" s="117" t="s">
        <v>344</v>
      </c>
    </row>
    <row r="193" spans="1:24" x14ac:dyDescent="0.2">
      <c r="A193" s="30" t="s">
        <v>207</v>
      </c>
      <c r="B193" s="16" t="s">
        <v>182</v>
      </c>
      <c r="C193" s="16" t="s">
        <v>61</v>
      </c>
      <c r="D193" s="29" t="s">
        <v>190</v>
      </c>
      <c r="E193" s="29" t="s">
        <v>190</v>
      </c>
      <c r="F193" s="29" t="s">
        <v>190</v>
      </c>
      <c r="G193" s="29" t="s">
        <v>190</v>
      </c>
      <c r="H193" s="29" t="s">
        <v>190</v>
      </c>
      <c r="I193" s="29" t="s">
        <v>190</v>
      </c>
      <c r="J193" s="29" t="s">
        <v>190</v>
      </c>
      <c r="K193" s="29" t="s">
        <v>190</v>
      </c>
      <c r="L193" s="29">
        <v>9.9000000000000005E-2</v>
      </c>
      <c r="M193" s="29">
        <v>0.09</v>
      </c>
      <c r="N193" s="29">
        <v>9.6999999999999989E-2</v>
      </c>
      <c r="O193" s="29">
        <v>8.900000000000001E-2</v>
      </c>
      <c r="P193" s="29">
        <v>0.106</v>
      </c>
      <c r="Q193" s="29">
        <v>9.6999999999999989E-2</v>
      </c>
      <c r="R193" s="29">
        <v>0.10800000000000001</v>
      </c>
      <c r="S193" s="29">
        <v>0.122</v>
      </c>
      <c r="T193" s="29">
        <v>0.14499999999999999</v>
      </c>
      <c r="U193" s="29">
        <v>0.11199999999999999</v>
      </c>
      <c r="V193" s="65">
        <v>0.11199999999999999</v>
      </c>
      <c r="W193" s="117" t="s">
        <v>344</v>
      </c>
      <c r="X193" s="117" t="s">
        <v>344</v>
      </c>
    </row>
    <row r="194" spans="1:24" x14ac:dyDescent="0.2">
      <c r="A194" s="30" t="s">
        <v>207</v>
      </c>
      <c r="B194" s="16" t="s">
        <v>182</v>
      </c>
      <c r="C194" s="16" t="s">
        <v>62</v>
      </c>
      <c r="D194" s="29" t="s">
        <v>190</v>
      </c>
      <c r="E194" s="29" t="s">
        <v>190</v>
      </c>
      <c r="F194" s="29" t="s">
        <v>190</v>
      </c>
      <c r="G194" s="29" t="s">
        <v>190</v>
      </c>
      <c r="H194" s="29" t="s">
        <v>190</v>
      </c>
      <c r="I194" s="29" t="s">
        <v>190</v>
      </c>
      <c r="J194" s="29" t="s">
        <v>190</v>
      </c>
      <c r="K194" s="29" t="s">
        <v>190</v>
      </c>
      <c r="L194" s="29">
        <v>2.4E-2</v>
      </c>
      <c r="M194" s="29">
        <v>2.3E-2</v>
      </c>
      <c r="N194" s="29">
        <v>2.7000000000000003E-2</v>
      </c>
      <c r="O194" s="29">
        <v>2.4E-2</v>
      </c>
      <c r="P194" s="29">
        <v>2.5000000000000001E-2</v>
      </c>
      <c r="Q194" s="29">
        <v>2.5000000000000001E-2</v>
      </c>
      <c r="R194" s="29">
        <v>2.4E-2</v>
      </c>
      <c r="S194" s="29">
        <v>2.7000000000000003E-2</v>
      </c>
      <c r="T194" s="29">
        <v>2.8999999999999998E-2</v>
      </c>
      <c r="U194" s="29">
        <v>3.2000000000000001E-2</v>
      </c>
      <c r="V194" s="65">
        <v>3.6000000000000004E-2</v>
      </c>
      <c r="W194" s="117" t="s">
        <v>344</v>
      </c>
      <c r="X194" s="117" t="s">
        <v>344</v>
      </c>
    </row>
    <row r="195" spans="1:24" x14ac:dyDescent="0.2">
      <c r="A195" s="30" t="s">
        <v>207</v>
      </c>
      <c r="B195" s="16" t="s">
        <v>182</v>
      </c>
      <c r="C195" s="16" t="s">
        <v>63</v>
      </c>
      <c r="D195" s="29" t="s">
        <v>190</v>
      </c>
      <c r="E195" s="29" t="s">
        <v>190</v>
      </c>
      <c r="F195" s="29" t="s">
        <v>190</v>
      </c>
      <c r="G195" s="29" t="s">
        <v>190</v>
      </c>
      <c r="H195" s="29" t="s">
        <v>190</v>
      </c>
      <c r="I195" s="29" t="s">
        <v>190</v>
      </c>
      <c r="J195" s="29" t="s">
        <v>190</v>
      </c>
      <c r="K195" s="29" t="s">
        <v>190</v>
      </c>
      <c r="L195" s="29">
        <v>3.6000000000000004E-2</v>
      </c>
      <c r="M195" s="29">
        <v>3.4000000000000002E-2</v>
      </c>
      <c r="N195" s="29">
        <v>3.4000000000000002E-2</v>
      </c>
      <c r="O195" s="29">
        <v>3.4000000000000002E-2</v>
      </c>
      <c r="P195" s="29">
        <v>3.5000000000000003E-2</v>
      </c>
      <c r="Q195" s="29">
        <v>3.9E-2</v>
      </c>
      <c r="R195" s="29">
        <v>4.2999999999999997E-2</v>
      </c>
      <c r="S195" s="29">
        <v>4.2000000000000003E-2</v>
      </c>
      <c r="T195" s="29">
        <v>5.2999999999999999E-2</v>
      </c>
      <c r="U195" s="29">
        <v>0.05</v>
      </c>
      <c r="V195" s="65">
        <v>6.0999999999999999E-2</v>
      </c>
      <c r="W195" s="117" t="s">
        <v>344</v>
      </c>
      <c r="X195" s="117" t="s">
        <v>344</v>
      </c>
    </row>
    <row r="196" spans="1:24" x14ac:dyDescent="0.2">
      <c r="A196" s="30" t="s">
        <v>207</v>
      </c>
      <c r="B196" s="16" t="s">
        <v>182</v>
      </c>
      <c r="C196" s="16" t="s">
        <v>64</v>
      </c>
      <c r="D196" s="29" t="s">
        <v>190</v>
      </c>
      <c r="E196" s="29" t="s">
        <v>190</v>
      </c>
      <c r="F196" s="29" t="s">
        <v>190</v>
      </c>
      <c r="G196" s="29" t="s">
        <v>190</v>
      </c>
      <c r="H196" s="29" t="s">
        <v>190</v>
      </c>
      <c r="I196" s="29" t="s">
        <v>190</v>
      </c>
      <c r="J196" s="29" t="s">
        <v>190</v>
      </c>
      <c r="K196" s="29" t="s">
        <v>190</v>
      </c>
      <c r="L196" s="29">
        <v>1.7000000000000001E-2</v>
      </c>
      <c r="M196" s="29">
        <v>1.6E-2</v>
      </c>
      <c r="N196" s="29">
        <v>1.9E-2</v>
      </c>
      <c r="O196" s="29">
        <v>0.02</v>
      </c>
      <c r="P196" s="29">
        <v>2.1000000000000001E-2</v>
      </c>
      <c r="Q196" s="29">
        <v>0.02</v>
      </c>
      <c r="R196" s="29">
        <v>1.8000000000000002E-2</v>
      </c>
      <c r="S196" s="29">
        <v>0.02</v>
      </c>
      <c r="T196" s="29">
        <v>2.1000000000000001E-2</v>
      </c>
      <c r="U196" s="29">
        <v>2.4E-2</v>
      </c>
      <c r="V196" s="65">
        <v>0.02</v>
      </c>
      <c r="W196" s="117" t="s">
        <v>344</v>
      </c>
      <c r="X196" s="117" t="s">
        <v>344</v>
      </c>
    </row>
    <row r="197" spans="1:24" x14ac:dyDescent="0.2">
      <c r="A197" s="30" t="s">
        <v>207</v>
      </c>
      <c r="B197" s="16" t="s">
        <v>182</v>
      </c>
      <c r="C197" s="16" t="s">
        <v>65</v>
      </c>
      <c r="D197" s="29" t="s">
        <v>190</v>
      </c>
      <c r="E197" s="29" t="s">
        <v>190</v>
      </c>
      <c r="F197" s="29" t="s">
        <v>190</v>
      </c>
      <c r="G197" s="29" t="s">
        <v>190</v>
      </c>
      <c r="H197" s="29" t="s">
        <v>190</v>
      </c>
      <c r="I197" s="29" t="s">
        <v>190</v>
      </c>
      <c r="J197" s="29" t="s">
        <v>190</v>
      </c>
      <c r="K197" s="29" t="s">
        <v>190</v>
      </c>
      <c r="L197" s="29">
        <v>2.4E-2</v>
      </c>
      <c r="M197" s="29">
        <v>2.2000000000000002E-2</v>
      </c>
      <c r="N197" s="29">
        <v>2.3E-2</v>
      </c>
      <c r="O197" s="29">
        <v>2.4E-2</v>
      </c>
      <c r="P197" s="29">
        <v>0.03</v>
      </c>
      <c r="Q197" s="29">
        <v>2.6000000000000002E-2</v>
      </c>
      <c r="R197" s="29">
        <v>2.7000000000000003E-2</v>
      </c>
      <c r="S197" s="29">
        <v>0.03</v>
      </c>
      <c r="T197" s="29">
        <v>2.7999999999999997E-2</v>
      </c>
      <c r="U197" s="29">
        <v>2.7000000000000003E-2</v>
      </c>
      <c r="V197" s="65">
        <v>3.4000000000000002E-2</v>
      </c>
      <c r="W197" s="117" t="s">
        <v>344</v>
      </c>
      <c r="X197" s="117" t="s">
        <v>344</v>
      </c>
    </row>
    <row r="198" spans="1:24" x14ac:dyDescent="0.2">
      <c r="A198" s="30" t="s">
        <v>207</v>
      </c>
      <c r="B198" s="16" t="s">
        <v>182</v>
      </c>
      <c r="C198" s="16" t="s">
        <v>66</v>
      </c>
      <c r="D198" s="29" t="s">
        <v>190</v>
      </c>
      <c r="E198" s="29" t="s">
        <v>190</v>
      </c>
      <c r="F198" s="29" t="s">
        <v>190</v>
      </c>
      <c r="G198" s="29" t="s">
        <v>190</v>
      </c>
      <c r="H198" s="29" t="s">
        <v>190</v>
      </c>
      <c r="I198" s="29" t="s">
        <v>190</v>
      </c>
      <c r="J198" s="29" t="s">
        <v>190</v>
      </c>
      <c r="K198" s="29" t="s">
        <v>190</v>
      </c>
      <c r="L198" s="29">
        <v>7.2000000000000008E-2</v>
      </c>
      <c r="M198" s="29">
        <v>6.7000000000000004E-2</v>
      </c>
      <c r="N198" s="29">
        <v>6.7000000000000004E-2</v>
      </c>
      <c r="O198" s="29">
        <v>7.2000000000000008E-2</v>
      </c>
      <c r="P198" s="29">
        <v>0.08</v>
      </c>
      <c r="Q198" s="29">
        <v>6.9000000000000006E-2</v>
      </c>
      <c r="R198" s="29">
        <v>7.4999999999999997E-2</v>
      </c>
      <c r="S198" s="29">
        <v>7.9000000000000001E-2</v>
      </c>
      <c r="T198" s="29">
        <v>9.5000000000000001E-2</v>
      </c>
      <c r="U198" s="29">
        <v>9.9000000000000005E-2</v>
      </c>
      <c r="V198" s="65">
        <v>9.6999999999999989E-2</v>
      </c>
      <c r="W198" s="117" t="s">
        <v>344</v>
      </c>
      <c r="X198" s="117" t="s">
        <v>344</v>
      </c>
    </row>
    <row r="199" spans="1:24" x14ac:dyDescent="0.2">
      <c r="A199" s="30" t="s">
        <v>207</v>
      </c>
      <c r="B199" s="16" t="s">
        <v>182</v>
      </c>
      <c r="C199" s="16" t="s">
        <v>67</v>
      </c>
      <c r="D199" s="29" t="s">
        <v>190</v>
      </c>
      <c r="E199" s="29" t="s">
        <v>190</v>
      </c>
      <c r="F199" s="29" t="s">
        <v>190</v>
      </c>
      <c r="G199" s="29" t="s">
        <v>190</v>
      </c>
      <c r="H199" s="29" t="s">
        <v>190</v>
      </c>
      <c r="I199" s="29" t="s">
        <v>190</v>
      </c>
      <c r="J199" s="29" t="s">
        <v>190</v>
      </c>
      <c r="K199" s="29" t="s">
        <v>190</v>
      </c>
      <c r="L199" s="29">
        <v>1.6E-2</v>
      </c>
      <c r="M199" s="29">
        <v>1.6E-2</v>
      </c>
      <c r="N199" s="29">
        <v>1.4999999999999999E-2</v>
      </c>
      <c r="O199" s="29">
        <v>1.6E-2</v>
      </c>
      <c r="P199" s="29">
        <v>1.8000000000000002E-2</v>
      </c>
      <c r="Q199" s="29">
        <v>1.6E-2</v>
      </c>
      <c r="R199" s="29">
        <v>1.4999999999999999E-2</v>
      </c>
      <c r="S199" s="29">
        <v>1.6E-2</v>
      </c>
      <c r="T199" s="29">
        <v>1.8000000000000002E-2</v>
      </c>
      <c r="U199" s="29">
        <v>0.02</v>
      </c>
      <c r="V199" s="65">
        <v>0.02</v>
      </c>
      <c r="W199" s="117" t="s">
        <v>344</v>
      </c>
      <c r="X199" s="117" t="s">
        <v>344</v>
      </c>
    </row>
    <row r="200" spans="1:24" x14ac:dyDescent="0.2">
      <c r="A200" s="30" t="s">
        <v>207</v>
      </c>
      <c r="B200" s="16" t="s">
        <v>182</v>
      </c>
      <c r="C200" s="16" t="s">
        <v>68</v>
      </c>
      <c r="D200" s="29" t="s">
        <v>190</v>
      </c>
      <c r="E200" s="29" t="s">
        <v>190</v>
      </c>
      <c r="F200" s="29" t="s">
        <v>190</v>
      </c>
      <c r="G200" s="29" t="s">
        <v>190</v>
      </c>
      <c r="H200" s="29" t="s">
        <v>190</v>
      </c>
      <c r="I200" s="29" t="s">
        <v>190</v>
      </c>
      <c r="J200" s="29" t="s">
        <v>190</v>
      </c>
      <c r="K200" s="29" t="s">
        <v>190</v>
      </c>
      <c r="L200" s="29">
        <v>2.3E-2</v>
      </c>
      <c r="M200" s="29">
        <v>2.2000000000000002E-2</v>
      </c>
      <c r="N200" s="29">
        <v>2.3E-2</v>
      </c>
      <c r="O200" s="29">
        <v>2.7000000000000003E-2</v>
      </c>
      <c r="P200" s="29">
        <v>3.1E-2</v>
      </c>
      <c r="Q200" s="29">
        <v>0.03</v>
      </c>
      <c r="R200" s="29">
        <v>3.2000000000000001E-2</v>
      </c>
      <c r="S200" s="29">
        <v>0.03</v>
      </c>
      <c r="T200" s="29">
        <v>3.4000000000000002E-2</v>
      </c>
      <c r="U200" s="29">
        <v>0.04</v>
      </c>
      <c r="V200" s="65">
        <v>3.7999999999999999E-2</v>
      </c>
      <c r="W200" s="117" t="s">
        <v>344</v>
      </c>
      <c r="X200" s="117" t="s">
        <v>344</v>
      </c>
    </row>
    <row r="201" spans="1:24" x14ac:dyDescent="0.2">
      <c r="A201" s="30" t="s">
        <v>207</v>
      </c>
      <c r="B201" s="16" t="s">
        <v>182</v>
      </c>
      <c r="C201" s="16" t="s">
        <v>69</v>
      </c>
      <c r="D201" s="29" t="s">
        <v>190</v>
      </c>
      <c r="E201" s="29" t="s">
        <v>190</v>
      </c>
      <c r="F201" s="29" t="s">
        <v>190</v>
      </c>
      <c r="G201" s="29" t="s">
        <v>190</v>
      </c>
      <c r="H201" s="29" t="s">
        <v>190</v>
      </c>
      <c r="I201" s="29" t="s">
        <v>190</v>
      </c>
      <c r="J201" s="29" t="s">
        <v>190</v>
      </c>
      <c r="K201" s="29" t="s">
        <v>190</v>
      </c>
      <c r="L201" s="29">
        <v>1.7000000000000001E-2</v>
      </c>
      <c r="M201" s="29">
        <v>1.6E-2</v>
      </c>
      <c r="N201" s="29">
        <v>1.7000000000000001E-2</v>
      </c>
      <c r="O201" s="29">
        <v>1.4999999999999999E-2</v>
      </c>
      <c r="P201" s="29">
        <v>1.7000000000000001E-2</v>
      </c>
      <c r="Q201" s="29">
        <v>1.7000000000000001E-2</v>
      </c>
      <c r="R201" s="29">
        <v>1.4999999999999999E-2</v>
      </c>
      <c r="S201" s="29">
        <v>1.6E-2</v>
      </c>
      <c r="T201" s="29">
        <v>2.1000000000000001E-2</v>
      </c>
      <c r="U201" s="29">
        <v>2.4E-2</v>
      </c>
      <c r="V201" s="65">
        <v>0.02</v>
      </c>
      <c r="W201" s="117" t="s">
        <v>344</v>
      </c>
      <c r="X201" s="117" t="s">
        <v>344</v>
      </c>
    </row>
    <row r="202" spans="1:24" x14ac:dyDescent="0.2">
      <c r="A202" s="30" t="s">
        <v>207</v>
      </c>
      <c r="B202" s="16" t="s">
        <v>182</v>
      </c>
      <c r="C202" s="16" t="s">
        <v>70</v>
      </c>
      <c r="D202" s="29" t="s">
        <v>190</v>
      </c>
      <c r="E202" s="29" t="s">
        <v>190</v>
      </c>
      <c r="F202" s="29" t="s">
        <v>190</v>
      </c>
      <c r="G202" s="29" t="s">
        <v>190</v>
      </c>
      <c r="H202" s="29" t="s">
        <v>190</v>
      </c>
      <c r="I202" s="29" t="s">
        <v>190</v>
      </c>
      <c r="J202" s="29" t="s">
        <v>190</v>
      </c>
      <c r="K202" s="29" t="s">
        <v>190</v>
      </c>
      <c r="L202" s="29">
        <v>0.10400000000000001</v>
      </c>
      <c r="M202" s="29">
        <v>0.10099999999999999</v>
      </c>
      <c r="N202" s="29" t="s">
        <v>256</v>
      </c>
      <c r="O202" s="29" t="s">
        <v>256</v>
      </c>
      <c r="P202" s="29" t="s">
        <v>256</v>
      </c>
      <c r="Q202" s="29" t="s">
        <v>256</v>
      </c>
      <c r="R202" s="29" t="s">
        <v>256</v>
      </c>
      <c r="S202" s="29" t="s">
        <v>256</v>
      </c>
      <c r="T202" s="29" t="s">
        <v>256</v>
      </c>
      <c r="U202" s="29" t="s">
        <v>208</v>
      </c>
      <c r="V202" s="29" t="s">
        <v>256</v>
      </c>
      <c r="W202" s="117" t="s">
        <v>344</v>
      </c>
      <c r="X202" s="117" t="s">
        <v>344</v>
      </c>
    </row>
    <row r="203" spans="1:24" x14ac:dyDescent="0.2">
      <c r="A203" s="30" t="s">
        <v>207</v>
      </c>
      <c r="B203" s="16" t="s">
        <v>182</v>
      </c>
      <c r="C203" s="16" t="s">
        <v>71</v>
      </c>
      <c r="D203" s="29" t="s">
        <v>190</v>
      </c>
      <c r="E203" s="29" t="s">
        <v>190</v>
      </c>
      <c r="F203" s="29" t="s">
        <v>190</v>
      </c>
      <c r="G203" s="29" t="s">
        <v>190</v>
      </c>
      <c r="H203" s="29" t="s">
        <v>190</v>
      </c>
      <c r="I203" s="29" t="s">
        <v>190</v>
      </c>
      <c r="J203" s="29" t="s">
        <v>190</v>
      </c>
      <c r="K203" s="29" t="s">
        <v>190</v>
      </c>
      <c r="L203" s="29" t="s">
        <v>256</v>
      </c>
      <c r="M203" s="29" t="s">
        <v>256</v>
      </c>
      <c r="N203" s="29" t="s">
        <v>256</v>
      </c>
      <c r="O203" s="29" t="s">
        <v>256</v>
      </c>
      <c r="P203" s="29" t="s">
        <v>208</v>
      </c>
      <c r="Q203" s="29" t="s">
        <v>256</v>
      </c>
      <c r="R203" s="29" t="s">
        <v>208</v>
      </c>
      <c r="S203" s="29" t="s">
        <v>256</v>
      </c>
      <c r="T203" s="29" t="s">
        <v>256</v>
      </c>
      <c r="U203" s="29" t="s">
        <v>208</v>
      </c>
      <c r="V203" s="29" t="s">
        <v>208</v>
      </c>
      <c r="W203" s="117" t="s">
        <v>344</v>
      </c>
      <c r="X203" s="117" t="s">
        <v>344</v>
      </c>
    </row>
    <row r="204" spans="1:24" x14ac:dyDescent="0.2">
      <c r="A204" s="30" t="s">
        <v>207</v>
      </c>
      <c r="B204" s="16" t="s">
        <v>182</v>
      </c>
      <c r="C204" s="16" t="s">
        <v>72</v>
      </c>
      <c r="D204" s="29" t="s">
        <v>190</v>
      </c>
      <c r="E204" s="29" t="s">
        <v>190</v>
      </c>
      <c r="F204" s="29" t="s">
        <v>190</v>
      </c>
      <c r="G204" s="29" t="s">
        <v>190</v>
      </c>
      <c r="H204" s="29" t="s">
        <v>190</v>
      </c>
      <c r="I204" s="29" t="s">
        <v>190</v>
      </c>
      <c r="J204" s="29" t="s">
        <v>190</v>
      </c>
      <c r="K204" s="29" t="s">
        <v>190</v>
      </c>
      <c r="L204" s="29">
        <v>4.0999999999999995E-2</v>
      </c>
      <c r="M204" s="29">
        <v>4.0999999999999995E-2</v>
      </c>
      <c r="N204" s="29">
        <v>3.9E-2</v>
      </c>
      <c r="O204" s="29">
        <v>4.2999999999999997E-2</v>
      </c>
      <c r="P204" s="29">
        <v>4.8000000000000001E-2</v>
      </c>
      <c r="Q204" s="29">
        <v>4.5999999999999999E-2</v>
      </c>
      <c r="R204" s="29">
        <v>4.2999999999999997E-2</v>
      </c>
      <c r="S204" s="29">
        <v>4.7E-2</v>
      </c>
      <c r="T204" s="29">
        <v>5.7999999999999996E-2</v>
      </c>
      <c r="U204" s="29">
        <v>6.3E-2</v>
      </c>
      <c r="V204" s="65">
        <v>5.4000000000000006E-2</v>
      </c>
      <c r="W204" s="117" t="s">
        <v>344</v>
      </c>
      <c r="X204" s="117" t="s">
        <v>344</v>
      </c>
    </row>
    <row r="205" spans="1:24" x14ac:dyDescent="0.2">
      <c r="A205" s="30" t="s">
        <v>207</v>
      </c>
      <c r="B205" s="16" t="s">
        <v>182</v>
      </c>
      <c r="C205" s="16" t="s">
        <v>73</v>
      </c>
      <c r="D205" s="29" t="s">
        <v>190</v>
      </c>
      <c r="E205" s="29" t="s">
        <v>190</v>
      </c>
      <c r="F205" s="29" t="s">
        <v>190</v>
      </c>
      <c r="G205" s="29" t="s">
        <v>190</v>
      </c>
      <c r="H205" s="29" t="s">
        <v>190</v>
      </c>
      <c r="I205" s="29" t="s">
        <v>190</v>
      </c>
      <c r="J205" s="29" t="s">
        <v>190</v>
      </c>
      <c r="K205" s="29" t="s">
        <v>190</v>
      </c>
      <c r="L205" s="29" t="s">
        <v>256</v>
      </c>
      <c r="M205" s="29" t="s">
        <v>256</v>
      </c>
      <c r="N205" s="29">
        <v>0.1</v>
      </c>
      <c r="O205" s="29">
        <v>9.6000000000000002E-2</v>
      </c>
      <c r="P205" s="29" t="s">
        <v>256</v>
      </c>
      <c r="Q205" s="29" t="s">
        <v>256</v>
      </c>
      <c r="R205" s="29" t="s">
        <v>256</v>
      </c>
      <c r="S205" s="29">
        <v>0.122</v>
      </c>
      <c r="T205" s="29" t="s">
        <v>208</v>
      </c>
      <c r="U205" s="29" t="s">
        <v>256</v>
      </c>
      <c r="V205" s="29" t="s">
        <v>256</v>
      </c>
      <c r="W205" s="117" t="s">
        <v>344</v>
      </c>
      <c r="X205" s="117" t="s">
        <v>344</v>
      </c>
    </row>
    <row r="206" spans="1:24" x14ac:dyDescent="0.2">
      <c r="A206" s="30" t="s">
        <v>207</v>
      </c>
      <c r="B206" s="16" t="s">
        <v>182</v>
      </c>
      <c r="C206" s="16" t="s">
        <v>53</v>
      </c>
      <c r="D206" s="29" t="s">
        <v>190</v>
      </c>
      <c r="E206" s="29" t="s">
        <v>190</v>
      </c>
      <c r="F206" s="29" t="s">
        <v>190</v>
      </c>
      <c r="G206" s="29" t="s">
        <v>190</v>
      </c>
      <c r="H206" s="29" t="s">
        <v>190</v>
      </c>
      <c r="I206" s="29" t="s">
        <v>190</v>
      </c>
      <c r="J206" s="29" t="s">
        <v>190</v>
      </c>
      <c r="K206" s="29" t="s">
        <v>190</v>
      </c>
      <c r="L206" s="29">
        <v>1.1000000000000001E-2</v>
      </c>
      <c r="M206" s="29">
        <v>0.01</v>
      </c>
      <c r="N206" s="29">
        <v>1.1000000000000001E-2</v>
      </c>
      <c r="O206" s="29">
        <v>1.1000000000000001E-2</v>
      </c>
      <c r="P206" s="29">
        <v>1.1000000000000001E-2</v>
      </c>
      <c r="Q206" s="29">
        <v>1.2E-2</v>
      </c>
      <c r="R206" s="29">
        <v>1.1000000000000001E-2</v>
      </c>
      <c r="S206" s="29">
        <v>1.1000000000000001E-2</v>
      </c>
      <c r="T206" s="29">
        <v>1.3000000000000001E-2</v>
      </c>
      <c r="U206" s="29">
        <v>1.3000000000000001E-2</v>
      </c>
      <c r="V206" s="65">
        <v>1.3999999999999999E-2</v>
      </c>
      <c r="W206" s="117" t="s">
        <v>344</v>
      </c>
      <c r="X206" s="117" t="s">
        <v>344</v>
      </c>
    </row>
    <row r="207" spans="1:24" x14ac:dyDescent="0.2">
      <c r="A207" s="30" t="s">
        <v>207</v>
      </c>
      <c r="B207" s="16" t="s">
        <v>182</v>
      </c>
      <c r="C207" s="16" t="s">
        <v>74</v>
      </c>
      <c r="D207" s="29" t="s">
        <v>190</v>
      </c>
      <c r="E207" s="29" t="s">
        <v>190</v>
      </c>
      <c r="F207" s="29" t="s">
        <v>190</v>
      </c>
      <c r="G207" s="29" t="s">
        <v>190</v>
      </c>
      <c r="H207" s="29" t="s">
        <v>190</v>
      </c>
      <c r="I207" s="29" t="s">
        <v>190</v>
      </c>
      <c r="J207" s="29" t="s">
        <v>190</v>
      </c>
      <c r="K207" s="29" t="s">
        <v>190</v>
      </c>
      <c r="L207" s="29" t="s">
        <v>256</v>
      </c>
      <c r="M207" s="29" t="s">
        <v>256</v>
      </c>
      <c r="N207" s="29" t="s">
        <v>256</v>
      </c>
      <c r="O207" s="29" t="s">
        <v>256</v>
      </c>
      <c r="P207" s="29" t="s">
        <v>256</v>
      </c>
      <c r="Q207" s="29" t="s">
        <v>256</v>
      </c>
      <c r="R207" s="29" t="s">
        <v>208</v>
      </c>
      <c r="S207" s="29" t="s">
        <v>256</v>
      </c>
      <c r="T207" s="29" t="s">
        <v>208</v>
      </c>
      <c r="U207" s="29" t="s">
        <v>208</v>
      </c>
      <c r="V207" s="29" t="s">
        <v>208</v>
      </c>
      <c r="W207" s="117" t="s">
        <v>344</v>
      </c>
      <c r="X207" s="117" t="s">
        <v>344</v>
      </c>
    </row>
    <row r="208" spans="1:24" x14ac:dyDescent="0.2">
      <c r="A208" s="30" t="s">
        <v>207</v>
      </c>
      <c r="B208" s="16" t="s">
        <v>182</v>
      </c>
      <c r="C208" s="16" t="s">
        <v>75</v>
      </c>
      <c r="D208" s="29" t="s">
        <v>190</v>
      </c>
      <c r="E208" s="29" t="s">
        <v>190</v>
      </c>
      <c r="F208" s="29" t="s">
        <v>190</v>
      </c>
      <c r="G208" s="29" t="s">
        <v>190</v>
      </c>
      <c r="H208" s="29" t="s">
        <v>190</v>
      </c>
      <c r="I208" s="29" t="s">
        <v>190</v>
      </c>
      <c r="J208" s="29" t="s">
        <v>190</v>
      </c>
      <c r="K208" s="29" t="s">
        <v>190</v>
      </c>
      <c r="L208" s="29">
        <v>2.6000000000000002E-2</v>
      </c>
      <c r="M208" s="29">
        <v>2.2000000000000002E-2</v>
      </c>
      <c r="N208" s="29">
        <v>2.3E-2</v>
      </c>
      <c r="O208" s="29">
        <v>2.8999999999999998E-2</v>
      </c>
      <c r="P208" s="29">
        <v>2.5000000000000001E-2</v>
      </c>
      <c r="Q208" s="29">
        <v>2.5000000000000001E-2</v>
      </c>
      <c r="R208" s="29">
        <v>2.5000000000000001E-2</v>
      </c>
      <c r="S208" s="29">
        <v>2.6000000000000002E-2</v>
      </c>
      <c r="T208" s="29">
        <v>3.5000000000000003E-2</v>
      </c>
      <c r="U208" s="29">
        <v>0.03</v>
      </c>
      <c r="V208" s="65">
        <v>3.7000000000000005E-2</v>
      </c>
      <c r="W208" s="117" t="s">
        <v>344</v>
      </c>
      <c r="X208" s="117" t="s">
        <v>344</v>
      </c>
    </row>
    <row r="209" spans="1:24" x14ac:dyDescent="0.2">
      <c r="A209" s="30" t="s">
        <v>207</v>
      </c>
      <c r="B209" s="16" t="s">
        <v>182</v>
      </c>
      <c r="C209" s="16" t="s">
        <v>76</v>
      </c>
      <c r="D209" s="29" t="s">
        <v>190</v>
      </c>
      <c r="E209" s="29" t="s">
        <v>190</v>
      </c>
      <c r="F209" s="29" t="s">
        <v>190</v>
      </c>
      <c r="G209" s="29" t="s">
        <v>190</v>
      </c>
      <c r="H209" s="29" t="s">
        <v>190</v>
      </c>
      <c r="I209" s="29" t="s">
        <v>190</v>
      </c>
      <c r="J209" s="29" t="s">
        <v>190</v>
      </c>
      <c r="K209" s="29" t="s">
        <v>190</v>
      </c>
      <c r="L209" s="29">
        <v>5.2999999999999999E-2</v>
      </c>
      <c r="M209" s="29">
        <v>4.8000000000000001E-2</v>
      </c>
      <c r="N209" s="29">
        <v>4.8000000000000001E-2</v>
      </c>
      <c r="O209" s="29">
        <v>5.0999999999999997E-2</v>
      </c>
      <c r="P209" s="29">
        <v>6.0999999999999999E-2</v>
      </c>
      <c r="Q209" s="29">
        <v>6.6000000000000003E-2</v>
      </c>
      <c r="R209" s="29">
        <v>7.2999999999999995E-2</v>
      </c>
      <c r="S209" s="29">
        <v>6.7000000000000004E-2</v>
      </c>
      <c r="T209" s="29">
        <v>7.9000000000000001E-2</v>
      </c>
      <c r="U209" s="29">
        <v>9.3000000000000013E-2</v>
      </c>
      <c r="V209" s="65">
        <v>0.107</v>
      </c>
      <c r="W209" s="117" t="s">
        <v>344</v>
      </c>
      <c r="X209" s="117" t="s">
        <v>344</v>
      </c>
    </row>
    <row r="210" spans="1:24" x14ac:dyDescent="0.2">
      <c r="A210" s="30" t="s">
        <v>207</v>
      </c>
      <c r="B210" s="16" t="s">
        <v>182</v>
      </c>
      <c r="C210" s="16" t="s">
        <v>77</v>
      </c>
      <c r="D210" s="29" t="s">
        <v>190</v>
      </c>
      <c r="E210" s="29" t="s">
        <v>190</v>
      </c>
      <c r="F210" s="29" t="s">
        <v>190</v>
      </c>
      <c r="G210" s="29" t="s">
        <v>190</v>
      </c>
      <c r="H210" s="29" t="s">
        <v>190</v>
      </c>
      <c r="I210" s="29" t="s">
        <v>190</v>
      </c>
      <c r="J210" s="29" t="s">
        <v>190</v>
      </c>
      <c r="K210" s="29" t="s">
        <v>190</v>
      </c>
      <c r="L210" s="29">
        <v>3.5000000000000003E-2</v>
      </c>
      <c r="M210" s="29">
        <v>3.9E-2</v>
      </c>
      <c r="N210" s="29">
        <v>3.5000000000000003E-2</v>
      </c>
      <c r="O210" s="29">
        <v>3.3000000000000002E-2</v>
      </c>
      <c r="P210" s="29">
        <v>4.2000000000000003E-2</v>
      </c>
      <c r="Q210" s="29">
        <v>3.9E-2</v>
      </c>
      <c r="R210" s="29">
        <v>3.6000000000000004E-2</v>
      </c>
      <c r="S210" s="29">
        <v>4.2000000000000003E-2</v>
      </c>
      <c r="T210" s="29">
        <v>5.5999999999999994E-2</v>
      </c>
      <c r="U210" s="29">
        <v>5.9000000000000004E-2</v>
      </c>
      <c r="V210" s="65">
        <v>0.06</v>
      </c>
      <c r="W210" s="117" t="s">
        <v>344</v>
      </c>
      <c r="X210" s="117" t="s">
        <v>344</v>
      </c>
    </row>
    <row r="211" spans="1:24" x14ac:dyDescent="0.2">
      <c r="A211" s="30" t="s">
        <v>207</v>
      </c>
      <c r="B211" s="16" t="s">
        <v>182</v>
      </c>
      <c r="C211" s="16" t="s">
        <v>78</v>
      </c>
      <c r="D211" s="29" t="s">
        <v>190</v>
      </c>
      <c r="E211" s="29" t="s">
        <v>190</v>
      </c>
      <c r="F211" s="29" t="s">
        <v>190</v>
      </c>
      <c r="G211" s="29" t="s">
        <v>190</v>
      </c>
      <c r="H211" s="29" t="s">
        <v>190</v>
      </c>
      <c r="I211" s="29" t="s">
        <v>190</v>
      </c>
      <c r="J211" s="29" t="s">
        <v>190</v>
      </c>
      <c r="K211" s="29" t="s">
        <v>190</v>
      </c>
      <c r="L211" s="29">
        <v>1.9E-2</v>
      </c>
      <c r="M211" s="29">
        <v>0.02</v>
      </c>
      <c r="N211" s="29">
        <v>1.9E-2</v>
      </c>
      <c r="O211" s="29">
        <v>2.1000000000000001E-2</v>
      </c>
      <c r="P211" s="29">
        <v>2.5000000000000001E-2</v>
      </c>
      <c r="Q211" s="29">
        <v>2.2000000000000002E-2</v>
      </c>
      <c r="R211" s="29">
        <v>2.1000000000000001E-2</v>
      </c>
      <c r="S211" s="29">
        <v>2.2000000000000002E-2</v>
      </c>
      <c r="T211" s="29">
        <v>2.3E-2</v>
      </c>
      <c r="U211" s="29">
        <v>2.6000000000000002E-2</v>
      </c>
      <c r="V211" s="65">
        <v>2.4E-2</v>
      </c>
      <c r="W211" s="117" t="s">
        <v>344</v>
      </c>
      <c r="X211" s="117" t="s">
        <v>344</v>
      </c>
    </row>
    <row r="212" spans="1:24" x14ac:dyDescent="0.2">
      <c r="A212" s="30" t="s">
        <v>207</v>
      </c>
      <c r="B212" s="16" t="s">
        <v>182</v>
      </c>
      <c r="C212" s="16" t="s">
        <v>79</v>
      </c>
      <c r="D212" s="29" t="s">
        <v>190</v>
      </c>
      <c r="E212" s="29" t="s">
        <v>190</v>
      </c>
      <c r="F212" s="29" t="s">
        <v>190</v>
      </c>
      <c r="G212" s="29" t="s">
        <v>190</v>
      </c>
      <c r="H212" s="29" t="s">
        <v>190</v>
      </c>
      <c r="I212" s="29" t="s">
        <v>190</v>
      </c>
      <c r="J212" s="29" t="s">
        <v>190</v>
      </c>
      <c r="K212" s="29" t="s">
        <v>190</v>
      </c>
      <c r="L212" s="29">
        <v>2.1000000000000001E-2</v>
      </c>
      <c r="M212" s="29">
        <v>1.9E-2</v>
      </c>
      <c r="N212" s="29">
        <v>1.9E-2</v>
      </c>
      <c r="O212" s="29">
        <v>1.8000000000000002E-2</v>
      </c>
      <c r="P212" s="29">
        <v>2.3E-2</v>
      </c>
      <c r="Q212" s="29">
        <v>2.4E-2</v>
      </c>
      <c r="R212" s="29">
        <v>2.5000000000000001E-2</v>
      </c>
      <c r="S212" s="29">
        <v>2.4E-2</v>
      </c>
      <c r="T212" s="29">
        <v>3.2000000000000001E-2</v>
      </c>
      <c r="U212" s="29">
        <v>3.3000000000000002E-2</v>
      </c>
      <c r="V212" s="65">
        <v>3.1E-2</v>
      </c>
      <c r="W212" s="117" t="s">
        <v>344</v>
      </c>
      <c r="X212" s="117" t="s">
        <v>344</v>
      </c>
    </row>
    <row r="213" spans="1:24" x14ac:dyDescent="0.2">
      <c r="A213" s="30" t="s">
        <v>207</v>
      </c>
      <c r="B213" s="16" t="s">
        <v>182</v>
      </c>
      <c r="C213" s="16" t="s">
        <v>80</v>
      </c>
      <c r="D213" s="29" t="s">
        <v>190</v>
      </c>
      <c r="E213" s="29" t="s">
        <v>190</v>
      </c>
      <c r="F213" s="29" t="s">
        <v>190</v>
      </c>
      <c r="G213" s="29" t="s">
        <v>190</v>
      </c>
      <c r="H213" s="29" t="s">
        <v>190</v>
      </c>
      <c r="I213" s="29" t="s">
        <v>190</v>
      </c>
      <c r="J213" s="29" t="s">
        <v>190</v>
      </c>
      <c r="K213" s="29" t="s">
        <v>190</v>
      </c>
      <c r="L213" s="29">
        <v>8.8000000000000009E-2</v>
      </c>
      <c r="M213" s="29">
        <v>9.0999999999999998E-2</v>
      </c>
      <c r="N213" s="29">
        <v>6.6000000000000003E-2</v>
      </c>
      <c r="O213" s="29">
        <v>8.6999999999999994E-2</v>
      </c>
      <c r="P213" s="29">
        <v>7.9000000000000001E-2</v>
      </c>
      <c r="Q213" s="29">
        <v>7.2999999999999995E-2</v>
      </c>
      <c r="R213" s="29">
        <v>9.6999999999999989E-2</v>
      </c>
      <c r="S213" s="29">
        <v>8.5000000000000006E-2</v>
      </c>
      <c r="T213" s="29">
        <v>9.6000000000000002E-2</v>
      </c>
      <c r="U213" s="29" t="s">
        <v>256</v>
      </c>
      <c r="V213" s="29" t="s">
        <v>256</v>
      </c>
      <c r="W213" s="117" t="s">
        <v>344</v>
      </c>
      <c r="X213" s="117" t="s">
        <v>344</v>
      </c>
    </row>
    <row r="214" spans="1:24" x14ac:dyDescent="0.2">
      <c r="A214" s="30" t="s">
        <v>207</v>
      </c>
      <c r="B214" s="16" t="s">
        <v>182</v>
      </c>
      <c r="C214" s="16" t="s">
        <v>81</v>
      </c>
      <c r="D214" s="29" t="s">
        <v>190</v>
      </c>
      <c r="E214" s="29" t="s">
        <v>190</v>
      </c>
      <c r="F214" s="29" t="s">
        <v>190</v>
      </c>
      <c r="G214" s="29" t="s">
        <v>190</v>
      </c>
      <c r="H214" s="29" t="s">
        <v>190</v>
      </c>
      <c r="I214" s="29" t="s">
        <v>190</v>
      </c>
      <c r="J214" s="29" t="s">
        <v>190</v>
      </c>
      <c r="K214" s="29" t="s">
        <v>190</v>
      </c>
      <c r="L214" s="29">
        <v>1.9E-2</v>
      </c>
      <c r="M214" s="29">
        <v>1.9E-2</v>
      </c>
      <c r="N214" s="29">
        <v>1.9E-2</v>
      </c>
      <c r="O214" s="29">
        <v>0.02</v>
      </c>
      <c r="P214" s="29">
        <v>2.2000000000000002E-2</v>
      </c>
      <c r="Q214" s="29">
        <v>0.02</v>
      </c>
      <c r="R214" s="29">
        <v>2.5000000000000001E-2</v>
      </c>
      <c r="S214" s="29">
        <v>2.2000000000000002E-2</v>
      </c>
      <c r="T214" s="29">
        <v>2.7000000000000003E-2</v>
      </c>
      <c r="U214" s="29">
        <v>2.6000000000000002E-2</v>
      </c>
      <c r="V214" s="65">
        <v>2.7999999999999997E-2</v>
      </c>
      <c r="W214" s="117" t="s">
        <v>344</v>
      </c>
      <c r="X214" s="117" t="s">
        <v>344</v>
      </c>
    </row>
    <row r="215" spans="1:24" x14ac:dyDescent="0.2">
      <c r="A215" s="30" t="s">
        <v>207</v>
      </c>
      <c r="B215" s="16" t="s">
        <v>182</v>
      </c>
      <c r="C215" s="16" t="s">
        <v>82</v>
      </c>
      <c r="D215" s="29" t="s">
        <v>190</v>
      </c>
      <c r="E215" s="29" t="s">
        <v>190</v>
      </c>
      <c r="F215" s="29" t="s">
        <v>190</v>
      </c>
      <c r="G215" s="29" t="s">
        <v>190</v>
      </c>
      <c r="H215" s="29" t="s">
        <v>190</v>
      </c>
      <c r="I215" s="29" t="s">
        <v>190</v>
      </c>
      <c r="J215" s="29" t="s">
        <v>190</v>
      </c>
      <c r="K215" s="29" t="s">
        <v>190</v>
      </c>
      <c r="L215" s="29">
        <v>0.11599999999999999</v>
      </c>
      <c r="M215" s="29">
        <v>0.126</v>
      </c>
      <c r="N215" s="29">
        <v>0.126</v>
      </c>
      <c r="O215" s="29">
        <v>0.14300000000000002</v>
      </c>
      <c r="P215" s="29">
        <v>0.11800000000000001</v>
      </c>
      <c r="Q215" s="29">
        <v>0.11699999999999999</v>
      </c>
      <c r="R215" s="29">
        <v>0.13699999999999998</v>
      </c>
      <c r="S215" s="29">
        <v>0.14000000000000001</v>
      </c>
      <c r="T215" s="29">
        <v>0.16899999999999998</v>
      </c>
      <c r="U215" s="29">
        <v>0.2</v>
      </c>
      <c r="V215" s="65">
        <v>0.23100000000000001</v>
      </c>
      <c r="W215" s="117" t="s">
        <v>344</v>
      </c>
      <c r="X215" s="117" t="s">
        <v>344</v>
      </c>
    </row>
    <row r="216" spans="1:24" x14ac:dyDescent="0.2">
      <c r="A216" s="30" t="s">
        <v>207</v>
      </c>
      <c r="B216" s="16" t="s">
        <v>182</v>
      </c>
      <c r="C216" s="16" t="s">
        <v>83</v>
      </c>
      <c r="D216" s="29" t="s">
        <v>190</v>
      </c>
      <c r="E216" s="29" t="s">
        <v>190</v>
      </c>
      <c r="F216" s="29" t="s">
        <v>190</v>
      </c>
      <c r="G216" s="29" t="s">
        <v>190</v>
      </c>
      <c r="H216" s="29" t="s">
        <v>190</v>
      </c>
      <c r="I216" s="29" t="s">
        <v>190</v>
      </c>
      <c r="J216" s="29" t="s">
        <v>190</v>
      </c>
      <c r="K216" s="29" t="s">
        <v>190</v>
      </c>
      <c r="L216" s="29">
        <v>0.113</v>
      </c>
      <c r="M216" s="29">
        <v>0.125</v>
      </c>
      <c r="N216" s="29">
        <v>0.121</v>
      </c>
      <c r="O216" s="29">
        <v>0.107</v>
      </c>
      <c r="P216" s="29">
        <v>0.11599999999999999</v>
      </c>
      <c r="Q216" s="29">
        <v>0.111</v>
      </c>
      <c r="R216" s="29">
        <v>0.124</v>
      </c>
      <c r="S216" s="29" t="s">
        <v>256</v>
      </c>
      <c r="T216" s="29" t="s">
        <v>256</v>
      </c>
      <c r="U216" s="29" t="s">
        <v>256</v>
      </c>
      <c r="V216" s="29" t="s">
        <v>256</v>
      </c>
      <c r="W216" s="117" t="s">
        <v>344</v>
      </c>
      <c r="X216" s="117" t="s">
        <v>344</v>
      </c>
    </row>
    <row r="217" spans="1:24" x14ac:dyDescent="0.2">
      <c r="A217" s="30" t="s">
        <v>207</v>
      </c>
      <c r="B217" s="16" t="s">
        <v>182</v>
      </c>
      <c r="C217" s="16" t="s">
        <v>84</v>
      </c>
      <c r="D217" s="29" t="s">
        <v>190</v>
      </c>
      <c r="E217" s="29" t="s">
        <v>190</v>
      </c>
      <c r="F217" s="29" t="s">
        <v>190</v>
      </c>
      <c r="G217" s="29" t="s">
        <v>190</v>
      </c>
      <c r="H217" s="29" t="s">
        <v>190</v>
      </c>
      <c r="I217" s="29" t="s">
        <v>190</v>
      </c>
      <c r="J217" s="29" t="s">
        <v>190</v>
      </c>
      <c r="K217" s="29" t="s">
        <v>190</v>
      </c>
      <c r="L217" s="29">
        <v>8.199999999999999E-2</v>
      </c>
      <c r="M217" s="29">
        <v>7.400000000000001E-2</v>
      </c>
      <c r="N217" s="29">
        <v>7.400000000000001E-2</v>
      </c>
      <c r="O217" s="29">
        <v>7.8E-2</v>
      </c>
      <c r="P217" s="29">
        <v>7.4999999999999997E-2</v>
      </c>
      <c r="Q217" s="29">
        <v>7.0000000000000007E-2</v>
      </c>
      <c r="R217" s="29">
        <v>9.3000000000000013E-2</v>
      </c>
      <c r="S217" s="29">
        <v>8.5999999999999993E-2</v>
      </c>
      <c r="T217" s="29">
        <v>8.8000000000000009E-2</v>
      </c>
      <c r="U217" s="29" t="s">
        <v>256</v>
      </c>
      <c r="V217" s="65">
        <v>0.10400000000000001</v>
      </c>
      <c r="W217" s="117" t="s">
        <v>344</v>
      </c>
      <c r="X217" s="117" t="s">
        <v>344</v>
      </c>
    </row>
    <row r="218" spans="1:24" x14ac:dyDescent="0.2">
      <c r="A218" s="30" t="s">
        <v>207</v>
      </c>
      <c r="B218" s="16" t="s">
        <v>182</v>
      </c>
      <c r="C218" s="16" t="s">
        <v>15</v>
      </c>
      <c r="D218" s="29" t="s">
        <v>190</v>
      </c>
      <c r="E218" s="29" t="s">
        <v>190</v>
      </c>
      <c r="F218" s="29" t="s">
        <v>190</v>
      </c>
      <c r="G218" s="29" t="s">
        <v>190</v>
      </c>
      <c r="H218" s="29" t="s">
        <v>190</v>
      </c>
      <c r="I218" s="29" t="s">
        <v>190</v>
      </c>
      <c r="J218" s="29" t="s">
        <v>190</v>
      </c>
      <c r="K218" s="29" t="s">
        <v>190</v>
      </c>
      <c r="L218" s="29">
        <v>5.7999999999999996E-2</v>
      </c>
      <c r="M218" s="29">
        <v>6.5000000000000002E-2</v>
      </c>
      <c r="N218" s="29">
        <v>6.3E-2</v>
      </c>
      <c r="O218" s="29">
        <v>6.8000000000000005E-2</v>
      </c>
      <c r="P218" s="29">
        <v>6.2E-2</v>
      </c>
      <c r="Q218" s="29">
        <v>6.9000000000000006E-2</v>
      </c>
      <c r="R218" s="29">
        <v>6.3E-2</v>
      </c>
      <c r="S218" s="29">
        <v>7.2999999999999995E-2</v>
      </c>
      <c r="T218" s="29">
        <v>9.3000000000000013E-2</v>
      </c>
      <c r="U218" s="29" t="s">
        <v>256</v>
      </c>
      <c r="V218" s="29" t="s">
        <v>256</v>
      </c>
      <c r="W218" s="117" t="s">
        <v>344</v>
      </c>
      <c r="X218" s="117" t="s">
        <v>344</v>
      </c>
    </row>
    <row r="219" spans="1:24" x14ac:dyDescent="0.2">
      <c r="A219" s="30" t="s">
        <v>207</v>
      </c>
      <c r="B219" s="16" t="s">
        <v>182</v>
      </c>
      <c r="C219" s="16" t="s">
        <v>85</v>
      </c>
      <c r="D219" s="29" t="s">
        <v>190</v>
      </c>
      <c r="E219" s="29" t="s">
        <v>190</v>
      </c>
      <c r="F219" s="29" t="s">
        <v>190</v>
      </c>
      <c r="G219" s="29" t="s">
        <v>190</v>
      </c>
      <c r="H219" s="29" t="s">
        <v>190</v>
      </c>
      <c r="I219" s="29" t="s">
        <v>190</v>
      </c>
      <c r="J219" s="29" t="s">
        <v>190</v>
      </c>
      <c r="K219" s="29" t="s">
        <v>190</v>
      </c>
      <c r="L219" s="29">
        <v>2.5000000000000001E-2</v>
      </c>
      <c r="M219" s="29">
        <v>2.7000000000000003E-2</v>
      </c>
      <c r="N219" s="29">
        <v>0.03</v>
      </c>
      <c r="O219" s="29">
        <v>0.03</v>
      </c>
      <c r="P219" s="29">
        <v>3.7000000000000005E-2</v>
      </c>
      <c r="Q219" s="29">
        <v>3.1E-2</v>
      </c>
      <c r="R219" s="29">
        <v>3.1E-2</v>
      </c>
      <c r="S219" s="29">
        <v>3.6000000000000004E-2</v>
      </c>
      <c r="T219" s="29">
        <v>3.7000000000000005E-2</v>
      </c>
      <c r="U219" s="29">
        <v>0.04</v>
      </c>
      <c r="V219" s="65">
        <v>4.4000000000000004E-2</v>
      </c>
      <c r="W219" s="117" t="s">
        <v>344</v>
      </c>
      <c r="X219" s="117" t="s">
        <v>344</v>
      </c>
    </row>
    <row r="220" spans="1:24" x14ac:dyDescent="0.2">
      <c r="A220" s="30" t="s">
        <v>207</v>
      </c>
      <c r="B220" s="16" t="s">
        <v>182</v>
      </c>
      <c r="C220" s="16" t="s">
        <v>86</v>
      </c>
      <c r="D220" s="29" t="s">
        <v>190</v>
      </c>
      <c r="E220" s="29" t="s">
        <v>190</v>
      </c>
      <c r="F220" s="29" t="s">
        <v>190</v>
      </c>
      <c r="G220" s="29" t="s">
        <v>190</v>
      </c>
      <c r="H220" s="29" t="s">
        <v>190</v>
      </c>
      <c r="I220" s="29" t="s">
        <v>190</v>
      </c>
      <c r="J220" s="29" t="s">
        <v>190</v>
      </c>
      <c r="K220" s="29" t="s">
        <v>190</v>
      </c>
      <c r="L220" s="29">
        <v>6.6000000000000003E-2</v>
      </c>
      <c r="M220" s="29">
        <v>6.9000000000000006E-2</v>
      </c>
      <c r="N220" s="29" t="s">
        <v>256</v>
      </c>
      <c r="O220" s="29" t="s">
        <v>208</v>
      </c>
      <c r="P220" s="29" t="s">
        <v>256</v>
      </c>
      <c r="Q220" s="29">
        <v>8.900000000000001E-2</v>
      </c>
      <c r="R220" s="29" t="s">
        <v>256</v>
      </c>
      <c r="S220" s="29" t="s">
        <v>256</v>
      </c>
      <c r="T220" s="29" t="s">
        <v>256</v>
      </c>
      <c r="U220" s="29" t="s">
        <v>256</v>
      </c>
      <c r="V220" s="29" t="s">
        <v>256</v>
      </c>
      <c r="W220" s="117" t="s">
        <v>344</v>
      </c>
      <c r="X220" s="117" t="s">
        <v>344</v>
      </c>
    </row>
    <row r="221" spans="1:24" x14ac:dyDescent="0.2">
      <c r="A221" s="30" t="s">
        <v>207</v>
      </c>
      <c r="B221" s="16" t="s">
        <v>182</v>
      </c>
      <c r="C221" s="16" t="s">
        <v>87</v>
      </c>
      <c r="D221" s="29" t="s">
        <v>190</v>
      </c>
      <c r="E221" s="29" t="s">
        <v>190</v>
      </c>
      <c r="F221" s="29" t="s">
        <v>190</v>
      </c>
      <c r="G221" s="29" t="s">
        <v>190</v>
      </c>
      <c r="H221" s="29" t="s">
        <v>190</v>
      </c>
      <c r="I221" s="29" t="s">
        <v>190</v>
      </c>
      <c r="J221" s="29" t="s">
        <v>190</v>
      </c>
      <c r="K221" s="29" t="s">
        <v>190</v>
      </c>
      <c r="L221" s="29">
        <v>0.111</v>
      </c>
      <c r="M221" s="29">
        <v>9.5000000000000001E-2</v>
      </c>
      <c r="N221" s="29">
        <v>9.6000000000000002E-2</v>
      </c>
      <c r="O221" s="29">
        <v>0.12</v>
      </c>
      <c r="P221" s="29">
        <v>0.12</v>
      </c>
      <c r="Q221" s="29">
        <v>0.11800000000000001</v>
      </c>
      <c r="R221" s="29">
        <v>0.106</v>
      </c>
      <c r="S221" s="29" t="s">
        <v>256</v>
      </c>
      <c r="T221" s="29">
        <v>0.12</v>
      </c>
      <c r="U221" s="29" t="s">
        <v>256</v>
      </c>
      <c r="V221" s="29" t="s">
        <v>256</v>
      </c>
      <c r="W221" s="117" t="s">
        <v>344</v>
      </c>
      <c r="X221" s="117" t="s">
        <v>344</v>
      </c>
    </row>
    <row r="222" spans="1:24" x14ac:dyDescent="0.2">
      <c r="A222" s="30" t="s">
        <v>207</v>
      </c>
      <c r="B222" s="16" t="s">
        <v>182</v>
      </c>
      <c r="C222" s="16" t="s">
        <v>88</v>
      </c>
      <c r="D222" s="29" t="s">
        <v>190</v>
      </c>
      <c r="E222" s="29" t="s">
        <v>190</v>
      </c>
      <c r="F222" s="29" t="s">
        <v>190</v>
      </c>
      <c r="G222" s="29" t="s">
        <v>190</v>
      </c>
      <c r="H222" s="29" t="s">
        <v>190</v>
      </c>
      <c r="I222" s="29" t="s">
        <v>190</v>
      </c>
      <c r="J222" s="29" t="s">
        <v>190</v>
      </c>
      <c r="K222" s="29" t="s">
        <v>190</v>
      </c>
      <c r="L222" s="29">
        <v>0.17800000000000002</v>
      </c>
      <c r="M222" s="29" t="s">
        <v>256</v>
      </c>
      <c r="N222" s="29" t="s">
        <v>256</v>
      </c>
      <c r="O222" s="29" t="s">
        <v>256</v>
      </c>
      <c r="P222" s="29" t="s">
        <v>256</v>
      </c>
      <c r="Q222" s="29" t="s">
        <v>256</v>
      </c>
      <c r="R222" s="29" t="s">
        <v>256</v>
      </c>
      <c r="S222" s="29" t="s">
        <v>256</v>
      </c>
      <c r="T222" s="29" t="s">
        <v>256</v>
      </c>
      <c r="U222" s="29" t="s">
        <v>208</v>
      </c>
      <c r="V222" s="29" t="s">
        <v>208</v>
      </c>
      <c r="W222" s="117" t="s">
        <v>344</v>
      </c>
      <c r="X222" s="117" t="s">
        <v>344</v>
      </c>
    </row>
    <row r="223" spans="1:24" x14ac:dyDescent="0.2">
      <c r="A223" s="30" t="s">
        <v>207</v>
      </c>
      <c r="B223" s="16" t="s">
        <v>182</v>
      </c>
      <c r="C223" s="16" t="s">
        <v>18</v>
      </c>
      <c r="D223" s="29" t="s">
        <v>190</v>
      </c>
      <c r="E223" s="29" t="s">
        <v>190</v>
      </c>
      <c r="F223" s="29" t="s">
        <v>190</v>
      </c>
      <c r="G223" s="29" t="s">
        <v>190</v>
      </c>
      <c r="H223" s="29" t="s">
        <v>190</v>
      </c>
      <c r="I223" s="29" t="s">
        <v>190</v>
      </c>
      <c r="J223" s="29" t="s">
        <v>190</v>
      </c>
      <c r="K223" s="29" t="s">
        <v>190</v>
      </c>
      <c r="L223" s="29">
        <v>5.2999999999999999E-2</v>
      </c>
      <c r="M223" s="29">
        <v>5.7999999999999996E-2</v>
      </c>
      <c r="N223" s="29">
        <v>5.5E-2</v>
      </c>
      <c r="O223" s="29">
        <v>5.5E-2</v>
      </c>
      <c r="P223" s="29">
        <v>5.2000000000000005E-2</v>
      </c>
      <c r="Q223" s="29">
        <v>0.06</v>
      </c>
      <c r="R223" s="29">
        <v>7.2999999999999995E-2</v>
      </c>
      <c r="S223" s="29" t="s">
        <v>256</v>
      </c>
      <c r="T223" s="29" t="s">
        <v>256</v>
      </c>
      <c r="U223" s="29" t="s">
        <v>256</v>
      </c>
      <c r="V223" s="29" t="s">
        <v>256</v>
      </c>
      <c r="W223" s="117" t="s">
        <v>344</v>
      </c>
      <c r="X223" s="117" t="s">
        <v>344</v>
      </c>
    </row>
    <row r="224" spans="1:24" x14ac:dyDescent="0.2">
      <c r="A224" s="30" t="s">
        <v>207</v>
      </c>
      <c r="B224" s="16" t="s">
        <v>182</v>
      </c>
      <c r="C224" s="16" t="s">
        <v>89</v>
      </c>
      <c r="D224" s="29" t="s">
        <v>190</v>
      </c>
      <c r="E224" s="29" t="s">
        <v>190</v>
      </c>
      <c r="F224" s="29" t="s">
        <v>190</v>
      </c>
      <c r="G224" s="29" t="s">
        <v>190</v>
      </c>
      <c r="H224" s="29" t="s">
        <v>190</v>
      </c>
      <c r="I224" s="29" t="s">
        <v>190</v>
      </c>
      <c r="J224" s="29" t="s">
        <v>190</v>
      </c>
      <c r="K224" s="29" t="s">
        <v>190</v>
      </c>
      <c r="L224" s="29">
        <v>6.8000000000000005E-2</v>
      </c>
      <c r="M224" s="29">
        <v>7.0000000000000007E-2</v>
      </c>
      <c r="N224" s="29">
        <v>7.9000000000000001E-2</v>
      </c>
      <c r="O224" s="29">
        <v>9.1999999999999998E-2</v>
      </c>
      <c r="P224" s="29">
        <v>0.1</v>
      </c>
      <c r="Q224" s="29" t="s">
        <v>256</v>
      </c>
      <c r="R224" s="29">
        <v>0.08</v>
      </c>
      <c r="S224" s="29">
        <v>7.5999999999999998E-2</v>
      </c>
      <c r="T224" s="29">
        <v>7.400000000000001E-2</v>
      </c>
      <c r="U224" s="29">
        <v>9.6999999999999989E-2</v>
      </c>
      <c r="V224" s="65">
        <v>9.0999999999999998E-2</v>
      </c>
      <c r="W224" s="117" t="s">
        <v>344</v>
      </c>
      <c r="X224" s="117" t="s">
        <v>344</v>
      </c>
    </row>
    <row r="225" spans="1:24" x14ac:dyDescent="0.2">
      <c r="A225" s="30" t="s">
        <v>207</v>
      </c>
      <c r="B225" s="16" t="s">
        <v>182</v>
      </c>
      <c r="C225" s="16" t="s">
        <v>90</v>
      </c>
      <c r="D225" s="29" t="s">
        <v>190</v>
      </c>
      <c r="E225" s="29" t="s">
        <v>190</v>
      </c>
      <c r="F225" s="29" t="s">
        <v>190</v>
      </c>
      <c r="G225" s="29" t="s">
        <v>190</v>
      </c>
      <c r="H225" s="29" t="s">
        <v>190</v>
      </c>
      <c r="I225" s="29" t="s">
        <v>190</v>
      </c>
      <c r="J225" s="29" t="s">
        <v>190</v>
      </c>
      <c r="K225" s="29" t="s">
        <v>190</v>
      </c>
      <c r="L225" s="29">
        <v>9.3000000000000013E-2</v>
      </c>
      <c r="M225" s="29">
        <v>8.900000000000001E-2</v>
      </c>
      <c r="N225" s="29">
        <v>6.8000000000000005E-2</v>
      </c>
      <c r="O225" s="29">
        <v>6.0999999999999999E-2</v>
      </c>
      <c r="P225" s="29">
        <v>8.900000000000001E-2</v>
      </c>
      <c r="Q225" s="29">
        <v>6.9000000000000006E-2</v>
      </c>
      <c r="R225" s="29" t="s">
        <v>256</v>
      </c>
      <c r="S225" s="29">
        <v>0.115</v>
      </c>
      <c r="T225" s="29" t="s">
        <v>256</v>
      </c>
      <c r="U225" s="29" t="s">
        <v>256</v>
      </c>
      <c r="V225" s="29" t="s">
        <v>256</v>
      </c>
      <c r="W225" s="117" t="s">
        <v>344</v>
      </c>
      <c r="X225" s="117" t="s">
        <v>344</v>
      </c>
    </row>
    <row r="226" spans="1:24" x14ac:dyDescent="0.2">
      <c r="A226" s="30" t="s">
        <v>207</v>
      </c>
      <c r="B226" s="16" t="s">
        <v>182</v>
      </c>
      <c r="C226" s="16" t="s">
        <v>91</v>
      </c>
      <c r="D226" s="29" t="s">
        <v>190</v>
      </c>
      <c r="E226" s="29" t="s">
        <v>190</v>
      </c>
      <c r="F226" s="29" t="s">
        <v>190</v>
      </c>
      <c r="G226" s="29" t="s">
        <v>190</v>
      </c>
      <c r="H226" s="29" t="s">
        <v>190</v>
      </c>
      <c r="I226" s="29" t="s">
        <v>190</v>
      </c>
      <c r="J226" s="29" t="s">
        <v>190</v>
      </c>
      <c r="K226" s="29" t="s">
        <v>190</v>
      </c>
      <c r="L226" s="29" t="s">
        <v>256</v>
      </c>
      <c r="M226" s="29" t="s">
        <v>256</v>
      </c>
      <c r="N226" s="29" t="s">
        <v>256</v>
      </c>
      <c r="O226" s="29" t="s">
        <v>256</v>
      </c>
      <c r="P226" s="29" t="s">
        <v>256</v>
      </c>
      <c r="Q226" s="29" t="s">
        <v>256</v>
      </c>
      <c r="R226" s="29" t="s">
        <v>256</v>
      </c>
      <c r="S226" s="29" t="s">
        <v>256</v>
      </c>
      <c r="T226" s="29" t="s">
        <v>256</v>
      </c>
      <c r="U226" s="29" t="s">
        <v>208</v>
      </c>
      <c r="V226" s="29" t="s">
        <v>256</v>
      </c>
      <c r="W226" s="117" t="s">
        <v>344</v>
      </c>
      <c r="X226" s="117" t="s">
        <v>344</v>
      </c>
    </row>
    <row r="227" spans="1:24" x14ac:dyDescent="0.2">
      <c r="A227" s="30" t="s">
        <v>207</v>
      </c>
      <c r="B227" s="16" t="s">
        <v>182</v>
      </c>
      <c r="C227" s="16" t="s">
        <v>92</v>
      </c>
      <c r="D227" s="29" t="s">
        <v>190</v>
      </c>
      <c r="E227" s="29" t="s">
        <v>190</v>
      </c>
      <c r="F227" s="29" t="s">
        <v>190</v>
      </c>
      <c r="G227" s="29" t="s">
        <v>190</v>
      </c>
      <c r="H227" s="29" t="s">
        <v>190</v>
      </c>
      <c r="I227" s="29" t="s">
        <v>190</v>
      </c>
      <c r="J227" s="29" t="s">
        <v>190</v>
      </c>
      <c r="K227" s="29" t="s">
        <v>190</v>
      </c>
      <c r="L227" s="29">
        <v>0.12300000000000001</v>
      </c>
      <c r="M227" s="29" t="s">
        <v>256</v>
      </c>
      <c r="N227" s="29">
        <v>9.6000000000000002E-2</v>
      </c>
      <c r="O227" s="29" t="s">
        <v>256</v>
      </c>
      <c r="P227" s="29" t="s">
        <v>256</v>
      </c>
      <c r="Q227" s="29">
        <v>0.111</v>
      </c>
      <c r="R227" s="29">
        <v>0.11599999999999999</v>
      </c>
      <c r="S227" s="29" t="s">
        <v>256</v>
      </c>
      <c r="T227" s="29" t="s">
        <v>256</v>
      </c>
      <c r="U227" s="29" t="s">
        <v>256</v>
      </c>
      <c r="V227" s="29" t="s">
        <v>208</v>
      </c>
      <c r="W227" s="117" t="s">
        <v>344</v>
      </c>
      <c r="X227" s="117" t="s">
        <v>344</v>
      </c>
    </row>
    <row r="228" spans="1:24" x14ac:dyDescent="0.2">
      <c r="A228" s="30" t="s">
        <v>207</v>
      </c>
      <c r="B228" s="16" t="s">
        <v>182</v>
      </c>
      <c r="C228" s="16" t="s">
        <v>93</v>
      </c>
      <c r="D228" s="29" t="s">
        <v>190</v>
      </c>
      <c r="E228" s="29" t="s">
        <v>190</v>
      </c>
      <c r="F228" s="29" t="s">
        <v>190</v>
      </c>
      <c r="G228" s="29" t="s">
        <v>190</v>
      </c>
      <c r="H228" s="29" t="s">
        <v>190</v>
      </c>
      <c r="I228" s="29" t="s">
        <v>190</v>
      </c>
      <c r="J228" s="29" t="s">
        <v>190</v>
      </c>
      <c r="K228" s="29" t="s">
        <v>190</v>
      </c>
      <c r="L228" s="29" t="s">
        <v>256</v>
      </c>
      <c r="M228" s="29" t="s">
        <v>256</v>
      </c>
      <c r="N228" s="29" t="s">
        <v>256</v>
      </c>
      <c r="O228" s="29" t="s">
        <v>256</v>
      </c>
      <c r="P228" s="29" t="s">
        <v>256</v>
      </c>
      <c r="Q228" s="29" t="s">
        <v>256</v>
      </c>
      <c r="R228" s="29" t="s">
        <v>208</v>
      </c>
      <c r="S228" s="29" t="s">
        <v>256</v>
      </c>
      <c r="T228" s="29" t="s">
        <v>256</v>
      </c>
      <c r="U228" s="29" t="s">
        <v>208</v>
      </c>
      <c r="V228" s="29" t="s">
        <v>208</v>
      </c>
      <c r="W228" s="117" t="s">
        <v>344</v>
      </c>
      <c r="X228" s="117" t="s">
        <v>344</v>
      </c>
    </row>
    <row r="229" spans="1:24" x14ac:dyDescent="0.2">
      <c r="A229" s="30" t="s">
        <v>207</v>
      </c>
      <c r="B229" s="16" t="s">
        <v>182</v>
      </c>
      <c r="C229" s="16" t="s">
        <v>94</v>
      </c>
      <c r="D229" s="29" t="s">
        <v>190</v>
      </c>
      <c r="E229" s="29" t="s">
        <v>190</v>
      </c>
      <c r="F229" s="29" t="s">
        <v>190</v>
      </c>
      <c r="G229" s="29" t="s">
        <v>190</v>
      </c>
      <c r="H229" s="29" t="s">
        <v>190</v>
      </c>
      <c r="I229" s="29" t="s">
        <v>190</v>
      </c>
      <c r="J229" s="29" t="s">
        <v>190</v>
      </c>
      <c r="K229" s="29" t="s">
        <v>190</v>
      </c>
      <c r="L229" s="29">
        <v>5.4000000000000006E-2</v>
      </c>
      <c r="M229" s="29">
        <v>5.0999999999999997E-2</v>
      </c>
      <c r="N229" s="29">
        <v>4.5999999999999999E-2</v>
      </c>
      <c r="O229" s="29">
        <v>4.9000000000000002E-2</v>
      </c>
      <c r="P229" s="29">
        <v>4.4999999999999998E-2</v>
      </c>
      <c r="Q229" s="29">
        <v>3.6000000000000004E-2</v>
      </c>
      <c r="R229" s="29">
        <v>4.2000000000000003E-2</v>
      </c>
      <c r="S229" s="29">
        <v>4.0999999999999995E-2</v>
      </c>
      <c r="T229" s="29">
        <v>4.9000000000000002E-2</v>
      </c>
      <c r="U229" s="29">
        <v>5.7000000000000002E-2</v>
      </c>
      <c r="V229" s="65">
        <v>6.8000000000000005E-2</v>
      </c>
      <c r="W229" s="117" t="s">
        <v>344</v>
      </c>
      <c r="X229" s="117" t="s">
        <v>344</v>
      </c>
    </row>
    <row r="230" spans="1:24" x14ac:dyDescent="0.2">
      <c r="A230" s="30" t="s">
        <v>207</v>
      </c>
      <c r="B230" s="16" t="s">
        <v>182</v>
      </c>
      <c r="C230" s="16" t="s">
        <v>95</v>
      </c>
      <c r="D230" s="29" t="s">
        <v>190</v>
      </c>
      <c r="E230" s="29" t="s">
        <v>190</v>
      </c>
      <c r="F230" s="29" t="s">
        <v>190</v>
      </c>
      <c r="G230" s="29" t="s">
        <v>190</v>
      </c>
      <c r="H230" s="29" t="s">
        <v>190</v>
      </c>
      <c r="I230" s="29" t="s">
        <v>190</v>
      </c>
      <c r="J230" s="29" t="s">
        <v>190</v>
      </c>
      <c r="K230" s="29" t="s">
        <v>190</v>
      </c>
      <c r="L230" s="29">
        <v>0.122</v>
      </c>
      <c r="M230" s="29" t="s">
        <v>256</v>
      </c>
      <c r="N230" s="29">
        <v>0.14199999999999999</v>
      </c>
      <c r="O230" s="29" t="s">
        <v>256</v>
      </c>
      <c r="P230" s="29" t="s">
        <v>256</v>
      </c>
      <c r="Q230" s="29" t="s">
        <v>256</v>
      </c>
      <c r="R230" s="29" t="s">
        <v>256</v>
      </c>
      <c r="S230" s="29" t="s">
        <v>256</v>
      </c>
      <c r="T230" s="29" t="s">
        <v>208</v>
      </c>
      <c r="U230" s="29" t="s">
        <v>208</v>
      </c>
      <c r="V230" s="29" t="s">
        <v>208</v>
      </c>
      <c r="W230" s="117" t="s">
        <v>344</v>
      </c>
      <c r="X230" s="117" t="s">
        <v>344</v>
      </c>
    </row>
    <row r="231" spans="1:24" ht="30" customHeight="1" x14ac:dyDescent="0.2">
      <c r="A231" s="30" t="s">
        <v>207</v>
      </c>
      <c r="B231" s="17" t="s">
        <v>183</v>
      </c>
      <c r="C231" s="17" t="s">
        <v>112</v>
      </c>
      <c r="D231" s="33" t="s">
        <v>190</v>
      </c>
      <c r="E231" s="33" t="s">
        <v>190</v>
      </c>
      <c r="F231" s="33" t="s">
        <v>190</v>
      </c>
      <c r="G231" s="33" t="s">
        <v>190</v>
      </c>
      <c r="H231" s="33" t="s">
        <v>190</v>
      </c>
      <c r="I231" s="33" t="s">
        <v>190</v>
      </c>
      <c r="J231" s="29" t="s">
        <v>190</v>
      </c>
      <c r="K231" s="29" t="s">
        <v>190</v>
      </c>
      <c r="L231" s="29">
        <v>0.04</v>
      </c>
      <c r="M231" s="29">
        <v>3.7999999999999999E-2</v>
      </c>
      <c r="N231" s="29">
        <v>3.5000000000000003E-2</v>
      </c>
      <c r="O231" s="29">
        <v>3.9E-2</v>
      </c>
      <c r="P231" s="29">
        <v>0.04</v>
      </c>
      <c r="Q231" s="29">
        <v>3.6000000000000004E-2</v>
      </c>
      <c r="R231" s="29">
        <v>4.2999999999999997E-2</v>
      </c>
      <c r="S231" s="29">
        <v>4.2999999999999997E-2</v>
      </c>
      <c r="T231" s="29">
        <v>4.9000000000000002E-2</v>
      </c>
      <c r="U231" s="29">
        <v>5.5999999999999994E-2</v>
      </c>
      <c r="V231" s="65">
        <v>0.06</v>
      </c>
      <c r="W231" s="117" t="s">
        <v>344</v>
      </c>
      <c r="X231" s="117" t="s">
        <v>344</v>
      </c>
    </row>
    <row r="232" spans="1:24" x14ac:dyDescent="0.2">
      <c r="A232" s="30" t="s">
        <v>207</v>
      </c>
      <c r="B232" s="17" t="s">
        <v>183</v>
      </c>
      <c r="C232" s="9" t="s">
        <v>113</v>
      </c>
      <c r="D232" s="33" t="s">
        <v>190</v>
      </c>
      <c r="E232" s="33" t="s">
        <v>190</v>
      </c>
      <c r="F232" s="33" t="s">
        <v>190</v>
      </c>
      <c r="G232" s="33" t="s">
        <v>190</v>
      </c>
      <c r="H232" s="33" t="s">
        <v>190</v>
      </c>
      <c r="I232" s="33" t="s">
        <v>190</v>
      </c>
      <c r="J232" s="29" t="s">
        <v>190</v>
      </c>
      <c r="K232" s="29" t="s">
        <v>190</v>
      </c>
      <c r="L232" s="29">
        <v>7.0999999999999994E-2</v>
      </c>
      <c r="M232" s="29">
        <v>7.2000000000000008E-2</v>
      </c>
      <c r="N232" s="29">
        <v>7.6999999999999999E-2</v>
      </c>
      <c r="O232" s="29">
        <v>7.2000000000000008E-2</v>
      </c>
      <c r="P232" s="29">
        <v>7.9000000000000001E-2</v>
      </c>
      <c r="Q232" s="29">
        <v>5.9000000000000004E-2</v>
      </c>
      <c r="R232" s="29">
        <v>8.4000000000000005E-2</v>
      </c>
      <c r="S232" s="29" t="s">
        <v>256</v>
      </c>
      <c r="T232" s="29" t="s">
        <v>256</v>
      </c>
      <c r="U232" s="29" t="s">
        <v>256</v>
      </c>
      <c r="V232" s="29" t="s">
        <v>256</v>
      </c>
      <c r="W232" s="117" t="s">
        <v>344</v>
      </c>
      <c r="X232" s="117" t="s">
        <v>344</v>
      </c>
    </row>
    <row r="233" spans="1:24" x14ac:dyDescent="0.2">
      <c r="A233" s="30" t="s">
        <v>207</v>
      </c>
      <c r="B233" s="17" t="s">
        <v>183</v>
      </c>
      <c r="C233" s="9" t="s">
        <v>114</v>
      </c>
      <c r="D233" s="33" t="s">
        <v>190</v>
      </c>
      <c r="E233" s="33" t="s">
        <v>190</v>
      </c>
      <c r="F233" s="33" t="s">
        <v>190</v>
      </c>
      <c r="G233" s="33" t="s">
        <v>190</v>
      </c>
      <c r="H233" s="33" t="s">
        <v>190</v>
      </c>
      <c r="I233" s="33" t="s">
        <v>190</v>
      </c>
      <c r="J233" s="29" t="s">
        <v>190</v>
      </c>
      <c r="K233" s="29" t="s">
        <v>190</v>
      </c>
      <c r="L233" s="29">
        <v>3.3000000000000002E-2</v>
      </c>
      <c r="M233" s="29">
        <v>3.6000000000000004E-2</v>
      </c>
      <c r="N233" s="29">
        <v>3.2000000000000001E-2</v>
      </c>
      <c r="O233" s="29">
        <v>3.1E-2</v>
      </c>
      <c r="P233" s="29">
        <v>3.7999999999999999E-2</v>
      </c>
      <c r="Q233" s="29">
        <v>3.4000000000000002E-2</v>
      </c>
      <c r="R233" s="29">
        <v>3.4000000000000002E-2</v>
      </c>
      <c r="S233" s="29">
        <v>3.9E-2</v>
      </c>
      <c r="T233" s="29">
        <v>5.0999999999999997E-2</v>
      </c>
      <c r="U233" s="29">
        <v>5.7000000000000002E-2</v>
      </c>
      <c r="V233" s="65">
        <v>6.3E-2</v>
      </c>
      <c r="W233" s="117" t="s">
        <v>344</v>
      </c>
      <c r="X233" s="117" t="s">
        <v>344</v>
      </c>
    </row>
    <row r="234" spans="1:24" x14ac:dyDescent="0.2">
      <c r="A234" s="30" t="s">
        <v>207</v>
      </c>
      <c r="B234" s="17" t="s">
        <v>183</v>
      </c>
      <c r="C234" s="9" t="s">
        <v>115</v>
      </c>
      <c r="D234" s="33" t="s">
        <v>190</v>
      </c>
      <c r="E234" s="33" t="s">
        <v>190</v>
      </c>
      <c r="F234" s="33" t="s">
        <v>190</v>
      </c>
      <c r="G234" s="33" t="s">
        <v>190</v>
      </c>
      <c r="H234" s="33" t="s">
        <v>190</v>
      </c>
      <c r="I234" s="33" t="s">
        <v>190</v>
      </c>
      <c r="J234" s="29" t="s">
        <v>190</v>
      </c>
      <c r="K234" s="29" t="s">
        <v>190</v>
      </c>
      <c r="L234" s="29">
        <v>7.6999999999999999E-2</v>
      </c>
      <c r="M234" s="29">
        <v>7.9000000000000001E-2</v>
      </c>
      <c r="N234" s="29">
        <v>9.0999999999999998E-2</v>
      </c>
      <c r="O234" s="29">
        <v>7.9000000000000001E-2</v>
      </c>
      <c r="P234" s="29">
        <v>9.1999999999999998E-2</v>
      </c>
      <c r="Q234" s="29">
        <v>7.8E-2</v>
      </c>
      <c r="R234" s="29">
        <v>9.9000000000000005E-2</v>
      </c>
      <c r="S234" s="29">
        <v>0.111</v>
      </c>
      <c r="T234" s="29">
        <v>0.13500000000000001</v>
      </c>
      <c r="U234" s="29" t="s">
        <v>256</v>
      </c>
      <c r="V234" s="29" t="s">
        <v>256</v>
      </c>
      <c r="W234" s="117" t="s">
        <v>344</v>
      </c>
      <c r="X234" s="117" t="s">
        <v>344</v>
      </c>
    </row>
    <row r="235" spans="1:24" x14ac:dyDescent="0.2">
      <c r="A235" s="30" t="s">
        <v>207</v>
      </c>
      <c r="B235" s="17" t="s">
        <v>183</v>
      </c>
      <c r="C235" s="9" t="s">
        <v>13</v>
      </c>
      <c r="D235" s="33" t="s">
        <v>190</v>
      </c>
      <c r="E235" s="33" t="s">
        <v>190</v>
      </c>
      <c r="F235" s="33" t="s">
        <v>190</v>
      </c>
      <c r="G235" s="33" t="s">
        <v>190</v>
      </c>
      <c r="H235" s="33" t="s">
        <v>190</v>
      </c>
      <c r="I235" s="33" t="s">
        <v>190</v>
      </c>
      <c r="J235" s="29" t="s">
        <v>190</v>
      </c>
      <c r="K235" s="29" t="s">
        <v>190</v>
      </c>
      <c r="L235" s="29">
        <v>2.4E-2</v>
      </c>
      <c r="M235" s="29">
        <v>2.3E-2</v>
      </c>
      <c r="N235" s="29">
        <v>2.3E-2</v>
      </c>
      <c r="O235" s="29">
        <v>2.5000000000000001E-2</v>
      </c>
      <c r="P235" s="29">
        <v>3.1E-2</v>
      </c>
      <c r="Q235" s="29">
        <v>2.8999999999999998E-2</v>
      </c>
      <c r="R235" s="29">
        <v>3.3000000000000002E-2</v>
      </c>
      <c r="S235" s="29">
        <v>3.1E-2</v>
      </c>
      <c r="T235" s="29">
        <v>3.4000000000000002E-2</v>
      </c>
      <c r="U235" s="29">
        <v>4.0999999999999995E-2</v>
      </c>
      <c r="V235" s="65">
        <v>0.04</v>
      </c>
      <c r="W235" s="117" t="s">
        <v>344</v>
      </c>
      <c r="X235" s="117" t="s">
        <v>344</v>
      </c>
    </row>
    <row r="236" spans="1:24" x14ac:dyDescent="0.2">
      <c r="A236" s="30" t="s">
        <v>207</v>
      </c>
      <c r="B236" s="17" t="s">
        <v>183</v>
      </c>
      <c r="C236" s="9" t="s">
        <v>116</v>
      </c>
      <c r="D236" s="33" t="s">
        <v>190</v>
      </c>
      <c r="E236" s="33" t="s">
        <v>190</v>
      </c>
      <c r="F236" s="33" t="s">
        <v>190</v>
      </c>
      <c r="G236" s="33" t="s">
        <v>190</v>
      </c>
      <c r="H236" s="33" t="s">
        <v>190</v>
      </c>
      <c r="I236" s="33" t="s">
        <v>190</v>
      </c>
      <c r="J236" s="29" t="s">
        <v>190</v>
      </c>
      <c r="K236" s="29" t="s">
        <v>190</v>
      </c>
      <c r="L236" s="29">
        <v>5.7999999999999996E-2</v>
      </c>
      <c r="M236" s="29">
        <v>6.5000000000000002E-2</v>
      </c>
      <c r="N236" s="29">
        <v>6.3E-2</v>
      </c>
      <c r="O236" s="29">
        <v>6.8000000000000005E-2</v>
      </c>
      <c r="P236" s="29">
        <v>6.2E-2</v>
      </c>
      <c r="Q236" s="29">
        <v>6.9000000000000006E-2</v>
      </c>
      <c r="R236" s="29">
        <v>6.3E-2</v>
      </c>
      <c r="S236" s="29">
        <v>7.2999999999999995E-2</v>
      </c>
      <c r="T236" s="29">
        <v>9.3000000000000013E-2</v>
      </c>
      <c r="U236" s="29" t="s">
        <v>256</v>
      </c>
      <c r="V236" s="29" t="s">
        <v>256</v>
      </c>
      <c r="W236" s="117" t="s">
        <v>344</v>
      </c>
      <c r="X236" s="117" t="s">
        <v>344</v>
      </c>
    </row>
    <row r="237" spans="1:24" x14ac:dyDescent="0.2">
      <c r="A237" s="30" t="s">
        <v>207</v>
      </c>
      <c r="B237" s="17" t="s">
        <v>183</v>
      </c>
      <c r="C237" s="9" t="s">
        <v>117</v>
      </c>
      <c r="D237" s="33" t="s">
        <v>190</v>
      </c>
      <c r="E237" s="33" t="s">
        <v>190</v>
      </c>
      <c r="F237" s="33" t="s">
        <v>190</v>
      </c>
      <c r="G237" s="33" t="s">
        <v>190</v>
      </c>
      <c r="H237" s="33" t="s">
        <v>190</v>
      </c>
      <c r="I237" s="33" t="s">
        <v>190</v>
      </c>
      <c r="J237" s="29" t="s">
        <v>190</v>
      </c>
      <c r="K237" s="29" t="s">
        <v>190</v>
      </c>
      <c r="L237" s="29">
        <v>5.4000000000000006E-2</v>
      </c>
      <c r="M237" s="29">
        <v>5.0999999999999997E-2</v>
      </c>
      <c r="N237" s="29">
        <v>4.5999999999999999E-2</v>
      </c>
      <c r="O237" s="29">
        <v>4.9000000000000002E-2</v>
      </c>
      <c r="P237" s="29">
        <v>4.4999999999999998E-2</v>
      </c>
      <c r="Q237" s="29">
        <v>3.6000000000000004E-2</v>
      </c>
      <c r="R237" s="29">
        <v>4.2000000000000003E-2</v>
      </c>
      <c r="S237" s="29">
        <v>4.0999999999999995E-2</v>
      </c>
      <c r="T237" s="29">
        <v>4.9000000000000002E-2</v>
      </c>
      <c r="U237" s="29">
        <v>5.7000000000000002E-2</v>
      </c>
      <c r="V237" s="65">
        <v>6.8000000000000005E-2</v>
      </c>
      <c r="W237" s="117" t="s">
        <v>344</v>
      </c>
      <c r="X237" s="117" t="s">
        <v>344</v>
      </c>
    </row>
    <row r="238" spans="1:24" x14ac:dyDescent="0.2">
      <c r="A238" s="30" t="s">
        <v>207</v>
      </c>
      <c r="B238" s="17" t="s">
        <v>183</v>
      </c>
      <c r="C238" s="9" t="s">
        <v>118</v>
      </c>
      <c r="D238" s="33" t="s">
        <v>190</v>
      </c>
      <c r="E238" s="33" t="s">
        <v>190</v>
      </c>
      <c r="F238" s="33" t="s">
        <v>190</v>
      </c>
      <c r="G238" s="33" t="s">
        <v>190</v>
      </c>
      <c r="H238" s="33" t="s">
        <v>190</v>
      </c>
      <c r="I238" s="33" t="s">
        <v>190</v>
      </c>
      <c r="J238" s="29" t="s">
        <v>190</v>
      </c>
      <c r="K238" s="29" t="s">
        <v>190</v>
      </c>
      <c r="L238" s="29">
        <v>5.2999999999999999E-2</v>
      </c>
      <c r="M238" s="29">
        <v>5.7999999999999996E-2</v>
      </c>
      <c r="N238" s="29">
        <v>5.5E-2</v>
      </c>
      <c r="O238" s="29">
        <v>5.5E-2</v>
      </c>
      <c r="P238" s="29">
        <v>5.2000000000000005E-2</v>
      </c>
      <c r="Q238" s="29">
        <v>0.06</v>
      </c>
      <c r="R238" s="29">
        <v>7.2999999999999995E-2</v>
      </c>
      <c r="S238" s="29" t="s">
        <v>256</v>
      </c>
      <c r="T238" s="29" t="s">
        <v>256</v>
      </c>
      <c r="U238" s="29" t="s">
        <v>256</v>
      </c>
      <c r="V238" s="29" t="s">
        <v>256</v>
      </c>
      <c r="W238" s="117" t="s">
        <v>344</v>
      </c>
      <c r="X238" s="117" t="s">
        <v>344</v>
      </c>
    </row>
    <row r="239" spans="1:24" x14ac:dyDescent="0.2">
      <c r="A239" s="30" t="s">
        <v>207</v>
      </c>
      <c r="B239" s="17" t="s">
        <v>183</v>
      </c>
      <c r="C239" s="9" t="s">
        <v>184</v>
      </c>
      <c r="D239" s="33" t="s">
        <v>190</v>
      </c>
      <c r="E239" s="33" t="s">
        <v>190</v>
      </c>
      <c r="F239" s="33" t="s">
        <v>190</v>
      </c>
      <c r="G239" s="33" t="s">
        <v>190</v>
      </c>
      <c r="H239" s="33" t="s">
        <v>190</v>
      </c>
      <c r="I239" s="33" t="s">
        <v>190</v>
      </c>
      <c r="J239" s="29" t="s">
        <v>190</v>
      </c>
      <c r="K239" s="29" t="s">
        <v>190</v>
      </c>
      <c r="L239" s="29">
        <v>1.4999999999999999E-2</v>
      </c>
      <c r="M239" s="29">
        <v>1.4999999999999999E-2</v>
      </c>
      <c r="N239" s="29">
        <v>1.4999999999999999E-2</v>
      </c>
      <c r="O239" s="29">
        <v>1.4999999999999999E-2</v>
      </c>
      <c r="P239" s="29">
        <v>1.6E-2</v>
      </c>
      <c r="Q239" s="29">
        <v>1.4999999999999999E-2</v>
      </c>
      <c r="R239" s="29">
        <v>1.7000000000000001E-2</v>
      </c>
      <c r="S239" s="29">
        <v>1.7000000000000001E-2</v>
      </c>
      <c r="T239" s="29">
        <v>0.02</v>
      </c>
      <c r="U239" s="29">
        <v>2.3E-2</v>
      </c>
      <c r="V239" s="65">
        <v>2.5000000000000001E-2</v>
      </c>
      <c r="W239" s="117" t="s">
        <v>344</v>
      </c>
      <c r="X239" s="117" t="s">
        <v>344</v>
      </c>
    </row>
    <row r="240" spans="1:24" ht="30" customHeight="1" x14ac:dyDescent="0.2">
      <c r="A240" s="30" t="s">
        <v>207</v>
      </c>
      <c r="B240" s="17" t="s">
        <v>185</v>
      </c>
      <c r="C240" s="17" t="s">
        <v>111</v>
      </c>
      <c r="D240" s="33" t="s">
        <v>190</v>
      </c>
      <c r="E240" s="33" t="s">
        <v>190</v>
      </c>
      <c r="F240" s="33" t="s">
        <v>190</v>
      </c>
      <c r="G240" s="33" t="s">
        <v>190</v>
      </c>
      <c r="H240" s="33" t="s">
        <v>190</v>
      </c>
      <c r="I240" s="33" t="s">
        <v>190</v>
      </c>
      <c r="J240" s="29" t="s">
        <v>190</v>
      </c>
      <c r="K240" s="29" t="s">
        <v>190</v>
      </c>
      <c r="L240" s="29" t="s">
        <v>256</v>
      </c>
      <c r="M240" s="29" t="s">
        <v>208</v>
      </c>
      <c r="N240" s="29" t="s">
        <v>208</v>
      </c>
      <c r="O240" s="29" t="s">
        <v>208</v>
      </c>
      <c r="P240" s="29" t="s">
        <v>208</v>
      </c>
      <c r="Q240" s="29" t="s">
        <v>256</v>
      </c>
      <c r="R240" s="29" t="s">
        <v>256</v>
      </c>
      <c r="S240" s="29" t="s">
        <v>256</v>
      </c>
      <c r="T240" s="29" t="s">
        <v>208</v>
      </c>
      <c r="U240" s="29" t="s">
        <v>208</v>
      </c>
      <c r="V240" s="29" t="s">
        <v>256</v>
      </c>
      <c r="W240" s="117" t="s">
        <v>344</v>
      </c>
      <c r="X240" s="117" t="s">
        <v>344</v>
      </c>
    </row>
    <row r="241" spans="1:24" x14ac:dyDescent="0.2">
      <c r="A241" s="30" t="s">
        <v>207</v>
      </c>
      <c r="B241" s="17" t="s">
        <v>185</v>
      </c>
      <c r="C241" s="9" t="s">
        <v>186</v>
      </c>
      <c r="D241" s="33" t="s">
        <v>190</v>
      </c>
      <c r="E241" s="33" t="s">
        <v>190</v>
      </c>
      <c r="F241" s="33" t="s">
        <v>190</v>
      </c>
      <c r="G241" s="33" t="s">
        <v>190</v>
      </c>
      <c r="H241" s="33" t="s">
        <v>190</v>
      </c>
      <c r="I241" s="33" t="s">
        <v>190</v>
      </c>
      <c r="J241" s="29" t="s">
        <v>190</v>
      </c>
      <c r="K241" s="29" t="s">
        <v>190</v>
      </c>
      <c r="L241" s="29">
        <v>2.1000000000000001E-2</v>
      </c>
      <c r="M241" s="29">
        <v>1.6E-2</v>
      </c>
      <c r="N241" s="29">
        <v>0.02</v>
      </c>
      <c r="O241" s="29">
        <v>2.1000000000000001E-2</v>
      </c>
      <c r="P241" s="29">
        <v>2.2000000000000002E-2</v>
      </c>
      <c r="Q241" s="29">
        <v>2.3E-2</v>
      </c>
      <c r="R241" s="29">
        <v>2.3E-2</v>
      </c>
      <c r="S241" s="29">
        <v>2.2000000000000002E-2</v>
      </c>
      <c r="T241" s="29">
        <v>2.6000000000000002E-2</v>
      </c>
      <c r="U241" s="29">
        <v>2.6000000000000002E-2</v>
      </c>
      <c r="V241" s="65">
        <v>2.7000000000000003E-2</v>
      </c>
      <c r="W241" s="117" t="s">
        <v>344</v>
      </c>
      <c r="X241" s="117" t="s">
        <v>344</v>
      </c>
    </row>
    <row r="242" spans="1:24" x14ac:dyDescent="0.2">
      <c r="A242" s="30" t="s">
        <v>207</v>
      </c>
      <c r="B242" s="17" t="s">
        <v>185</v>
      </c>
      <c r="C242" s="9" t="s">
        <v>151</v>
      </c>
      <c r="D242" s="33" t="s">
        <v>190</v>
      </c>
      <c r="E242" s="33" t="s">
        <v>190</v>
      </c>
      <c r="F242" s="33" t="s">
        <v>190</v>
      </c>
      <c r="G242" s="33" t="s">
        <v>190</v>
      </c>
      <c r="H242" s="33" t="s">
        <v>190</v>
      </c>
      <c r="I242" s="33" t="s">
        <v>190</v>
      </c>
      <c r="J242" s="29" t="s">
        <v>190</v>
      </c>
      <c r="K242" s="29" t="s">
        <v>190</v>
      </c>
      <c r="L242" s="29">
        <v>1.6E-2</v>
      </c>
      <c r="M242" s="29">
        <v>1.3000000000000001E-2</v>
      </c>
      <c r="N242" s="29">
        <v>1.6E-2</v>
      </c>
      <c r="O242" s="29">
        <v>1.7000000000000001E-2</v>
      </c>
      <c r="P242" s="29">
        <v>1.6E-2</v>
      </c>
      <c r="Q242" s="29">
        <v>1.8000000000000002E-2</v>
      </c>
      <c r="R242" s="29">
        <v>1.8000000000000002E-2</v>
      </c>
      <c r="S242" s="29">
        <v>1.6E-2</v>
      </c>
      <c r="T242" s="29">
        <v>1.9E-2</v>
      </c>
      <c r="U242" s="29">
        <v>1.9E-2</v>
      </c>
      <c r="V242" s="65">
        <v>0.02</v>
      </c>
      <c r="W242" s="117" t="s">
        <v>344</v>
      </c>
      <c r="X242" s="117" t="s">
        <v>344</v>
      </c>
    </row>
    <row r="243" spans="1:24" ht="34.5" customHeight="1" x14ac:dyDescent="0.2">
      <c r="A243" s="30" t="s">
        <v>207</v>
      </c>
      <c r="B243" s="91" t="s">
        <v>270</v>
      </c>
      <c r="C243" s="92" t="s">
        <v>271</v>
      </c>
      <c r="D243" s="18" t="s">
        <v>190</v>
      </c>
      <c r="E243" s="18" t="s">
        <v>190</v>
      </c>
      <c r="F243" s="18" t="s">
        <v>190</v>
      </c>
      <c r="G243" s="18" t="s">
        <v>190</v>
      </c>
      <c r="H243" s="18" t="s">
        <v>190</v>
      </c>
      <c r="I243" s="18" t="s">
        <v>190</v>
      </c>
      <c r="J243" s="21" t="s">
        <v>190</v>
      </c>
      <c r="K243" s="21" t="s">
        <v>190</v>
      </c>
      <c r="L243" s="29">
        <v>0.111</v>
      </c>
      <c r="M243" s="29">
        <v>0.124</v>
      </c>
      <c r="N243" s="29">
        <v>0.121</v>
      </c>
      <c r="O243" s="29">
        <v>0.128</v>
      </c>
      <c r="P243" s="29">
        <v>0.11199999999999999</v>
      </c>
      <c r="Q243" s="29">
        <v>0.10800000000000001</v>
      </c>
      <c r="R243" s="29">
        <v>0.127</v>
      </c>
      <c r="S243" s="29">
        <v>0.128</v>
      </c>
      <c r="T243" s="29">
        <v>0.14800000000000002</v>
      </c>
      <c r="U243" s="29">
        <v>0.192</v>
      </c>
      <c r="V243" s="29">
        <v>0.21899999999999997</v>
      </c>
      <c r="W243" s="117" t="s">
        <v>344</v>
      </c>
      <c r="X243" s="117" t="s">
        <v>344</v>
      </c>
    </row>
    <row r="244" spans="1:24" x14ac:dyDescent="0.2">
      <c r="A244" s="30" t="s">
        <v>207</v>
      </c>
      <c r="B244" s="91" t="s">
        <v>270</v>
      </c>
      <c r="C244" s="92" t="s">
        <v>272</v>
      </c>
      <c r="D244" s="18" t="s">
        <v>190</v>
      </c>
      <c r="E244" s="18" t="s">
        <v>190</v>
      </c>
      <c r="F244" s="18" t="s">
        <v>190</v>
      </c>
      <c r="G244" s="18" t="s">
        <v>190</v>
      </c>
      <c r="H244" s="18" t="s">
        <v>190</v>
      </c>
      <c r="I244" s="18" t="s">
        <v>190</v>
      </c>
      <c r="J244" s="21" t="s">
        <v>190</v>
      </c>
      <c r="K244" s="21" t="s">
        <v>190</v>
      </c>
      <c r="L244" s="29">
        <v>0.13699999999999998</v>
      </c>
      <c r="M244" s="29" t="s">
        <v>256</v>
      </c>
      <c r="N244" s="29" t="s">
        <v>256</v>
      </c>
      <c r="O244" s="29" t="s">
        <v>256</v>
      </c>
      <c r="P244" s="29">
        <v>0.19899999999999998</v>
      </c>
      <c r="Q244" s="29">
        <v>0.16699999999999998</v>
      </c>
      <c r="R244" s="29" t="s">
        <v>256</v>
      </c>
      <c r="S244" s="29" t="s">
        <v>256</v>
      </c>
      <c r="T244" s="29" t="s">
        <v>256</v>
      </c>
      <c r="U244" s="29" t="s">
        <v>256</v>
      </c>
      <c r="V244" s="29" t="s">
        <v>256</v>
      </c>
      <c r="W244" s="117" t="s">
        <v>344</v>
      </c>
      <c r="X244" s="117" t="s">
        <v>344</v>
      </c>
    </row>
    <row r="245" spans="1:24" x14ac:dyDescent="0.2">
      <c r="A245" s="30" t="s">
        <v>207</v>
      </c>
      <c r="B245" s="91" t="s">
        <v>270</v>
      </c>
      <c r="C245" s="92" t="s">
        <v>273</v>
      </c>
      <c r="D245" s="18" t="s">
        <v>190</v>
      </c>
      <c r="E245" s="18" t="s">
        <v>190</v>
      </c>
      <c r="F245" s="18" t="s">
        <v>190</v>
      </c>
      <c r="G245" s="18" t="s">
        <v>190</v>
      </c>
      <c r="H245" s="18" t="s">
        <v>190</v>
      </c>
      <c r="I245" s="18" t="s">
        <v>190</v>
      </c>
      <c r="J245" s="21" t="s">
        <v>190</v>
      </c>
      <c r="K245" s="21" t="s">
        <v>190</v>
      </c>
      <c r="L245" s="29">
        <v>0.14899999999999999</v>
      </c>
      <c r="M245" s="29">
        <v>0.17300000000000001</v>
      </c>
      <c r="N245" s="29" t="s">
        <v>256</v>
      </c>
      <c r="O245" s="29" t="s">
        <v>256</v>
      </c>
      <c r="P245" s="29">
        <v>0.23100000000000001</v>
      </c>
      <c r="Q245" s="29" t="s">
        <v>256</v>
      </c>
      <c r="R245" s="29">
        <v>0.20399999999999999</v>
      </c>
      <c r="S245" s="29" t="s">
        <v>256</v>
      </c>
      <c r="T245" s="29" t="s">
        <v>256</v>
      </c>
      <c r="U245" s="29" t="s">
        <v>256</v>
      </c>
      <c r="V245" s="29" t="s">
        <v>208</v>
      </c>
      <c r="W245" s="117" t="s">
        <v>344</v>
      </c>
      <c r="X245" s="117" t="s">
        <v>344</v>
      </c>
    </row>
    <row r="246" spans="1:24" x14ac:dyDescent="0.2">
      <c r="A246" s="30" t="s">
        <v>207</v>
      </c>
      <c r="B246" s="91" t="s">
        <v>270</v>
      </c>
      <c r="C246" s="92" t="s">
        <v>274</v>
      </c>
      <c r="D246" s="18" t="s">
        <v>190</v>
      </c>
      <c r="E246" s="18" t="s">
        <v>190</v>
      </c>
      <c r="F246" s="18" t="s">
        <v>190</v>
      </c>
      <c r="G246" s="18" t="s">
        <v>190</v>
      </c>
      <c r="H246" s="18" t="s">
        <v>190</v>
      </c>
      <c r="I246" s="18" t="s">
        <v>190</v>
      </c>
      <c r="J246" s="21" t="s">
        <v>190</v>
      </c>
      <c r="K246" s="21" t="s">
        <v>190</v>
      </c>
      <c r="L246" s="29">
        <v>5.7999999999999996E-2</v>
      </c>
      <c r="M246" s="29">
        <v>5.9000000000000004E-2</v>
      </c>
      <c r="N246" s="29">
        <v>4.9000000000000002E-2</v>
      </c>
      <c r="O246" s="29">
        <v>5.4000000000000006E-2</v>
      </c>
      <c r="P246" s="29">
        <v>4.4999999999999998E-2</v>
      </c>
      <c r="Q246" s="29">
        <v>3.6000000000000004E-2</v>
      </c>
      <c r="R246" s="29">
        <v>0.04</v>
      </c>
      <c r="S246" s="29">
        <v>4.5999999999999999E-2</v>
      </c>
      <c r="T246" s="29">
        <v>5.5E-2</v>
      </c>
      <c r="U246" s="29">
        <v>0.06</v>
      </c>
      <c r="V246" s="29">
        <v>7.0999999999999994E-2</v>
      </c>
      <c r="W246" s="117" t="s">
        <v>344</v>
      </c>
      <c r="X246" s="117" t="s">
        <v>344</v>
      </c>
    </row>
    <row r="247" spans="1:24" x14ac:dyDescent="0.2">
      <c r="A247" s="30" t="s">
        <v>207</v>
      </c>
      <c r="B247" s="91" t="s">
        <v>270</v>
      </c>
      <c r="C247" s="92" t="s">
        <v>275</v>
      </c>
      <c r="D247" s="18" t="s">
        <v>190</v>
      </c>
      <c r="E247" s="18" t="s">
        <v>190</v>
      </c>
      <c r="F247" s="18" t="s">
        <v>190</v>
      </c>
      <c r="G247" s="18" t="s">
        <v>190</v>
      </c>
      <c r="H247" s="18" t="s">
        <v>190</v>
      </c>
      <c r="I247" s="18" t="s">
        <v>190</v>
      </c>
      <c r="J247" s="21" t="s">
        <v>190</v>
      </c>
      <c r="K247" s="21" t="s">
        <v>190</v>
      </c>
      <c r="L247" s="29">
        <v>6.0999999999999999E-2</v>
      </c>
      <c r="M247" s="29">
        <v>6.8000000000000005E-2</v>
      </c>
      <c r="N247" s="29">
        <v>6.7000000000000004E-2</v>
      </c>
      <c r="O247" s="29">
        <v>6.5000000000000002E-2</v>
      </c>
      <c r="P247" s="29">
        <v>6.2E-2</v>
      </c>
      <c r="Q247" s="29">
        <v>7.0999999999999994E-2</v>
      </c>
      <c r="R247" s="29">
        <v>6.5000000000000002E-2</v>
      </c>
      <c r="S247" s="29">
        <v>7.2000000000000008E-2</v>
      </c>
      <c r="T247" s="29">
        <v>9.4E-2</v>
      </c>
      <c r="U247" s="29" t="s">
        <v>256</v>
      </c>
      <c r="V247" s="29" t="s">
        <v>256</v>
      </c>
      <c r="W247" s="117" t="s">
        <v>344</v>
      </c>
      <c r="X247" s="117" t="s">
        <v>344</v>
      </c>
    </row>
    <row r="248" spans="1:24" x14ac:dyDescent="0.2">
      <c r="A248" s="30" t="s">
        <v>207</v>
      </c>
      <c r="B248" s="91" t="s">
        <v>270</v>
      </c>
      <c r="C248" s="92" t="s">
        <v>276</v>
      </c>
      <c r="D248" s="18" t="s">
        <v>190</v>
      </c>
      <c r="E248" s="18" t="s">
        <v>190</v>
      </c>
      <c r="F248" s="18" t="s">
        <v>190</v>
      </c>
      <c r="G248" s="18" t="s">
        <v>190</v>
      </c>
      <c r="H248" s="18" t="s">
        <v>190</v>
      </c>
      <c r="I248" s="18" t="s">
        <v>190</v>
      </c>
      <c r="J248" s="21" t="s">
        <v>190</v>
      </c>
      <c r="K248" s="21" t="s">
        <v>190</v>
      </c>
      <c r="L248" s="29">
        <v>0.17199999999999999</v>
      </c>
      <c r="M248" s="29">
        <v>0.193</v>
      </c>
      <c r="N248" s="29" t="s">
        <v>256</v>
      </c>
      <c r="O248" s="29" t="s">
        <v>256</v>
      </c>
      <c r="P248" s="29" t="s">
        <v>256</v>
      </c>
      <c r="Q248" s="29" t="s">
        <v>256</v>
      </c>
      <c r="R248" s="29" t="s">
        <v>208</v>
      </c>
      <c r="S248" s="29" t="s">
        <v>256</v>
      </c>
      <c r="T248" s="29" t="s">
        <v>208</v>
      </c>
      <c r="U248" s="29" t="s">
        <v>208</v>
      </c>
      <c r="V248" s="29" t="s">
        <v>208</v>
      </c>
      <c r="W248" s="117" t="s">
        <v>344</v>
      </c>
      <c r="X248" s="117" t="s">
        <v>344</v>
      </c>
    </row>
    <row r="249" spans="1:24" x14ac:dyDescent="0.2">
      <c r="A249" s="30" t="s">
        <v>207</v>
      </c>
      <c r="B249" s="91" t="s">
        <v>270</v>
      </c>
      <c r="C249" s="92" t="s">
        <v>277</v>
      </c>
      <c r="D249" s="18" t="s">
        <v>190</v>
      </c>
      <c r="E249" s="18" t="s">
        <v>190</v>
      </c>
      <c r="F249" s="18" t="s">
        <v>190</v>
      </c>
      <c r="G249" s="18" t="s">
        <v>190</v>
      </c>
      <c r="H249" s="18" t="s">
        <v>190</v>
      </c>
      <c r="I249" s="18" t="s">
        <v>190</v>
      </c>
      <c r="J249" s="21" t="s">
        <v>190</v>
      </c>
      <c r="K249" s="21" t="s">
        <v>190</v>
      </c>
      <c r="L249" s="29">
        <v>5.2000000000000005E-2</v>
      </c>
      <c r="M249" s="29">
        <v>5.7000000000000002E-2</v>
      </c>
      <c r="N249" s="29" t="s">
        <v>256</v>
      </c>
      <c r="O249" s="29">
        <v>5.7000000000000002E-2</v>
      </c>
      <c r="P249" s="29">
        <v>5.2999999999999999E-2</v>
      </c>
      <c r="Q249" s="29">
        <v>6.2E-2</v>
      </c>
      <c r="R249" s="29">
        <v>7.400000000000001E-2</v>
      </c>
      <c r="S249" s="29" t="s">
        <v>256</v>
      </c>
      <c r="T249" s="29" t="s">
        <v>256</v>
      </c>
      <c r="U249" s="29" t="s">
        <v>256</v>
      </c>
      <c r="V249" s="29" t="s">
        <v>256</v>
      </c>
      <c r="W249" s="117" t="s">
        <v>344</v>
      </c>
      <c r="X249" s="117" t="s">
        <v>344</v>
      </c>
    </row>
    <row r="250" spans="1:24" x14ac:dyDescent="0.2">
      <c r="A250" s="30" t="s">
        <v>207</v>
      </c>
      <c r="B250" s="91" t="s">
        <v>270</v>
      </c>
      <c r="C250" s="92" t="s">
        <v>278</v>
      </c>
      <c r="D250" s="18" t="s">
        <v>190</v>
      </c>
      <c r="E250" s="18" t="s">
        <v>190</v>
      </c>
      <c r="F250" s="18" t="s">
        <v>190</v>
      </c>
      <c r="G250" s="18" t="s">
        <v>190</v>
      </c>
      <c r="H250" s="18" t="s">
        <v>190</v>
      </c>
      <c r="I250" s="18" t="s">
        <v>190</v>
      </c>
      <c r="J250" s="21" t="s">
        <v>190</v>
      </c>
      <c r="K250" s="21" t="s">
        <v>190</v>
      </c>
      <c r="L250" s="29" t="s">
        <v>256</v>
      </c>
      <c r="M250" s="29" t="s">
        <v>256</v>
      </c>
      <c r="N250" s="29" t="s">
        <v>208</v>
      </c>
      <c r="O250" s="29" t="s">
        <v>208</v>
      </c>
      <c r="P250" s="29" t="s">
        <v>208</v>
      </c>
      <c r="Q250" s="29" t="s">
        <v>208</v>
      </c>
      <c r="R250" s="29" t="s">
        <v>256</v>
      </c>
      <c r="S250" s="29" t="s">
        <v>208</v>
      </c>
      <c r="T250" s="29" t="s">
        <v>208</v>
      </c>
      <c r="U250" s="29" t="s">
        <v>208</v>
      </c>
      <c r="V250" s="29" t="s">
        <v>208</v>
      </c>
      <c r="W250" s="117" t="s">
        <v>344</v>
      </c>
      <c r="X250" s="117" t="s">
        <v>344</v>
      </c>
    </row>
    <row r="251" spans="1:24" x14ac:dyDescent="0.2">
      <c r="A251" s="30" t="s">
        <v>207</v>
      </c>
      <c r="B251" s="91" t="s">
        <v>270</v>
      </c>
      <c r="C251" s="92" t="s">
        <v>279</v>
      </c>
      <c r="D251" s="18" t="s">
        <v>190</v>
      </c>
      <c r="E251" s="18" t="s">
        <v>190</v>
      </c>
      <c r="F251" s="18" t="s">
        <v>190</v>
      </c>
      <c r="G251" s="18" t="s">
        <v>190</v>
      </c>
      <c r="H251" s="18" t="s">
        <v>190</v>
      </c>
      <c r="I251" s="18" t="s">
        <v>190</v>
      </c>
      <c r="J251" s="21" t="s">
        <v>190</v>
      </c>
      <c r="K251" s="21" t="s">
        <v>190</v>
      </c>
      <c r="L251" s="29" t="s">
        <v>256</v>
      </c>
      <c r="M251" s="29" t="s">
        <v>256</v>
      </c>
      <c r="N251" s="29" t="s">
        <v>256</v>
      </c>
      <c r="O251" s="29" t="s">
        <v>256</v>
      </c>
      <c r="P251" s="29" t="s">
        <v>256</v>
      </c>
      <c r="Q251" s="29">
        <v>0.13100000000000001</v>
      </c>
      <c r="R251" s="29">
        <v>0.13100000000000001</v>
      </c>
      <c r="S251" s="29">
        <v>9.3000000000000013E-2</v>
      </c>
      <c r="T251" s="29">
        <v>0.10199999999999999</v>
      </c>
      <c r="U251" s="29">
        <v>0.14699999999999999</v>
      </c>
      <c r="V251" s="29">
        <v>0.154</v>
      </c>
      <c r="W251" s="117" t="s">
        <v>344</v>
      </c>
      <c r="X251" s="117" t="s">
        <v>344</v>
      </c>
    </row>
    <row r="252" spans="1:24" ht="33" customHeight="1" x14ac:dyDescent="0.2">
      <c r="A252" s="30" t="s">
        <v>207</v>
      </c>
      <c r="B252" s="82" t="s">
        <v>263</v>
      </c>
      <c r="C252" s="9" t="s">
        <v>280</v>
      </c>
      <c r="D252" s="85" t="s">
        <v>190</v>
      </c>
      <c r="E252" s="85" t="s">
        <v>190</v>
      </c>
      <c r="F252" s="85" t="s">
        <v>190</v>
      </c>
      <c r="G252" s="85" t="s">
        <v>190</v>
      </c>
      <c r="H252" s="85" t="s">
        <v>190</v>
      </c>
      <c r="I252" s="85" t="s">
        <v>190</v>
      </c>
      <c r="J252" s="85" t="s">
        <v>190</v>
      </c>
      <c r="K252" s="85" t="s">
        <v>190</v>
      </c>
      <c r="L252" s="29">
        <v>0.01</v>
      </c>
      <c r="M252" s="29">
        <v>0.01</v>
      </c>
      <c r="N252" s="29">
        <v>0.01</v>
      </c>
      <c r="O252" s="29">
        <v>1.1000000000000001E-2</v>
      </c>
      <c r="P252" s="29">
        <v>1.2E-2</v>
      </c>
      <c r="Q252" s="29">
        <v>1.1000000000000001E-2</v>
      </c>
      <c r="R252" s="29">
        <v>1.1000000000000001E-2</v>
      </c>
      <c r="S252" s="29">
        <v>1.1000000000000001E-2</v>
      </c>
      <c r="T252" s="29">
        <v>1.4999999999999999E-2</v>
      </c>
      <c r="U252" s="29">
        <v>1.6E-2</v>
      </c>
      <c r="V252" s="29">
        <v>1.3999999999999999E-2</v>
      </c>
      <c r="W252" s="117" t="s">
        <v>344</v>
      </c>
      <c r="X252" s="117" t="s">
        <v>344</v>
      </c>
    </row>
    <row r="253" spans="1:24" x14ac:dyDescent="0.2">
      <c r="A253" s="30" t="s">
        <v>207</v>
      </c>
      <c r="B253" s="82" t="s">
        <v>263</v>
      </c>
      <c r="C253" s="92" t="s">
        <v>264</v>
      </c>
      <c r="D253" s="84" t="s">
        <v>190</v>
      </c>
      <c r="E253" s="84" t="s">
        <v>190</v>
      </c>
      <c r="F253" s="84" t="s">
        <v>190</v>
      </c>
      <c r="G253" s="84" t="s">
        <v>190</v>
      </c>
      <c r="H253" s="84" t="s">
        <v>190</v>
      </c>
      <c r="I253" s="84" t="s">
        <v>190</v>
      </c>
      <c r="J253" s="85" t="s">
        <v>190</v>
      </c>
      <c r="K253" s="85" t="s">
        <v>190</v>
      </c>
      <c r="L253" s="29">
        <v>9.0000000000000011E-3</v>
      </c>
      <c r="M253" s="29">
        <v>9.0000000000000011E-3</v>
      </c>
      <c r="N253" s="29">
        <v>0.01</v>
      </c>
      <c r="O253" s="29">
        <v>0.01</v>
      </c>
      <c r="P253" s="29">
        <v>1.1000000000000001E-2</v>
      </c>
      <c r="Q253" s="29">
        <v>1.1000000000000001E-2</v>
      </c>
      <c r="R253" s="29">
        <v>1.1000000000000001E-2</v>
      </c>
      <c r="S253" s="29">
        <v>1.2E-2</v>
      </c>
      <c r="T253" s="29">
        <v>1.3000000000000001E-2</v>
      </c>
      <c r="U253" s="29">
        <v>1.3999999999999999E-2</v>
      </c>
      <c r="V253" s="29">
        <v>1.4999999999999999E-2</v>
      </c>
      <c r="W253" s="117" t="s">
        <v>344</v>
      </c>
      <c r="X253" s="117" t="s">
        <v>344</v>
      </c>
    </row>
    <row r="254" spans="1:24" x14ac:dyDescent="0.2">
      <c r="A254" s="30" t="s">
        <v>207</v>
      </c>
      <c r="B254" s="82" t="s">
        <v>263</v>
      </c>
      <c r="C254" s="92" t="s">
        <v>265</v>
      </c>
      <c r="D254" s="84" t="s">
        <v>190</v>
      </c>
      <c r="E254" s="84" t="s">
        <v>190</v>
      </c>
      <c r="F254" s="84" t="s">
        <v>190</v>
      </c>
      <c r="G254" s="84" t="s">
        <v>190</v>
      </c>
      <c r="H254" s="84" t="s">
        <v>190</v>
      </c>
      <c r="I254" s="84" t="s">
        <v>190</v>
      </c>
      <c r="J254" s="85" t="s">
        <v>190</v>
      </c>
      <c r="K254" s="85" t="s">
        <v>190</v>
      </c>
      <c r="L254" s="29">
        <v>1.1000000000000001E-2</v>
      </c>
      <c r="M254" s="29">
        <v>0.01</v>
      </c>
      <c r="N254" s="29">
        <v>1.1000000000000001E-2</v>
      </c>
      <c r="O254" s="29">
        <v>1.1000000000000001E-2</v>
      </c>
      <c r="P254" s="29">
        <v>1.2E-2</v>
      </c>
      <c r="Q254" s="29">
        <v>1.1000000000000001E-2</v>
      </c>
      <c r="R254" s="29">
        <v>1.1000000000000001E-2</v>
      </c>
      <c r="S254" s="29">
        <v>1.1000000000000001E-2</v>
      </c>
      <c r="T254" s="29">
        <v>1.3000000000000001E-2</v>
      </c>
      <c r="U254" s="29">
        <v>1.3999999999999999E-2</v>
      </c>
      <c r="V254" s="29">
        <v>1.4999999999999999E-2</v>
      </c>
      <c r="W254" s="117" t="s">
        <v>344</v>
      </c>
      <c r="X254" s="117" t="s">
        <v>344</v>
      </c>
    </row>
    <row r="255" spans="1:24" x14ac:dyDescent="0.2">
      <c r="A255" s="30" t="s">
        <v>207</v>
      </c>
      <c r="B255" s="82" t="s">
        <v>263</v>
      </c>
      <c r="C255" s="92" t="s">
        <v>266</v>
      </c>
      <c r="D255" s="84" t="s">
        <v>190</v>
      </c>
      <c r="E255" s="84" t="s">
        <v>190</v>
      </c>
      <c r="F255" s="84" t="s">
        <v>190</v>
      </c>
      <c r="G255" s="84" t="s">
        <v>190</v>
      </c>
      <c r="H255" s="84" t="s">
        <v>190</v>
      </c>
      <c r="I255" s="84" t="s">
        <v>190</v>
      </c>
      <c r="J255" s="85" t="s">
        <v>190</v>
      </c>
      <c r="K255" s="85" t="s">
        <v>190</v>
      </c>
      <c r="L255" s="29">
        <v>0.01</v>
      </c>
      <c r="M255" s="29">
        <v>0.01</v>
      </c>
      <c r="N255" s="29">
        <v>0.01</v>
      </c>
      <c r="O255" s="29">
        <v>0.01</v>
      </c>
      <c r="P255" s="29">
        <v>1.1000000000000001E-2</v>
      </c>
      <c r="Q255" s="29">
        <v>1.1000000000000001E-2</v>
      </c>
      <c r="R255" s="29">
        <v>1.1000000000000001E-2</v>
      </c>
      <c r="S255" s="29">
        <v>1.1000000000000001E-2</v>
      </c>
      <c r="T255" s="29">
        <v>1.3000000000000001E-2</v>
      </c>
      <c r="U255" s="29">
        <v>1.3000000000000001E-2</v>
      </c>
      <c r="V255" s="29">
        <v>1.3999999999999999E-2</v>
      </c>
      <c r="W255" s="117" t="s">
        <v>344</v>
      </c>
      <c r="X255" s="117" t="s">
        <v>344</v>
      </c>
    </row>
    <row r="256" spans="1:24" x14ac:dyDescent="0.2">
      <c r="A256" s="30" t="s">
        <v>207</v>
      </c>
      <c r="B256" s="82" t="s">
        <v>263</v>
      </c>
      <c r="C256" s="92" t="s">
        <v>281</v>
      </c>
      <c r="D256" s="84" t="s">
        <v>190</v>
      </c>
      <c r="E256" s="84" t="s">
        <v>190</v>
      </c>
      <c r="F256" s="84" t="s">
        <v>190</v>
      </c>
      <c r="G256" s="84" t="s">
        <v>190</v>
      </c>
      <c r="H256" s="84" t="s">
        <v>190</v>
      </c>
      <c r="I256" s="84" t="s">
        <v>190</v>
      </c>
      <c r="J256" s="85" t="s">
        <v>190</v>
      </c>
      <c r="K256" s="85" t="s">
        <v>190</v>
      </c>
      <c r="L256" s="29">
        <v>0.01</v>
      </c>
      <c r="M256" s="29">
        <v>0.01</v>
      </c>
      <c r="N256" s="29">
        <v>0.01</v>
      </c>
      <c r="O256" s="29">
        <v>0.01</v>
      </c>
      <c r="P256" s="29">
        <v>1.1000000000000001E-2</v>
      </c>
      <c r="Q256" s="29">
        <v>1.1000000000000001E-2</v>
      </c>
      <c r="R256" s="29">
        <v>1.1000000000000001E-2</v>
      </c>
      <c r="S256" s="29">
        <v>1.2E-2</v>
      </c>
      <c r="T256" s="29">
        <v>1.3000000000000001E-2</v>
      </c>
      <c r="U256" s="29">
        <v>1.3999999999999999E-2</v>
      </c>
      <c r="V256" s="29">
        <v>1.3000000000000001E-2</v>
      </c>
      <c r="W256" s="117" t="s">
        <v>344</v>
      </c>
      <c r="X256" s="117" t="s">
        <v>344</v>
      </c>
    </row>
  </sheetData>
  <phoneticPr fontId="44" type="noConversion"/>
  <hyperlinks>
    <hyperlink ref="A11" location="Contents!A1" display="This cell contains a hyperlink to the Table of Contents" xr:uid="{00000000-0004-0000-0F00-000000000000}"/>
    <hyperlink ref="A8" r:id="rId1" xr:uid="{F8EED726-B966-4426-B60D-CE64C3CB55D9}"/>
    <hyperlink ref="A9" r:id="rId2" display="Further data available by gender, age, work pattern, employment type, broad industrial group and qualification from Nomis. This link opens in a new window." xr:uid="{7EA7FA36-1A6B-404D-975F-C89B6782CC55}"/>
  </hyperlinks>
  <pageMargins left="0.7" right="0.7" top="0.75" bottom="0.75" header="0.3" footer="0.3"/>
  <pageSetup paperSize="9" scale="17" orientation="portrait" r:id="rId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W135"/>
  <sheetViews>
    <sheetView showGridLines="0" zoomScaleNormal="100" workbookViewId="0"/>
  </sheetViews>
  <sheetFormatPr defaultColWidth="9.140625" defaultRowHeight="15" x14ac:dyDescent="0.2"/>
  <cols>
    <col min="1" max="1" width="61.42578125" style="13" customWidth="1"/>
    <col min="2" max="2" width="54.42578125" style="9" customWidth="1"/>
    <col min="3" max="8" width="12.5703125" style="32" customWidth="1"/>
    <col min="9" max="19" width="12.5703125" style="14" customWidth="1"/>
    <col min="20" max="20" width="12.5703125" style="63" customWidth="1"/>
    <col min="21" max="21" width="12.5703125" style="13" customWidth="1"/>
    <col min="22" max="22" width="17.42578125" style="13" bestFit="1" customWidth="1"/>
    <col min="23" max="23" width="17.42578125" style="13" customWidth="1"/>
    <col min="24" max="16384" width="9.140625" style="13"/>
  </cols>
  <sheetData>
    <row r="1" spans="1:23" ht="20.25" x14ac:dyDescent="0.3">
      <c r="A1" s="22" t="s">
        <v>326</v>
      </c>
      <c r="B1" s="13"/>
      <c r="C1" s="14"/>
      <c r="D1" s="14"/>
      <c r="E1" s="14"/>
      <c r="F1" s="14"/>
      <c r="G1" s="14"/>
      <c r="H1" s="14"/>
      <c r="O1" s="14" t="s">
        <v>0</v>
      </c>
    </row>
    <row r="2" spans="1:23" x14ac:dyDescent="0.2">
      <c r="A2" s="9" t="s">
        <v>152</v>
      </c>
      <c r="B2" s="13"/>
      <c r="C2" s="14"/>
      <c r="D2" s="14"/>
      <c r="E2" s="14"/>
      <c r="F2" s="14"/>
      <c r="G2" s="14"/>
      <c r="H2" s="14"/>
    </row>
    <row r="3" spans="1:23" x14ac:dyDescent="0.2">
      <c r="A3" s="9" t="s">
        <v>291</v>
      </c>
      <c r="B3" s="13"/>
      <c r="C3" s="14"/>
      <c r="D3" s="14"/>
      <c r="E3" s="14"/>
      <c r="F3" s="14"/>
      <c r="G3" s="14"/>
      <c r="H3" s="14"/>
      <c r="S3" s="13"/>
    </row>
    <row r="4" spans="1:23" x14ac:dyDescent="0.2">
      <c r="A4" s="9" t="s">
        <v>297</v>
      </c>
      <c r="B4" s="13"/>
      <c r="C4" s="14"/>
      <c r="D4" s="14"/>
      <c r="E4" s="14"/>
      <c r="F4" s="14"/>
      <c r="G4" s="14"/>
      <c r="H4" s="14"/>
    </row>
    <row r="5" spans="1:23" x14ac:dyDescent="0.2">
      <c r="A5" s="9" t="s">
        <v>302</v>
      </c>
      <c r="B5" s="13"/>
      <c r="C5" s="14"/>
      <c r="D5" s="14"/>
      <c r="E5" s="14"/>
      <c r="F5" s="14"/>
      <c r="G5" s="14"/>
      <c r="H5" s="14"/>
    </row>
    <row r="6" spans="1:23" x14ac:dyDescent="0.2">
      <c r="A6" s="9" t="s">
        <v>195</v>
      </c>
      <c r="B6" s="13"/>
      <c r="C6" s="14"/>
      <c r="D6" s="14"/>
      <c r="E6" s="14"/>
      <c r="F6" s="14"/>
      <c r="G6" s="14"/>
      <c r="H6" s="14"/>
      <c r="V6" s="14"/>
    </row>
    <row r="7" spans="1:23" x14ac:dyDescent="0.2">
      <c r="A7" s="9" t="s">
        <v>323</v>
      </c>
      <c r="B7" s="13"/>
      <c r="C7" s="14"/>
      <c r="D7" s="14"/>
      <c r="E7" s="14"/>
      <c r="F7" s="14"/>
      <c r="G7" s="14"/>
      <c r="H7" s="14"/>
    </row>
    <row r="8" spans="1:23" ht="15" customHeight="1" x14ac:dyDescent="0.2">
      <c r="A8" s="9" t="s">
        <v>204</v>
      </c>
      <c r="B8" s="13"/>
      <c r="C8" s="15"/>
      <c r="D8" s="15"/>
      <c r="E8" s="15"/>
      <c r="F8" s="15"/>
      <c r="G8" s="15"/>
      <c r="H8" s="15"/>
      <c r="I8" s="15"/>
      <c r="J8" s="15"/>
      <c r="K8" s="15"/>
      <c r="L8" s="15"/>
      <c r="M8" s="15"/>
      <c r="N8" s="15"/>
      <c r="O8" s="15"/>
      <c r="P8" s="15"/>
      <c r="Q8" s="15"/>
      <c r="R8" s="15"/>
      <c r="S8" s="15"/>
      <c r="T8" s="15"/>
      <c r="U8" s="15"/>
      <c r="V8" s="15"/>
    </row>
    <row r="9" spans="1:23" x14ac:dyDescent="0.2">
      <c r="A9" s="3" t="s">
        <v>310</v>
      </c>
      <c r="B9" s="13"/>
      <c r="C9" s="15"/>
      <c r="D9" s="15"/>
      <c r="E9" s="15"/>
      <c r="F9" s="15"/>
      <c r="G9" s="15"/>
      <c r="H9" s="15"/>
      <c r="I9" s="15"/>
      <c r="J9" s="15"/>
      <c r="K9" s="15"/>
      <c r="L9" s="15"/>
      <c r="M9" s="15"/>
      <c r="N9" s="15"/>
      <c r="O9" s="15"/>
      <c r="P9" s="15"/>
      <c r="Q9" s="15"/>
      <c r="R9" s="15"/>
      <c r="S9" s="15"/>
      <c r="T9" s="15"/>
      <c r="U9" s="15"/>
      <c r="V9" s="15"/>
    </row>
    <row r="10" spans="1:23" x14ac:dyDescent="0.2">
      <c r="A10" s="35" t="s">
        <v>313</v>
      </c>
      <c r="B10" s="13"/>
      <c r="C10" s="14"/>
      <c r="D10" s="14"/>
      <c r="E10" s="14"/>
      <c r="F10" s="14"/>
      <c r="G10" s="14"/>
      <c r="H10" s="14"/>
    </row>
    <row r="11" spans="1:23" s="27" customFormat="1" x14ac:dyDescent="0.2">
      <c r="A11" s="26" t="s">
        <v>154</v>
      </c>
      <c r="C11" s="131"/>
      <c r="D11" s="131"/>
      <c r="E11" s="131"/>
      <c r="F11" s="131"/>
      <c r="G11" s="131"/>
      <c r="H11" s="131"/>
      <c r="I11" s="131"/>
      <c r="J11" s="131"/>
      <c r="K11" s="131"/>
      <c r="L11" s="131"/>
      <c r="M11" s="131"/>
      <c r="N11" s="131"/>
      <c r="O11" s="131"/>
      <c r="P11" s="131"/>
      <c r="Q11" s="131"/>
      <c r="R11" s="131"/>
      <c r="S11" s="131"/>
      <c r="T11" s="131"/>
      <c r="U11" s="131"/>
      <c r="V11" s="131"/>
    </row>
    <row r="12" spans="1:23" s="27" customFormat="1" ht="30" customHeight="1" x14ac:dyDescent="0.2">
      <c r="A12" s="35" t="s">
        <v>232</v>
      </c>
      <c r="C12" s="131"/>
      <c r="D12" s="131"/>
      <c r="E12" s="131"/>
      <c r="F12" s="131"/>
      <c r="G12" s="131"/>
      <c r="H12" s="131"/>
      <c r="I12" s="131"/>
      <c r="J12" s="131"/>
      <c r="K12" s="131"/>
      <c r="L12" s="131"/>
      <c r="M12" s="131"/>
      <c r="N12" s="131"/>
      <c r="O12" s="131"/>
      <c r="P12" s="131"/>
      <c r="Q12" s="131"/>
      <c r="R12" s="131"/>
      <c r="S12" s="131"/>
      <c r="T12" s="131"/>
      <c r="U12" s="131"/>
      <c r="V12" s="131"/>
    </row>
    <row r="13" spans="1:23" ht="15.75" customHeight="1" x14ac:dyDescent="0.25">
      <c r="A13" s="23" t="s">
        <v>156</v>
      </c>
      <c r="B13" s="23" t="s">
        <v>157</v>
      </c>
      <c r="C13" s="24" t="s">
        <v>164</v>
      </c>
      <c r="D13" s="24" t="s">
        <v>165</v>
      </c>
      <c r="E13" s="24" t="s">
        <v>166</v>
      </c>
      <c r="F13" s="24" t="s">
        <v>167</v>
      </c>
      <c r="G13" s="24" t="s">
        <v>168</v>
      </c>
      <c r="H13" s="24" t="s">
        <v>169</v>
      </c>
      <c r="I13" s="24" t="s">
        <v>170</v>
      </c>
      <c r="J13" s="24" t="s">
        <v>171</v>
      </c>
      <c r="K13" s="24" t="s">
        <v>172</v>
      </c>
      <c r="L13" s="24" t="s">
        <v>173</v>
      </c>
      <c r="M13" s="24" t="s">
        <v>174</v>
      </c>
      <c r="N13" s="24" t="s">
        <v>175</v>
      </c>
      <c r="O13" s="24" t="s">
        <v>176</v>
      </c>
      <c r="P13" s="24" t="s">
        <v>177</v>
      </c>
      <c r="Q13" s="24" t="s">
        <v>123</v>
      </c>
      <c r="R13" s="25" t="s">
        <v>150</v>
      </c>
      <c r="S13" s="24" t="s">
        <v>187</v>
      </c>
      <c r="T13" s="64" t="s">
        <v>189</v>
      </c>
      <c r="U13" s="24" t="s">
        <v>257</v>
      </c>
      <c r="V13" s="24" t="s">
        <v>316</v>
      </c>
      <c r="W13" s="24" t="s">
        <v>337</v>
      </c>
    </row>
    <row r="14" spans="1:23" x14ac:dyDescent="0.2">
      <c r="A14" s="16" t="s">
        <v>178</v>
      </c>
      <c r="B14" s="17" t="s">
        <v>48</v>
      </c>
      <c r="C14" s="18">
        <v>942700</v>
      </c>
      <c r="D14" s="18">
        <v>991800</v>
      </c>
      <c r="E14" s="18">
        <v>1031000</v>
      </c>
      <c r="F14" s="18">
        <v>1047000</v>
      </c>
      <c r="G14" s="18">
        <v>1051300</v>
      </c>
      <c r="H14" s="18">
        <v>1100700</v>
      </c>
      <c r="I14" s="18">
        <v>1148200</v>
      </c>
      <c r="J14" s="18">
        <v>1206600</v>
      </c>
      <c r="K14" s="18">
        <v>1283800</v>
      </c>
      <c r="L14" s="18">
        <v>1332400</v>
      </c>
      <c r="M14" s="18">
        <v>1444200</v>
      </c>
      <c r="N14" s="18">
        <v>1472100</v>
      </c>
      <c r="O14" s="18">
        <v>1572500</v>
      </c>
      <c r="P14" s="18">
        <v>1618500</v>
      </c>
      <c r="Q14" s="18">
        <v>1608100</v>
      </c>
      <c r="R14" s="18">
        <v>1667000</v>
      </c>
      <c r="S14" s="18">
        <v>1597000</v>
      </c>
      <c r="T14" s="123">
        <v>1523700</v>
      </c>
      <c r="U14" s="123">
        <v>1526100</v>
      </c>
      <c r="V14" s="117">
        <v>1599500</v>
      </c>
      <c r="W14" s="117">
        <v>1528400</v>
      </c>
    </row>
    <row r="15" spans="1:23" x14ac:dyDescent="0.2">
      <c r="A15" s="16" t="s">
        <v>178</v>
      </c>
      <c r="B15" s="17" t="s">
        <v>1</v>
      </c>
      <c r="C15" s="18">
        <v>66100</v>
      </c>
      <c r="D15" s="18">
        <v>68700</v>
      </c>
      <c r="E15" s="18">
        <v>73800</v>
      </c>
      <c r="F15" s="18">
        <v>76000</v>
      </c>
      <c r="G15" s="18">
        <v>80800</v>
      </c>
      <c r="H15" s="18">
        <v>82700</v>
      </c>
      <c r="I15" s="18">
        <v>84000</v>
      </c>
      <c r="J15" s="18">
        <v>84200</v>
      </c>
      <c r="K15" s="18">
        <v>94100</v>
      </c>
      <c r="L15" s="18">
        <v>94300</v>
      </c>
      <c r="M15" s="18">
        <v>101900</v>
      </c>
      <c r="N15" s="18">
        <v>102700</v>
      </c>
      <c r="O15" s="18">
        <v>113700</v>
      </c>
      <c r="P15" s="18">
        <v>110600</v>
      </c>
      <c r="Q15" s="18">
        <v>102900</v>
      </c>
      <c r="R15" s="18">
        <v>116900</v>
      </c>
      <c r="S15" s="18">
        <v>113200</v>
      </c>
      <c r="T15" s="123">
        <v>105300</v>
      </c>
      <c r="U15" s="123">
        <v>109000</v>
      </c>
      <c r="V15" s="117">
        <v>121900</v>
      </c>
      <c r="W15" s="117">
        <v>112200</v>
      </c>
    </row>
    <row r="16" spans="1:23" ht="30" customHeight="1" x14ac:dyDescent="0.2">
      <c r="A16" s="17" t="s">
        <v>179</v>
      </c>
      <c r="B16" s="17" t="s">
        <v>35</v>
      </c>
      <c r="C16" s="18">
        <v>6900</v>
      </c>
      <c r="D16" s="18">
        <v>5800</v>
      </c>
      <c r="E16" s="18">
        <v>7000</v>
      </c>
      <c r="F16" s="18">
        <v>6700</v>
      </c>
      <c r="G16" s="18">
        <v>8200</v>
      </c>
      <c r="H16" s="18">
        <v>7300</v>
      </c>
      <c r="I16" s="18">
        <v>8700</v>
      </c>
      <c r="J16" s="18">
        <v>8700</v>
      </c>
      <c r="K16" s="18">
        <v>8400</v>
      </c>
      <c r="L16" s="18">
        <v>6300</v>
      </c>
      <c r="M16" s="18">
        <v>9200</v>
      </c>
      <c r="N16" s="18">
        <v>7200</v>
      </c>
      <c r="O16" s="18">
        <v>11400</v>
      </c>
      <c r="P16" s="18">
        <v>14100</v>
      </c>
      <c r="Q16" s="18">
        <v>11000</v>
      </c>
      <c r="R16" s="18">
        <v>10400</v>
      </c>
      <c r="S16" s="18">
        <v>10500</v>
      </c>
      <c r="T16" s="18">
        <v>11500</v>
      </c>
      <c r="U16" s="18">
        <v>13400</v>
      </c>
      <c r="V16" s="117" t="s">
        <v>344</v>
      </c>
      <c r="W16" s="117" t="s">
        <v>344</v>
      </c>
    </row>
    <row r="17" spans="1:23" x14ac:dyDescent="0.2">
      <c r="A17" s="16" t="s">
        <v>179</v>
      </c>
      <c r="B17" s="17" t="s">
        <v>36</v>
      </c>
      <c r="C17" s="18">
        <v>15800</v>
      </c>
      <c r="D17" s="18">
        <v>15600</v>
      </c>
      <c r="E17" s="18">
        <v>17200</v>
      </c>
      <c r="F17" s="18">
        <v>18600</v>
      </c>
      <c r="G17" s="18">
        <v>21800</v>
      </c>
      <c r="H17" s="18">
        <v>22700</v>
      </c>
      <c r="I17" s="18">
        <v>19200</v>
      </c>
      <c r="J17" s="18">
        <v>20500</v>
      </c>
      <c r="K17" s="18">
        <v>25800</v>
      </c>
      <c r="L17" s="18">
        <v>24600</v>
      </c>
      <c r="M17" s="18">
        <v>25600</v>
      </c>
      <c r="N17" s="18">
        <v>28600</v>
      </c>
      <c r="O17" s="18">
        <v>29300</v>
      </c>
      <c r="P17" s="18">
        <v>26400</v>
      </c>
      <c r="Q17" s="18">
        <v>26000</v>
      </c>
      <c r="R17" s="18">
        <v>30200</v>
      </c>
      <c r="S17" s="18">
        <v>33200</v>
      </c>
      <c r="T17" s="18">
        <v>22900</v>
      </c>
      <c r="U17" s="18">
        <v>29100</v>
      </c>
      <c r="V17" s="117" t="s">
        <v>344</v>
      </c>
      <c r="W17" s="117" t="s">
        <v>344</v>
      </c>
    </row>
    <row r="18" spans="1:23" x14ac:dyDescent="0.2">
      <c r="A18" s="16" t="s">
        <v>179</v>
      </c>
      <c r="B18" s="17" t="s">
        <v>37</v>
      </c>
      <c r="C18" s="18">
        <v>16800</v>
      </c>
      <c r="D18" s="18">
        <v>20300</v>
      </c>
      <c r="E18" s="18">
        <v>22000</v>
      </c>
      <c r="F18" s="18">
        <v>20400</v>
      </c>
      <c r="G18" s="18">
        <v>21100</v>
      </c>
      <c r="H18" s="18">
        <v>23900</v>
      </c>
      <c r="I18" s="18">
        <v>24900</v>
      </c>
      <c r="J18" s="18">
        <v>23600</v>
      </c>
      <c r="K18" s="18">
        <v>25500</v>
      </c>
      <c r="L18" s="18">
        <v>26500</v>
      </c>
      <c r="M18" s="18">
        <v>30500</v>
      </c>
      <c r="N18" s="18">
        <v>29800</v>
      </c>
      <c r="O18" s="18">
        <v>31600</v>
      </c>
      <c r="P18" s="18">
        <v>27500</v>
      </c>
      <c r="Q18" s="18">
        <v>27100</v>
      </c>
      <c r="R18" s="18">
        <v>35400</v>
      </c>
      <c r="S18" s="18">
        <v>32500</v>
      </c>
      <c r="T18" s="18">
        <v>32000</v>
      </c>
      <c r="U18" s="18">
        <v>31400</v>
      </c>
      <c r="V18" s="117" t="s">
        <v>344</v>
      </c>
      <c r="W18" s="117" t="s">
        <v>344</v>
      </c>
    </row>
    <row r="19" spans="1:23" x14ac:dyDescent="0.2">
      <c r="A19" s="16" t="s">
        <v>179</v>
      </c>
      <c r="B19" s="17" t="s">
        <v>236</v>
      </c>
      <c r="C19" s="18">
        <v>4000</v>
      </c>
      <c r="D19" s="18">
        <v>4300</v>
      </c>
      <c r="E19" s="18">
        <v>4100</v>
      </c>
      <c r="F19" s="18">
        <v>4300</v>
      </c>
      <c r="G19" s="18">
        <v>3200</v>
      </c>
      <c r="H19" s="18">
        <v>4000</v>
      </c>
      <c r="I19" s="18">
        <v>4800</v>
      </c>
      <c r="J19" s="18">
        <v>4300</v>
      </c>
      <c r="K19" s="18">
        <v>5000</v>
      </c>
      <c r="L19" s="18">
        <v>5600</v>
      </c>
      <c r="M19" s="18">
        <v>5500</v>
      </c>
      <c r="N19" s="18">
        <v>4900</v>
      </c>
      <c r="O19" s="18">
        <v>6200</v>
      </c>
      <c r="P19" s="18">
        <v>6300</v>
      </c>
      <c r="Q19" s="18">
        <v>4100</v>
      </c>
      <c r="R19" s="18">
        <v>6300</v>
      </c>
      <c r="S19" s="18">
        <v>6200</v>
      </c>
      <c r="T19" s="18">
        <v>6700</v>
      </c>
      <c r="U19" s="18">
        <v>4300</v>
      </c>
      <c r="V19" s="117" t="s">
        <v>344</v>
      </c>
      <c r="W19" s="117" t="s">
        <v>344</v>
      </c>
    </row>
    <row r="20" spans="1:23" x14ac:dyDescent="0.2">
      <c r="A20" s="16" t="s">
        <v>179</v>
      </c>
      <c r="B20" s="17" t="s">
        <v>38</v>
      </c>
      <c r="C20" s="18">
        <v>9000</v>
      </c>
      <c r="D20" s="18">
        <v>11100</v>
      </c>
      <c r="E20" s="18">
        <v>12500</v>
      </c>
      <c r="F20" s="18">
        <v>11600</v>
      </c>
      <c r="G20" s="18">
        <v>11500</v>
      </c>
      <c r="H20" s="18">
        <v>12800</v>
      </c>
      <c r="I20" s="18">
        <v>11100</v>
      </c>
      <c r="J20" s="18">
        <v>12400</v>
      </c>
      <c r="K20" s="18">
        <v>12100</v>
      </c>
      <c r="L20" s="18">
        <v>12500</v>
      </c>
      <c r="M20" s="18">
        <v>16700</v>
      </c>
      <c r="N20" s="18">
        <v>16300</v>
      </c>
      <c r="O20" s="18">
        <v>17600</v>
      </c>
      <c r="P20" s="18">
        <v>16200</v>
      </c>
      <c r="Q20" s="18">
        <v>14800</v>
      </c>
      <c r="R20" s="18">
        <v>20100</v>
      </c>
      <c r="S20" s="18">
        <v>15400</v>
      </c>
      <c r="T20" s="18">
        <v>14600</v>
      </c>
      <c r="U20" s="18">
        <v>16100</v>
      </c>
      <c r="V20" s="117" t="s">
        <v>344</v>
      </c>
      <c r="W20" s="117" t="s">
        <v>344</v>
      </c>
    </row>
    <row r="21" spans="1:23" x14ac:dyDescent="0.2">
      <c r="A21" s="16" t="s">
        <v>179</v>
      </c>
      <c r="B21" s="17" t="s">
        <v>121</v>
      </c>
      <c r="C21" s="18">
        <v>11100</v>
      </c>
      <c r="D21" s="18">
        <v>11000</v>
      </c>
      <c r="E21" s="18">
        <v>10100</v>
      </c>
      <c r="F21" s="18">
        <v>10900</v>
      </c>
      <c r="G21" s="18">
        <v>11400</v>
      </c>
      <c r="H21" s="18">
        <v>10100</v>
      </c>
      <c r="I21" s="18">
        <v>11900</v>
      </c>
      <c r="J21" s="18">
        <v>11300</v>
      </c>
      <c r="K21" s="18">
        <v>12600</v>
      </c>
      <c r="L21" s="18">
        <v>13400</v>
      </c>
      <c r="M21" s="18">
        <v>12900</v>
      </c>
      <c r="N21" s="18">
        <v>12000</v>
      </c>
      <c r="O21" s="18">
        <v>12800</v>
      </c>
      <c r="P21" s="18">
        <v>13100</v>
      </c>
      <c r="Q21" s="18">
        <v>13700</v>
      </c>
      <c r="R21" s="18">
        <v>11500</v>
      </c>
      <c r="S21" s="18">
        <v>11500</v>
      </c>
      <c r="T21" s="18">
        <v>12400</v>
      </c>
      <c r="U21" s="18">
        <v>14900</v>
      </c>
      <c r="V21" s="117" t="s">
        <v>344</v>
      </c>
      <c r="W21" s="117" t="s">
        <v>344</v>
      </c>
    </row>
    <row r="22" spans="1:23" x14ac:dyDescent="0.2">
      <c r="A22" s="16" t="s">
        <v>179</v>
      </c>
      <c r="B22" s="17" t="s">
        <v>39</v>
      </c>
      <c r="C22" s="18">
        <v>4000</v>
      </c>
      <c r="D22" s="18">
        <v>3800</v>
      </c>
      <c r="E22" s="18">
        <v>4200</v>
      </c>
      <c r="F22" s="18">
        <v>5100</v>
      </c>
      <c r="G22" s="18">
        <v>5000</v>
      </c>
      <c r="H22" s="18">
        <v>4900</v>
      </c>
      <c r="I22" s="18">
        <v>5500</v>
      </c>
      <c r="J22" s="18">
        <v>5700</v>
      </c>
      <c r="K22" s="18">
        <v>5900</v>
      </c>
      <c r="L22" s="18">
        <v>6600</v>
      </c>
      <c r="M22" s="18">
        <v>6700</v>
      </c>
      <c r="N22" s="18">
        <v>6100</v>
      </c>
      <c r="O22" s="18">
        <v>7000</v>
      </c>
      <c r="P22" s="18">
        <v>8000</v>
      </c>
      <c r="Q22" s="18">
        <v>6400</v>
      </c>
      <c r="R22" s="18">
        <v>6900</v>
      </c>
      <c r="S22" s="18">
        <v>6500</v>
      </c>
      <c r="T22" s="18">
        <v>5800</v>
      </c>
      <c r="U22" s="18">
        <v>5500</v>
      </c>
      <c r="V22" s="117" t="s">
        <v>344</v>
      </c>
      <c r="W22" s="117" t="s">
        <v>344</v>
      </c>
    </row>
    <row r="23" spans="1:23" x14ac:dyDescent="0.2">
      <c r="A23" s="16" t="s">
        <v>179</v>
      </c>
      <c r="B23" s="17" t="s">
        <v>40</v>
      </c>
      <c r="C23" s="18">
        <v>4500</v>
      </c>
      <c r="D23" s="18">
        <v>4300</v>
      </c>
      <c r="E23" s="18">
        <v>5100</v>
      </c>
      <c r="F23" s="18">
        <v>5600</v>
      </c>
      <c r="G23" s="18">
        <v>6300</v>
      </c>
      <c r="H23" s="18">
        <v>5300</v>
      </c>
      <c r="I23" s="18">
        <v>5600</v>
      </c>
      <c r="J23" s="18">
        <v>6600</v>
      </c>
      <c r="K23" s="18">
        <v>6900</v>
      </c>
      <c r="L23" s="18">
        <v>7400</v>
      </c>
      <c r="M23" s="18">
        <v>7200</v>
      </c>
      <c r="N23" s="18">
        <v>8300</v>
      </c>
      <c r="O23" s="18">
        <v>7800</v>
      </c>
      <c r="P23" s="18">
        <v>7800</v>
      </c>
      <c r="Q23" s="18">
        <v>8400</v>
      </c>
      <c r="R23" s="18">
        <v>8200</v>
      </c>
      <c r="S23" s="18">
        <v>8600</v>
      </c>
      <c r="T23" s="18">
        <v>8000</v>
      </c>
      <c r="U23" s="18">
        <v>6800</v>
      </c>
      <c r="V23" s="117" t="s">
        <v>344</v>
      </c>
      <c r="W23" s="117" t="s">
        <v>344</v>
      </c>
    </row>
    <row r="24" spans="1:23" ht="30" customHeight="1" x14ac:dyDescent="0.2">
      <c r="A24" s="17" t="s">
        <v>180</v>
      </c>
      <c r="B24" s="17" t="s">
        <v>41</v>
      </c>
      <c r="C24" s="18">
        <v>3400</v>
      </c>
      <c r="D24" s="18">
        <v>3100</v>
      </c>
      <c r="E24" s="18">
        <v>3200</v>
      </c>
      <c r="F24" s="18">
        <v>3500</v>
      </c>
      <c r="G24" s="18">
        <v>3600</v>
      </c>
      <c r="H24" s="18">
        <v>2900</v>
      </c>
      <c r="I24" s="18">
        <v>3900</v>
      </c>
      <c r="J24" s="18">
        <v>3700</v>
      </c>
      <c r="K24" s="18">
        <v>3900</v>
      </c>
      <c r="L24" s="18">
        <v>4200</v>
      </c>
      <c r="M24" s="18">
        <v>4300</v>
      </c>
      <c r="N24" s="18">
        <v>4000</v>
      </c>
      <c r="O24" s="18">
        <v>4000</v>
      </c>
      <c r="P24" s="18">
        <v>4100</v>
      </c>
      <c r="Q24" s="18">
        <v>4600</v>
      </c>
      <c r="R24" s="18">
        <v>4600</v>
      </c>
      <c r="S24" s="18">
        <v>4700</v>
      </c>
      <c r="T24" s="18">
        <v>4400</v>
      </c>
      <c r="U24" s="18">
        <v>4100</v>
      </c>
      <c r="V24" s="117" t="s">
        <v>344</v>
      </c>
      <c r="W24" s="117" t="s">
        <v>344</v>
      </c>
    </row>
    <row r="25" spans="1:23" x14ac:dyDescent="0.2">
      <c r="A25" s="16" t="s">
        <v>180</v>
      </c>
      <c r="B25" s="17" t="s">
        <v>42</v>
      </c>
      <c r="C25" s="18">
        <v>26500</v>
      </c>
      <c r="D25" s="18">
        <v>25200</v>
      </c>
      <c r="E25" s="18">
        <v>27300</v>
      </c>
      <c r="F25" s="18">
        <v>29300</v>
      </c>
      <c r="G25" s="18">
        <v>31100</v>
      </c>
      <c r="H25" s="18">
        <v>29800</v>
      </c>
      <c r="I25" s="18">
        <v>31300</v>
      </c>
      <c r="J25" s="18">
        <v>32900</v>
      </c>
      <c r="K25" s="18">
        <v>33000</v>
      </c>
      <c r="L25" s="18">
        <v>34400</v>
      </c>
      <c r="M25" s="18">
        <v>37000</v>
      </c>
      <c r="N25" s="18">
        <v>36600</v>
      </c>
      <c r="O25" s="18">
        <v>38700</v>
      </c>
      <c r="P25" s="18">
        <v>42100</v>
      </c>
      <c r="Q25" s="18">
        <v>38300</v>
      </c>
      <c r="R25" s="18">
        <v>37200</v>
      </c>
      <c r="S25" s="18">
        <v>37300</v>
      </c>
      <c r="T25" s="18">
        <v>39600</v>
      </c>
      <c r="U25" s="18">
        <v>39200</v>
      </c>
      <c r="V25" s="117" t="s">
        <v>344</v>
      </c>
      <c r="W25" s="117" t="s">
        <v>344</v>
      </c>
    </row>
    <row r="26" spans="1:23" x14ac:dyDescent="0.2">
      <c r="A26" s="16" t="s">
        <v>180</v>
      </c>
      <c r="B26" s="17" t="s">
        <v>43</v>
      </c>
      <c r="C26" s="18">
        <v>21800</v>
      </c>
      <c r="D26" s="18">
        <v>25800</v>
      </c>
      <c r="E26" s="18">
        <v>27500</v>
      </c>
      <c r="F26" s="18">
        <v>25400</v>
      </c>
      <c r="G26" s="18">
        <v>25700</v>
      </c>
      <c r="H26" s="18">
        <v>28200</v>
      </c>
      <c r="I26" s="18">
        <v>29400</v>
      </c>
      <c r="J26" s="18">
        <v>28700</v>
      </c>
      <c r="K26" s="18">
        <v>31800</v>
      </c>
      <c r="L26" s="18">
        <v>33600</v>
      </c>
      <c r="M26" s="18">
        <v>37000</v>
      </c>
      <c r="N26" s="18">
        <v>37300</v>
      </c>
      <c r="O26" s="18">
        <v>39100</v>
      </c>
      <c r="P26" s="18">
        <v>34300</v>
      </c>
      <c r="Q26" s="18">
        <v>36900</v>
      </c>
      <c r="R26" s="18">
        <v>40000</v>
      </c>
      <c r="S26" s="18">
        <v>39000</v>
      </c>
      <c r="T26" s="18">
        <v>30600</v>
      </c>
      <c r="U26" s="18">
        <v>37500</v>
      </c>
      <c r="V26" s="117" t="s">
        <v>344</v>
      </c>
      <c r="W26" s="117" t="s">
        <v>344</v>
      </c>
    </row>
    <row r="27" spans="1:23" x14ac:dyDescent="0.2">
      <c r="A27" s="16" t="s">
        <v>180</v>
      </c>
      <c r="B27" s="17" t="s">
        <v>44</v>
      </c>
      <c r="C27" s="18">
        <v>14500</v>
      </c>
      <c r="D27" s="18">
        <v>14700</v>
      </c>
      <c r="E27" s="18">
        <v>15900</v>
      </c>
      <c r="F27" s="18">
        <v>17800</v>
      </c>
      <c r="G27" s="18">
        <v>20400</v>
      </c>
      <c r="H27" s="18">
        <v>21800</v>
      </c>
      <c r="I27" s="18">
        <v>19400</v>
      </c>
      <c r="J27" s="18">
        <v>18800</v>
      </c>
      <c r="K27" s="18">
        <v>25400</v>
      </c>
      <c r="L27" s="18">
        <v>22100</v>
      </c>
      <c r="M27" s="18">
        <v>23500</v>
      </c>
      <c r="N27" s="18">
        <v>24800</v>
      </c>
      <c r="O27" s="18">
        <v>31900</v>
      </c>
      <c r="P27" s="18">
        <v>30100</v>
      </c>
      <c r="Q27" s="18">
        <v>23100</v>
      </c>
      <c r="R27" s="18">
        <v>35100</v>
      </c>
      <c r="S27" s="18">
        <v>32100</v>
      </c>
      <c r="T27" s="18">
        <v>30700</v>
      </c>
      <c r="U27" s="18">
        <v>28300</v>
      </c>
      <c r="V27" s="117" t="s">
        <v>344</v>
      </c>
      <c r="W27" s="117" t="s">
        <v>344</v>
      </c>
    </row>
    <row r="28" spans="1:23" ht="30" customHeight="1" x14ac:dyDescent="0.2">
      <c r="A28" s="17" t="s">
        <v>181</v>
      </c>
      <c r="B28" s="17" t="s">
        <v>45</v>
      </c>
      <c r="C28" s="18">
        <f>C21</f>
        <v>11100</v>
      </c>
      <c r="D28" s="18">
        <f t="shared" ref="D28:U28" si="0">D21</f>
        <v>11000</v>
      </c>
      <c r="E28" s="18">
        <f t="shared" si="0"/>
        <v>10100</v>
      </c>
      <c r="F28" s="18">
        <f t="shared" si="0"/>
        <v>10900</v>
      </c>
      <c r="G28" s="18">
        <f t="shared" si="0"/>
        <v>11400</v>
      </c>
      <c r="H28" s="18">
        <f t="shared" si="0"/>
        <v>10100</v>
      </c>
      <c r="I28" s="18">
        <f t="shared" si="0"/>
        <v>11900</v>
      </c>
      <c r="J28" s="18">
        <f t="shared" si="0"/>
        <v>11300</v>
      </c>
      <c r="K28" s="18">
        <f t="shared" si="0"/>
        <v>12600</v>
      </c>
      <c r="L28" s="18">
        <f t="shared" si="0"/>
        <v>13400</v>
      </c>
      <c r="M28" s="18">
        <f t="shared" si="0"/>
        <v>12900</v>
      </c>
      <c r="N28" s="18">
        <f t="shared" si="0"/>
        <v>12000</v>
      </c>
      <c r="O28" s="18">
        <f t="shared" si="0"/>
        <v>12800</v>
      </c>
      <c r="P28" s="18">
        <f t="shared" si="0"/>
        <v>13100</v>
      </c>
      <c r="Q28" s="18">
        <f t="shared" si="0"/>
        <v>13700</v>
      </c>
      <c r="R28" s="18">
        <f t="shared" si="0"/>
        <v>11500</v>
      </c>
      <c r="S28" s="18">
        <f t="shared" si="0"/>
        <v>11500</v>
      </c>
      <c r="T28" s="18">
        <f t="shared" si="0"/>
        <v>12400</v>
      </c>
      <c r="U28" s="18">
        <f t="shared" si="0"/>
        <v>14900</v>
      </c>
      <c r="V28" s="117" t="s">
        <v>344</v>
      </c>
      <c r="W28" s="117" t="s">
        <v>344</v>
      </c>
    </row>
    <row r="29" spans="1:23" x14ac:dyDescent="0.2">
      <c r="A29" s="16" t="s">
        <v>181</v>
      </c>
      <c r="B29" s="17" t="s">
        <v>120</v>
      </c>
      <c r="C29" s="18">
        <f>C23</f>
        <v>4500</v>
      </c>
      <c r="D29" s="18">
        <f t="shared" ref="D29:U29" si="1">D23</f>
        <v>4300</v>
      </c>
      <c r="E29" s="18">
        <f t="shared" si="1"/>
        <v>5100</v>
      </c>
      <c r="F29" s="18">
        <f t="shared" si="1"/>
        <v>5600</v>
      </c>
      <c r="G29" s="18">
        <f t="shared" si="1"/>
        <v>6300</v>
      </c>
      <c r="H29" s="18">
        <f t="shared" si="1"/>
        <v>5300</v>
      </c>
      <c r="I29" s="18">
        <f t="shared" si="1"/>
        <v>5600</v>
      </c>
      <c r="J29" s="18">
        <f t="shared" si="1"/>
        <v>6600</v>
      </c>
      <c r="K29" s="18">
        <f t="shared" si="1"/>
        <v>6900</v>
      </c>
      <c r="L29" s="18">
        <f t="shared" si="1"/>
        <v>7400</v>
      </c>
      <c r="M29" s="18">
        <f t="shared" si="1"/>
        <v>7200</v>
      </c>
      <c r="N29" s="18">
        <f t="shared" si="1"/>
        <v>8300</v>
      </c>
      <c r="O29" s="18">
        <f t="shared" si="1"/>
        <v>7800</v>
      </c>
      <c r="P29" s="18">
        <f t="shared" si="1"/>
        <v>7800</v>
      </c>
      <c r="Q29" s="18">
        <f t="shared" si="1"/>
        <v>8400</v>
      </c>
      <c r="R29" s="18">
        <f t="shared" si="1"/>
        <v>8200</v>
      </c>
      <c r="S29" s="18">
        <f t="shared" si="1"/>
        <v>8600</v>
      </c>
      <c r="T29" s="18">
        <f t="shared" si="1"/>
        <v>8000</v>
      </c>
      <c r="U29" s="18">
        <f t="shared" si="1"/>
        <v>6800</v>
      </c>
      <c r="V29" s="117" t="s">
        <v>344</v>
      </c>
      <c r="W29" s="117" t="s">
        <v>344</v>
      </c>
    </row>
    <row r="30" spans="1:23" x14ac:dyDescent="0.2">
      <c r="A30" s="16" t="s">
        <v>181</v>
      </c>
      <c r="B30" s="17" t="s">
        <v>46</v>
      </c>
      <c r="C30" s="18">
        <v>50500</v>
      </c>
      <c r="D30" s="18">
        <v>53400</v>
      </c>
      <c r="E30" s="18">
        <v>58700</v>
      </c>
      <c r="F30" s="18">
        <v>59500</v>
      </c>
      <c r="G30" s="18">
        <v>63100</v>
      </c>
      <c r="H30" s="18">
        <v>67200</v>
      </c>
      <c r="I30" s="18">
        <v>66600</v>
      </c>
      <c r="J30" s="18">
        <v>66300</v>
      </c>
      <c r="K30" s="18">
        <v>74700</v>
      </c>
      <c r="L30" s="18">
        <v>73400</v>
      </c>
      <c r="M30" s="18">
        <v>81700</v>
      </c>
      <c r="N30" s="18">
        <v>82400</v>
      </c>
      <c r="O30" s="18">
        <v>93200</v>
      </c>
      <c r="P30" s="18">
        <v>89700</v>
      </c>
      <c r="Q30" s="18">
        <v>80800</v>
      </c>
      <c r="R30" s="18">
        <v>97300</v>
      </c>
      <c r="S30" s="18">
        <v>93000</v>
      </c>
      <c r="T30" s="18">
        <v>84900</v>
      </c>
      <c r="U30" s="18">
        <v>87400</v>
      </c>
      <c r="V30" s="117" t="s">
        <v>344</v>
      </c>
      <c r="W30" s="117" t="s">
        <v>344</v>
      </c>
    </row>
    <row r="31" spans="1:23" ht="30" customHeight="1" x14ac:dyDescent="0.2">
      <c r="A31" s="17" t="s">
        <v>47</v>
      </c>
      <c r="B31" s="17" t="s">
        <v>22</v>
      </c>
      <c r="C31" s="18">
        <v>2100</v>
      </c>
      <c r="D31" s="18">
        <v>1900</v>
      </c>
      <c r="E31" s="18">
        <v>2200</v>
      </c>
      <c r="F31" s="18">
        <v>2600</v>
      </c>
      <c r="G31" s="18">
        <v>2700</v>
      </c>
      <c r="H31" s="18">
        <v>1700</v>
      </c>
      <c r="I31" s="18">
        <v>2500</v>
      </c>
      <c r="J31" s="18">
        <v>2500</v>
      </c>
      <c r="K31" s="18">
        <v>3500</v>
      </c>
      <c r="L31" s="18">
        <v>2400</v>
      </c>
      <c r="M31" s="18">
        <v>3000</v>
      </c>
      <c r="N31" s="18">
        <v>2300</v>
      </c>
      <c r="O31" s="18">
        <v>5500</v>
      </c>
      <c r="P31" s="18">
        <v>5300</v>
      </c>
      <c r="Q31" s="18">
        <v>4400</v>
      </c>
      <c r="R31" s="18">
        <v>5300</v>
      </c>
      <c r="S31" s="18">
        <v>4200</v>
      </c>
      <c r="T31" s="123">
        <v>5500</v>
      </c>
      <c r="U31" s="123">
        <v>5800</v>
      </c>
      <c r="V31" s="117" t="s">
        <v>344</v>
      </c>
      <c r="W31" s="117" t="s">
        <v>344</v>
      </c>
    </row>
    <row r="32" spans="1:23" x14ac:dyDescent="0.2">
      <c r="A32" s="16" t="s">
        <v>47</v>
      </c>
      <c r="B32" s="17" t="s">
        <v>23</v>
      </c>
      <c r="C32" s="18">
        <v>4800</v>
      </c>
      <c r="D32" s="18">
        <v>3900</v>
      </c>
      <c r="E32" s="18">
        <v>4800</v>
      </c>
      <c r="F32" s="18">
        <v>4200</v>
      </c>
      <c r="G32" s="18">
        <v>5400</v>
      </c>
      <c r="H32" s="18">
        <v>5500</v>
      </c>
      <c r="I32" s="21">
        <v>6200</v>
      </c>
      <c r="J32" s="21">
        <v>6200</v>
      </c>
      <c r="K32" s="21">
        <v>4900</v>
      </c>
      <c r="L32" s="21">
        <v>3900</v>
      </c>
      <c r="M32" s="21">
        <v>6100</v>
      </c>
      <c r="N32" s="21">
        <v>4900</v>
      </c>
      <c r="O32" s="21">
        <v>5900</v>
      </c>
      <c r="P32" s="21">
        <v>8800</v>
      </c>
      <c r="Q32" s="21">
        <v>6600</v>
      </c>
      <c r="R32" s="21">
        <v>5200</v>
      </c>
      <c r="S32" s="18">
        <v>6300</v>
      </c>
      <c r="T32" s="123">
        <v>6000</v>
      </c>
      <c r="U32" s="123">
        <v>7600</v>
      </c>
      <c r="V32" s="117" t="s">
        <v>344</v>
      </c>
      <c r="W32" s="117" t="s">
        <v>344</v>
      </c>
    </row>
    <row r="33" spans="1:23" x14ac:dyDescent="0.2">
      <c r="A33" s="16" t="s">
        <v>47</v>
      </c>
      <c r="B33" s="17" t="s">
        <v>29</v>
      </c>
      <c r="C33" s="18">
        <v>1800</v>
      </c>
      <c r="D33" s="18">
        <v>2100</v>
      </c>
      <c r="E33" s="18">
        <v>2200</v>
      </c>
      <c r="F33" s="18">
        <v>2300</v>
      </c>
      <c r="G33" s="18">
        <v>2300</v>
      </c>
      <c r="H33" s="18">
        <v>2400</v>
      </c>
      <c r="I33" s="21">
        <v>2500</v>
      </c>
      <c r="J33" s="21">
        <v>2500</v>
      </c>
      <c r="K33" s="21">
        <v>2200</v>
      </c>
      <c r="L33" s="21">
        <v>2300</v>
      </c>
      <c r="M33" s="21">
        <v>2700</v>
      </c>
      <c r="N33" s="21">
        <v>3000</v>
      </c>
      <c r="O33" s="21">
        <v>3500</v>
      </c>
      <c r="P33" s="21">
        <v>3200</v>
      </c>
      <c r="Q33" s="21">
        <v>2800</v>
      </c>
      <c r="R33" s="21">
        <v>2800</v>
      </c>
      <c r="S33" s="18">
        <v>2100</v>
      </c>
      <c r="T33" s="123">
        <v>2200</v>
      </c>
      <c r="U33" s="123">
        <v>1700</v>
      </c>
      <c r="V33" s="117" t="s">
        <v>344</v>
      </c>
      <c r="W33" s="117" t="s">
        <v>344</v>
      </c>
    </row>
    <row r="34" spans="1:23" x14ac:dyDescent="0.2">
      <c r="A34" s="16" t="s">
        <v>47</v>
      </c>
      <c r="B34" s="17" t="s">
        <v>24</v>
      </c>
      <c r="C34" s="18">
        <v>2100</v>
      </c>
      <c r="D34" s="18">
        <v>1700</v>
      </c>
      <c r="E34" s="18">
        <v>1800</v>
      </c>
      <c r="F34" s="18">
        <v>2000</v>
      </c>
      <c r="G34" s="18">
        <v>1900</v>
      </c>
      <c r="H34" s="18">
        <v>2000</v>
      </c>
      <c r="I34" s="21">
        <v>1900</v>
      </c>
      <c r="J34" s="21">
        <v>2000</v>
      </c>
      <c r="K34" s="21">
        <v>2100</v>
      </c>
      <c r="L34" s="21">
        <v>2500</v>
      </c>
      <c r="M34" s="21">
        <v>2700</v>
      </c>
      <c r="N34" s="21">
        <v>2300</v>
      </c>
      <c r="O34" s="21">
        <v>2300</v>
      </c>
      <c r="P34" s="21">
        <v>2500</v>
      </c>
      <c r="Q34" s="21">
        <v>3100</v>
      </c>
      <c r="R34" s="21">
        <v>3000</v>
      </c>
      <c r="S34" s="18">
        <v>2600</v>
      </c>
      <c r="T34" s="123">
        <v>2600</v>
      </c>
      <c r="U34" s="123">
        <v>1900</v>
      </c>
      <c r="V34" s="117" t="s">
        <v>344</v>
      </c>
      <c r="W34" s="117" t="s">
        <v>344</v>
      </c>
    </row>
    <row r="35" spans="1:23" x14ac:dyDescent="0.2">
      <c r="A35" s="16" t="s">
        <v>47</v>
      </c>
      <c r="B35" s="17" t="s">
        <v>25</v>
      </c>
      <c r="C35" s="18">
        <v>6800</v>
      </c>
      <c r="D35" s="18">
        <v>8500</v>
      </c>
      <c r="E35" s="18">
        <v>8300</v>
      </c>
      <c r="F35" s="18">
        <v>7400</v>
      </c>
      <c r="G35" s="18">
        <v>8600</v>
      </c>
      <c r="H35" s="18">
        <v>9700</v>
      </c>
      <c r="I35" s="21">
        <v>11000</v>
      </c>
      <c r="J35" s="21">
        <v>9200</v>
      </c>
      <c r="K35" s="21">
        <v>10700</v>
      </c>
      <c r="L35" s="21">
        <v>11300</v>
      </c>
      <c r="M35" s="21">
        <v>10600</v>
      </c>
      <c r="N35" s="21">
        <v>12900</v>
      </c>
      <c r="O35" s="21">
        <v>15500</v>
      </c>
      <c r="P35" s="21">
        <v>10900</v>
      </c>
      <c r="Q35" s="21">
        <v>10600</v>
      </c>
      <c r="R35" s="21">
        <v>15600</v>
      </c>
      <c r="S35" s="18">
        <v>12800</v>
      </c>
      <c r="T35" s="123">
        <v>15900</v>
      </c>
      <c r="U35" s="123">
        <v>11700</v>
      </c>
      <c r="V35" s="117" t="s">
        <v>344</v>
      </c>
      <c r="W35" s="117" t="s">
        <v>344</v>
      </c>
    </row>
    <row r="36" spans="1:23" x14ac:dyDescent="0.2">
      <c r="A36" s="16" t="s">
        <v>47</v>
      </c>
      <c r="B36" s="17" t="s">
        <v>2</v>
      </c>
      <c r="C36" s="18" t="s">
        <v>192</v>
      </c>
      <c r="D36" s="18" t="s">
        <v>192</v>
      </c>
      <c r="E36" s="18">
        <v>700</v>
      </c>
      <c r="F36" s="18">
        <v>1000</v>
      </c>
      <c r="G36" s="18">
        <v>700</v>
      </c>
      <c r="H36" s="18">
        <v>700</v>
      </c>
      <c r="I36" s="21">
        <v>700</v>
      </c>
      <c r="J36" s="21">
        <v>600</v>
      </c>
      <c r="K36" s="21">
        <v>1100</v>
      </c>
      <c r="L36" s="21">
        <v>800</v>
      </c>
      <c r="M36" s="21">
        <v>1000</v>
      </c>
      <c r="N36" s="21">
        <v>700</v>
      </c>
      <c r="O36" s="21">
        <v>1200</v>
      </c>
      <c r="P36" s="21">
        <v>700</v>
      </c>
      <c r="Q36" s="21">
        <v>600</v>
      </c>
      <c r="R36" s="21">
        <v>1100</v>
      </c>
      <c r="S36" s="18">
        <v>1300</v>
      </c>
      <c r="T36" s="123">
        <v>1700</v>
      </c>
      <c r="U36" s="123">
        <v>700</v>
      </c>
      <c r="V36" s="117" t="s">
        <v>344</v>
      </c>
      <c r="W36" s="117" t="s">
        <v>344</v>
      </c>
    </row>
    <row r="37" spans="1:23" x14ac:dyDescent="0.2">
      <c r="A37" s="16" t="s">
        <v>47</v>
      </c>
      <c r="B37" s="17" t="s">
        <v>3</v>
      </c>
      <c r="C37" s="18">
        <v>2600</v>
      </c>
      <c r="D37" s="18">
        <v>2500</v>
      </c>
      <c r="E37" s="18">
        <v>3100</v>
      </c>
      <c r="F37" s="18">
        <v>3100</v>
      </c>
      <c r="G37" s="18">
        <v>3400</v>
      </c>
      <c r="H37" s="18">
        <v>2400</v>
      </c>
      <c r="I37" s="21">
        <v>2500</v>
      </c>
      <c r="J37" s="21">
        <v>2700</v>
      </c>
      <c r="K37" s="21">
        <v>3600</v>
      </c>
      <c r="L37" s="21">
        <v>3900</v>
      </c>
      <c r="M37" s="21">
        <v>3800</v>
      </c>
      <c r="N37" s="21">
        <v>4500</v>
      </c>
      <c r="O37" s="21">
        <v>4200</v>
      </c>
      <c r="P37" s="21">
        <v>4700</v>
      </c>
      <c r="Q37" s="21">
        <v>5400</v>
      </c>
      <c r="R37" s="21">
        <v>3800</v>
      </c>
      <c r="S37" s="18">
        <v>4400</v>
      </c>
      <c r="T37" s="123">
        <v>3800</v>
      </c>
      <c r="U37" s="123">
        <v>2700</v>
      </c>
      <c r="V37" s="117" t="s">
        <v>344</v>
      </c>
      <c r="W37" s="117" t="s">
        <v>344</v>
      </c>
    </row>
    <row r="38" spans="1:23" x14ac:dyDescent="0.2">
      <c r="A38" s="16" t="s">
        <v>47</v>
      </c>
      <c r="B38" s="17" t="s">
        <v>30</v>
      </c>
      <c r="C38" s="18">
        <v>900</v>
      </c>
      <c r="D38" s="18">
        <v>1100</v>
      </c>
      <c r="E38" s="18">
        <v>1200</v>
      </c>
      <c r="F38" s="18">
        <v>1600</v>
      </c>
      <c r="G38" s="18">
        <v>1800</v>
      </c>
      <c r="H38" s="18">
        <v>1800</v>
      </c>
      <c r="I38" s="21">
        <v>1400</v>
      </c>
      <c r="J38" s="21">
        <v>1400</v>
      </c>
      <c r="K38" s="21">
        <v>1900</v>
      </c>
      <c r="L38" s="21">
        <v>1200</v>
      </c>
      <c r="M38" s="21">
        <v>1100</v>
      </c>
      <c r="N38" s="21">
        <v>1600</v>
      </c>
      <c r="O38" s="21">
        <v>2500</v>
      </c>
      <c r="P38" s="21">
        <v>3800</v>
      </c>
      <c r="Q38" s="21">
        <v>2200</v>
      </c>
      <c r="R38" s="21">
        <v>3200</v>
      </c>
      <c r="S38" s="18">
        <v>2300</v>
      </c>
      <c r="T38" s="123">
        <v>2900</v>
      </c>
      <c r="U38" s="123">
        <v>1000</v>
      </c>
      <c r="V38" s="117" t="s">
        <v>344</v>
      </c>
      <c r="W38" s="117" t="s">
        <v>344</v>
      </c>
    </row>
    <row r="39" spans="1:23" x14ac:dyDescent="0.2">
      <c r="A39" s="16" t="s">
        <v>47</v>
      </c>
      <c r="B39" s="17" t="s">
        <v>4</v>
      </c>
      <c r="C39" s="18">
        <v>1300</v>
      </c>
      <c r="D39" s="18">
        <v>700</v>
      </c>
      <c r="E39" s="18">
        <v>1200</v>
      </c>
      <c r="F39" s="18">
        <v>1900</v>
      </c>
      <c r="G39" s="18">
        <v>2100</v>
      </c>
      <c r="H39" s="18">
        <v>1600</v>
      </c>
      <c r="I39" s="21">
        <v>1700</v>
      </c>
      <c r="J39" s="21">
        <v>1500</v>
      </c>
      <c r="K39" s="21">
        <v>1500</v>
      </c>
      <c r="L39" s="21">
        <v>1700</v>
      </c>
      <c r="M39" s="21">
        <v>2000</v>
      </c>
      <c r="N39" s="21">
        <v>1500</v>
      </c>
      <c r="O39" s="21">
        <v>2200</v>
      </c>
      <c r="P39" s="21">
        <v>2900</v>
      </c>
      <c r="Q39" s="21">
        <v>1600</v>
      </c>
      <c r="R39" s="21">
        <v>2400</v>
      </c>
      <c r="S39" s="18">
        <v>2700</v>
      </c>
      <c r="T39" s="123">
        <v>2700</v>
      </c>
      <c r="U39" s="123">
        <v>600</v>
      </c>
      <c r="V39" s="117" t="s">
        <v>344</v>
      </c>
      <c r="W39" s="117" t="s">
        <v>344</v>
      </c>
    </row>
    <row r="40" spans="1:23" x14ac:dyDescent="0.2">
      <c r="A40" s="16" t="s">
        <v>47</v>
      </c>
      <c r="B40" s="17" t="s">
        <v>32</v>
      </c>
      <c r="C40" s="18">
        <v>1200</v>
      </c>
      <c r="D40" s="18">
        <v>1500</v>
      </c>
      <c r="E40" s="18">
        <v>1500</v>
      </c>
      <c r="F40" s="18">
        <v>1300</v>
      </c>
      <c r="G40" s="18">
        <v>1600</v>
      </c>
      <c r="H40" s="18">
        <v>2400</v>
      </c>
      <c r="I40" s="21">
        <v>1700</v>
      </c>
      <c r="J40" s="21">
        <v>1900</v>
      </c>
      <c r="K40" s="21">
        <v>2000</v>
      </c>
      <c r="L40" s="21">
        <v>2600</v>
      </c>
      <c r="M40" s="21">
        <v>2200</v>
      </c>
      <c r="N40" s="21">
        <v>2400</v>
      </c>
      <c r="O40" s="21">
        <v>2700</v>
      </c>
      <c r="P40" s="21">
        <v>2200</v>
      </c>
      <c r="Q40" s="21">
        <v>2500</v>
      </c>
      <c r="R40" s="21">
        <v>2700</v>
      </c>
      <c r="S40" s="18">
        <v>2200</v>
      </c>
      <c r="T40" s="123">
        <v>1600</v>
      </c>
      <c r="U40" s="123">
        <v>2000</v>
      </c>
      <c r="V40" s="117" t="s">
        <v>344</v>
      </c>
      <c r="W40" s="117" t="s">
        <v>344</v>
      </c>
    </row>
    <row r="41" spans="1:23" x14ac:dyDescent="0.2">
      <c r="A41" s="16" t="s">
        <v>47</v>
      </c>
      <c r="B41" s="17" t="s">
        <v>5</v>
      </c>
      <c r="C41" s="18">
        <v>1900</v>
      </c>
      <c r="D41" s="18">
        <v>1800</v>
      </c>
      <c r="E41" s="18">
        <v>2000</v>
      </c>
      <c r="F41" s="18">
        <v>2200</v>
      </c>
      <c r="G41" s="18">
        <v>2000</v>
      </c>
      <c r="H41" s="18">
        <v>1800</v>
      </c>
      <c r="I41" s="21">
        <v>2000</v>
      </c>
      <c r="J41" s="21">
        <v>2400</v>
      </c>
      <c r="K41" s="21">
        <v>2300</v>
      </c>
      <c r="L41" s="21">
        <v>2800</v>
      </c>
      <c r="M41" s="21">
        <v>3100</v>
      </c>
      <c r="N41" s="21">
        <v>2800</v>
      </c>
      <c r="O41" s="21">
        <v>2100</v>
      </c>
      <c r="P41" s="21">
        <v>3200</v>
      </c>
      <c r="Q41" s="21">
        <v>2600</v>
      </c>
      <c r="R41" s="21">
        <v>1600</v>
      </c>
      <c r="S41" s="18">
        <v>3500</v>
      </c>
      <c r="T41" s="123">
        <v>3700</v>
      </c>
      <c r="U41" s="123">
        <v>3200</v>
      </c>
      <c r="V41" s="117" t="s">
        <v>344</v>
      </c>
      <c r="W41" s="117" t="s">
        <v>344</v>
      </c>
    </row>
    <row r="42" spans="1:23" x14ac:dyDescent="0.2">
      <c r="A42" s="16" t="s">
        <v>47</v>
      </c>
      <c r="B42" s="17" t="s">
        <v>6</v>
      </c>
      <c r="C42" s="18">
        <v>1800</v>
      </c>
      <c r="D42" s="18">
        <v>1400</v>
      </c>
      <c r="E42" s="18">
        <v>1100</v>
      </c>
      <c r="F42" s="18">
        <v>1500</v>
      </c>
      <c r="G42" s="18">
        <v>1400</v>
      </c>
      <c r="H42" s="18">
        <v>1400</v>
      </c>
      <c r="I42" s="21">
        <v>1100</v>
      </c>
      <c r="J42" s="21">
        <v>1800</v>
      </c>
      <c r="K42" s="21">
        <v>1500</v>
      </c>
      <c r="L42" s="21">
        <v>2000</v>
      </c>
      <c r="M42" s="21">
        <v>2200</v>
      </c>
      <c r="N42" s="21">
        <v>1900</v>
      </c>
      <c r="O42" s="21">
        <v>2200</v>
      </c>
      <c r="P42" s="21">
        <v>2400</v>
      </c>
      <c r="Q42" s="21">
        <v>1800</v>
      </c>
      <c r="R42" s="21">
        <v>1900</v>
      </c>
      <c r="S42" s="18">
        <v>1800</v>
      </c>
      <c r="T42" s="123">
        <v>1000</v>
      </c>
      <c r="U42" s="123">
        <v>2100</v>
      </c>
      <c r="V42" s="117" t="s">
        <v>344</v>
      </c>
      <c r="W42" s="117" t="s">
        <v>344</v>
      </c>
    </row>
    <row r="43" spans="1:23" x14ac:dyDescent="0.2">
      <c r="A43" s="16" t="s">
        <v>47</v>
      </c>
      <c r="B43" s="17" t="s">
        <v>8</v>
      </c>
      <c r="C43" s="18">
        <v>1700</v>
      </c>
      <c r="D43" s="18">
        <v>1600</v>
      </c>
      <c r="E43" s="18">
        <v>1800</v>
      </c>
      <c r="F43" s="18">
        <v>1400</v>
      </c>
      <c r="G43" s="18">
        <v>1400</v>
      </c>
      <c r="H43" s="18">
        <v>1900</v>
      </c>
      <c r="I43" s="21">
        <v>2100</v>
      </c>
      <c r="J43" s="21">
        <v>1600</v>
      </c>
      <c r="K43" s="21">
        <v>1800</v>
      </c>
      <c r="L43" s="21">
        <v>2600</v>
      </c>
      <c r="M43" s="21">
        <v>2700</v>
      </c>
      <c r="N43" s="21">
        <v>2800</v>
      </c>
      <c r="O43" s="21">
        <v>2900</v>
      </c>
      <c r="P43" s="21">
        <v>3200</v>
      </c>
      <c r="Q43" s="21">
        <v>1700</v>
      </c>
      <c r="R43" s="21">
        <v>3300</v>
      </c>
      <c r="S43" s="18">
        <v>2100</v>
      </c>
      <c r="T43" s="123">
        <v>2200</v>
      </c>
      <c r="U43" s="123">
        <v>2100</v>
      </c>
      <c r="V43" s="117" t="s">
        <v>344</v>
      </c>
      <c r="W43" s="117" t="s">
        <v>344</v>
      </c>
    </row>
    <row r="44" spans="1:23" x14ac:dyDescent="0.2">
      <c r="A44" s="16" t="s">
        <v>47</v>
      </c>
      <c r="B44" s="17" t="s">
        <v>9</v>
      </c>
      <c r="C44" s="18">
        <v>4100</v>
      </c>
      <c r="D44" s="18">
        <v>5700</v>
      </c>
      <c r="E44" s="18">
        <v>6400</v>
      </c>
      <c r="F44" s="18">
        <v>4700</v>
      </c>
      <c r="G44" s="18">
        <v>4700</v>
      </c>
      <c r="H44" s="18">
        <v>5300</v>
      </c>
      <c r="I44" s="21">
        <v>4500</v>
      </c>
      <c r="J44" s="21">
        <v>5000</v>
      </c>
      <c r="K44" s="21">
        <v>4800</v>
      </c>
      <c r="L44" s="21">
        <v>5100</v>
      </c>
      <c r="M44" s="21">
        <v>9000</v>
      </c>
      <c r="N44" s="21">
        <v>6600</v>
      </c>
      <c r="O44" s="21">
        <v>6400</v>
      </c>
      <c r="P44" s="21">
        <v>5600</v>
      </c>
      <c r="Q44" s="21">
        <v>5600</v>
      </c>
      <c r="R44" s="21">
        <v>7600</v>
      </c>
      <c r="S44" s="18">
        <v>7000</v>
      </c>
      <c r="T44" s="123">
        <v>4400</v>
      </c>
      <c r="U44" s="123">
        <v>8500</v>
      </c>
      <c r="V44" s="117" t="s">
        <v>344</v>
      </c>
      <c r="W44" s="117" t="s">
        <v>344</v>
      </c>
    </row>
    <row r="45" spans="1:23" x14ac:dyDescent="0.2">
      <c r="A45" s="16" t="s">
        <v>47</v>
      </c>
      <c r="B45" s="17" t="s">
        <v>33</v>
      </c>
      <c r="C45" s="18">
        <v>4700</v>
      </c>
      <c r="D45" s="18">
        <v>3100</v>
      </c>
      <c r="E45" s="18">
        <v>4200</v>
      </c>
      <c r="F45" s="18">
        <v>6300</v>
      </c>
      <c r="G45" s="18">
        <v>7200</v>
      </c>
      <c r="H45" s="18">
        <v>8600</v>
      </c>
      <c r="I45" s="21">
        <v>4500</v>
      </c>
      <c r="J45" s="21">
        <v>5600</v>
      </c>
      <c r="K45" s="21">
        <v>9200</v>
      </c>
      <c r="L45" s="21">
        <v>7300</v>
      </c>
      <c r="M45" s="21">
        <v>8800</v>
      </c>
      <c r="N45" s="21">
        <v>8000</v>
      </c>
      <c r="O45" s="21">
        <v>8400</v>
      </c>
      <c r="P45" s="21">
        <v>10200</v>
      </c>
      <c r="Q45" s="21">
        <v>5900</v>
      </c>
      <c r="R45" s="21">
        <v>11000</v>
      </c>
      <c r="S45" s="18">
        <v>12900</v>
      </c>
      <c r="T45" s="123">
        <v>6400</v>
      </c>
      <c r="U45" s="123">
        <v>9800</v>
      </c>
      <c r="V45" s="117" t="s">
        <v>344</v>
      </c>
      <c r="W45" s="117" t="s">
        <v>344</v>
      </c>
    </row>
    <row r="46" spans="1:23" x14ac:dyDescent="0.2">
      <c r="A46" s="16" t="s">
        <v>47</v>
      </c>
      <c r="B46" s="17" t="s">
        <v>10</v>
      </c>
      <c r="C46" s="18">
        <v>5500</v>
      </c>
      <c r="D46" s="18">
        <v>5800</v>
      </c>
      <c r="E46" s="18">
        <v>4900</v>
      </c>
      <c r="F46" s="18">
        <v>5000</v>
      </c>
      <c r="G46" s="18">
        <v>5300</v>
      </c>
      <c r="H46" s="18">
        <v>4900</v>
      </c>
      <c r="I46" s="21">
        <v>5700</v>
      </c>
      <c r="J46" s="21">
        <v>5900</v>
      </c>
      <c r="K46" s="21">
        <v>6500</v>
      </c>
      <c r="L46" s="21">
        <v>7000</v>
      </c>
      <c r="M46" s="21">
        <v>6400</v>
      </c>
      <c r="N46" s="21">
        <v>5700</v>
      </c>
      <c r="O46" s="21">
        <v>6300</v>
      </c>
      <c r="P46" s="21">
        <v>5900</v>
      </c>
      <c r="Q46" s="21">
        <v>6000</v>
      </c>
      <c r="R46" s="21">
        <v>4300</v>
      </c>
      <c r="S46" s="18">
        <v>4600</v>
      </c>
      <c r="T46" s="123">
        <v>5500</v>
      </c>
      <c r="U46" s="123">
        <v>7700</v>
      </c>
      <c r="V46" s="117" t="s">
        <v>344</v>
      </c>
      <c r="W46" s="117" t="s">
        <v>344</v>
      </c>
    </row>
    <row r="47" spans="1:23" x14ac:dyDescent="0.2">
      <c r="A47" s="16" t="s">
        <v>47</v>
      </c>
      <c r="B47" s="17" t="s">
        <v>11</v>
      </c>
      <c r="C47" s="18" t="s">
        <v>192</v>
      </c>
      <c r="D47" s="18">
        <v>500</v>
      </c>
      <c r="E47" s="18">
        <v>800</v>
      </c>
      <c r="F47" s="18">
        <v>700</v>
      </c>
      <c r="G47" s="18">
        <v>500</v>
      </c>
      <c r="H47" s="18">
        <v>800</v>
      </c>
      <c r="I47" s="21">
        <v>1000</v>
      </c>
      <c r="J47" s="21">
        <v>1000</v>
      </c>
      <c r="K47" s="21">
        <v>1100</v>
      </c>
      <c r="L47" s="21">
        <v>800</v>
      </c>
      <c r="M47" s="21">
        <v>800</v>
      </c>
      <c r="N47" s="21">
        <v>1700</v>
      </c>
      <c r="O47" s="21">
        <v>1200</v>
      </c>
      <c r="P47" s="21">
        <v>900</v>
      </c>
      <c r="Q47" s="21">
        <v>1000</v>
      </c>
      <c r="R47" s="21">
        <v>500</v>
      </c>
      <c r="S47" s="18">
        <v>1400</v>
      </c>
      <c r="T47" s="123">
        <v>1300</v>
      </c>
      <c r="U47" s="123">
        <v>1500</v>
      </c>
      <c r="V47" s="117" t="s">
        <v>344</v>
      </c>
      <c r="W47" s="117" t="s">
        <v>344</v>
      </c>
    </row>
    <row r="48" spans="1:23" x14ac:dyDescent="0.2">
      <c r="A48" s="16" t="s">
        <v>47</v>
      </c>
      <c r="B48" s="17" t="s">
        <v>12</v>
      </c>
      <c r="C48" s="18">
        <v>600</v>
      </c>
      <c r="D48" s="18">
        <v>900</v>
      </c>
      <c r="E48" s="18">
        <v>1100</v>
      </c>
      <c r="F48" s="18">
        <v>1600</v>
      </c>
      <c r="G48" s="18">
        <v>1200</v>
      </c>
      <c r="H48" s="18">
        <v>1600</v>
      </c>
      <c r="I48" s="21">
        <v>1300</v>
      </c>
      <c r="J48" s="21">
        <v>1100</v>
      </c>
      <c r="K48" s="21">
        <v>1400</v>
      </c>
      <c r="L48" s="21">
        <v>1700</v>
      </c>
      <c r="M48" s="21">
        <v>2200</v>
      </c>
      <c r="N48" s="21">
        <v>1800</v>
      </c>
      <c r="O48" s="21">
        <v>1900</v>
      </c>
      <c r="P48" s="21">
        <v>1100</v>
      </c>
      <c r="Q48" s="21">
        <v>1300</v>
      </c>
      <c r="R48" s="21">
        <v>2000</v>
      </c>
      <c r="S48" s="18">
        <v>1100</v>
      </c>
      <c r="T48" s="123">
        <v>1900</v>
      </c>
      <c r="U48" s="123">
        <v>1000</v>
      </c>
      <c r="V48" s="117" t="s">
        <v>344</v>
      </c>
      <c r="W48" s="117" t="s">
        <v>344</v>
      </c>
    </row>
    <row r="49" spans="1:23" x14ac:dyDescent="0.2">
      <c r="A49" s="16" t="s">
        <v>47</v>
      </c>
      <c r="B49" s="17" t="s">
        <v>13</v>
      </c>
      <c r="C49" s="18">
        <v>2200</v>
      </c>
      <c r="D49" s="18">
        <v>2100</v>
      </c>
      <c r="E49" s="18">
        <v>2000</v>
      </c>
      <c r="F49" s="18">
        <v>2300</v>
      </c>
      <c r="G49" s="18">
        <v>2500</v>
      </c>
      <c r="H49" s="18">
        <v>2300</v>
      </c>
      <c r="I49" s="21">
        <v>2200</v>
      </c>
      <c r="J49" s="21">
        <v>1700</v>
      </c>
      <c r="K49" s="21">
        <v>2100</v>
      </c>
      <c r="L49" s="21">
        <v>2200</v>
      </c>
      <c r="M49" s="21">
        <v>2200</v>
      </c>
      <c r="N49" s="21">
        <v>2300</v>
      </c>
      <c r="O49" s="21">
        <v>2500</v>
      </c>
      <c r="P49" s="21">
        <v>3200</v>
      </c>
      <c r="Q49" s="21">
        <v>3100</v>
      </c>
      <c r="R49" s="21">
        <v>2500</v>
      </c>
      <c r="S49" s="18">
        <v>2200</v>
      </c>
      <c r="T49" s="123">
        <v>2600</v>
      </c>
      <c r="U49" s="123">
        <v>3200</v>
      </c>
      <c r="V49" s="117" t="s">
        <v>344</v>
      </c>
      <c r="W49" s="117" t="s">
        <v>344</v>
      </c>
    </row>
    <row r="50" spans="1:23" x14ac:dyDescent="0.2">
      <c r="A50" s="16" t="s">
        <v>47</v>
      </c>
      <c r="B50" s="17" t="s">
        <v>7</v>
      </c>
      <c r="C50" s="18" t="s">
        <v>192</v>
      </c>
      <c r="D50" s="18" t="s">
        <v>192</v>
      </c>
      <c r="E50" s="18" t="s">
        <v>192</v>
      </c>
      <c r="F50" s="18">
        <v>600</v>
      </c>
      <c r="G50" s="18" t="s">
        <v>296</v>
      </c>
      <c r="H50" s="18" t="s">
        <v>192</v>
      </c>
      <c r="I50" s="21">
        <v>800</v>
      </c>
      <c r="J50" s="21" t="s">
        <v>296</v>
      </c>
      <c r="K50" s="21">
        <v>700</v>
      </c>
      <c r="L50" s="21" t="s">
        <v>296</v>
      </c>
      <c r="M50" s="21" t="s">
        <v>296</v>
      </c>
      <c r="N50" s="21">
        <v>800</v>
      </c>
      <c r="O50" s="18" t="s">
        <v>192</v>
      </c>
      <c r="P50" s="18" t="s">
        <v>192</v>
      </c>
      <c r="Q50" s="21" t="s">
        <v>296</v>
      </c>
      <c r="R50" s="21" t="s">
        <v>296</v>
      </c>
      <c r="S50" s="18" t="s">
        <v>296</v>
      </c>
      <c r="T50" s="123" t="s">
        <v>296</v>
      </c>
      <c r="U50" s="123">
        <v>700</v>
      </c>
      <c r="V50" s="117" t="s">
        <v>344</v>
      </c>
      <c r="W50" s="117" t="s">
        <v>344</v>
      </c>
    </row>
    <row r="51" spans="1:23" x14ac:dyDescent="0.2">
      <c r="A51" s="16" t="s">
        <v>47</v>
      </c>
      <c r="B51" s="17" t="s">
        <v>14</v>
      </c>
      <c r="C51" s="18">
        <v>900</v>
      </c>
      <c r="D51" s="18">
        <v>1500</v>
      </c>
      <c r="E51" s="18">
        <v>1300</v>
      </c>
      <c r="F51" s="18">
        <v>1400</v>
      </c>
      <c r="G51" s="18">
        <v>1100</v>
      </c>
      <c r="H51" s="18">
        <v>1300</v>
      </c>
      <c r="I51" s="21">
        <v>1800</v>
      </c>
      <c r="J51" s="21">
        <v>2000</v>
      </c>
      <c r="K51" s="21">
        <v>2000</v>
      </c>
      <c r="L51" s="21">
        <v>2500</v>
      </c>
      <c r="M51" s="21">
        <v>2400</v>
      </c>
      <c r="N51" s="21">
        <v>2200</v>
      </c>
      <c r="O51" s="21">
        <v>2700</v>
      </c>
      <c r="P51" s="21">
        <v>2300</v>
      </c>
      <c r="Q51" s="21">
        <v>2500</v>
      </c>
      <c r="R51" s="21">
        <v>1800</v>
      </c>
      <c r="S51" s="18">
        <v>1800</v>
      </c>
      <c r="T51" s="123">
        <v>900</v>
      </c>
      <c r="U51" s="123">
        <v>2100</v>
      </c>
      <c r="V51" s="117" t="s">
        <v>344</v>
      </c>
      <c r="W51" s="117" t="s">
        <v>344</v>
      </c>
    </row>
    <row r="52" spans="1:23" x14ac:dyDescent="0.2">
      <c r="A52" s="16" t="s">
        <v>47</v>
      </c>
      <c r="B52" s="17" t="s">
        <v>31</v>
      </c>
      <c r="C52" s="18">
        <v>2200</v>
      </c>
      <c r="D52" s="18">
        <v>2900</v>
      </c>
      <c r="E52" s="18">
        <v>3300</v>
      </c>
      <c r="F52" s="18">
        <v>3700</v>
      </c>
      <c r="G52" s="18">
        <v>5100</v>
      </c>
      <c r="H52" s="18">
        <v>3200</v>
      </c>
      <c r="I52" s="21">
        <v>3200</v>
      </c>
      <c r="J52" s="21">
        <v>3100</v>
      </c>
      <c r="K52" s="21">
        <v>4000</v>
      </c>
      <c r="L52" s="21">
        <v>5000</v>
      </c>
      <c r="M52" s="21">
        <v>3900</v>
      </c>
      <c r="N52" s="21">
        <v>3900</v>
      </c>
      <c r="O52" s="21">
        <v>5100</v>
      </c>
      <c r="P52" s="21">
        <v>3100</v>
      </c>
      <c r="Q52" s="21">
        <v>4100</v>
      </c>
      <c r="R52" s="21">
        <v>3400</v>
      </c>
      <c r="S52" s="18">
        <v>2400</v>
      </c>
      <c r="T52" s="123">
        <v>1700</v>
      </c>
      <c r="U52" s="123">
        <v>6100</v>
      </c>
      <c r="V52" s="117" t="s">
        <v>344</v>
      </c>
      <c r="W52" s="117" t="s">
        <v>344</v>
      </c>
    </row>
    <row r="53" spans="1:23" x14ac:dyDescent="0.2">
      <c r="A53" s="16" t="s">
        <v>47</v>
      </c>
      <c r="B53" s="17" t="s">
        <v>15</v>
      </c>
      <c r="C53" s="18" t="s">
        <v>192</v>
      </c>
      <c r="D53" s="18">
        <v>800</v>
      </c>
      <c r="E53" s="18">
        <v>500</v>
      </c>
      <c r="F53" s="18" t="s">
        <v>296</v>
      </c>
      <c r="G53" s="18" t="s">
        <v>192</v>
      </c>
      <c r="H53" s="18" t="s">
        <v>192</v>
      </c>
      <c r="I53" s="21">
        <v>600</v>
      </c>
      <c r="J53" s="21">
        <v>800</v>
      </c>
      <c r="K53" s="21" t="s">
        <v>296</v>
      </c>
      <c r="L53" s="21">
        <v>800</v>
      </c>
      <c r="M53" s="21">
        <v>900</v>
      </c>
      <c r="N53" s="21" t="s">
        <v>296</v>
      </c>
      <c r="O53" s="21">
        <v>900</v>
      </c>
      <c r="P53" s="21">
        <v>900</v>
      </c>
      <c r="Q53" s="21">
        <v>700</v>
      </c>
      <c r="R53" s="21">
        <v>800</v>
      </c>
      <c r="S53" s="18">
        <v>1000</v>
      </c>
      <c r="T53" s="123">
        <v>900</v>
      </c>
      <c r="U53" s="123" t="s">
        <v>208</v>
      </c>
      <c r="V53" s="117" t="s">
        <v>344</v>
      </c>
      <c r="W53" s="117" t="s">
        <v>344</v>
      </c>
    </row>
    <row r="54" spans="1:23" x14ac:dyDescent="0.2">
      <c r="A54" s="16" t="s">
        <v>47</v>
      </c>
      <c r="B54" s="17" t="s">
        <v>16</v>
      </c>
      <c r="C54" s="18">
        <v>2200</v>
      </c>
      <c r="D54" s="18">
        <v>2200</v>
      </c>
      <c r="E54" s="18">
        <v>2700</v>
      </c>
      <c r="F54" s="18">
        <v>3000</v>
      </c>
      <c r="G54" s="18">
        <v>2800</v>
      </c>
      <c r="H54" s="18">
        <v>3300</v>
      </c>
      <c r="I54" s="21">
        <v>2700</v>
      </c>
      <c r="J54" s="21">
        <v>3400</v>
      </c>
      <c r="K54" s="21">
        <v>3300</v>
      </c>
      <c r="L54" s="21">
        <v>3800</v>
      </c>
      <c r="M54" s="21">
        <v>3900</v>
      </c>
      <c r="N54" s="21">
        <v>5000</v>
      </c>
      <c r="O54" s="21">
        <v>5200</v>
      </c>
      <c r="P54" s="21">
        <v>3700</v>
      </c>
      <c r="Q54" s="21">
        <v>4200</v>
      </c>
      <c r="R54" s="21">
        <v>6400</v>
      </c>
      <c r="S54" s="18">
        <v>4000</v>
      </c>
      <c r="T54" s="123">
        <v>5100</v>
      </c>
      <c r="U54" s="123">
        <v>4900</v>
      </c>
      <c r="V54" s="117" t="s">
        <v>344</v>
      </c>
      <c r="W54" s="117" t="s">
        <v>344</v>
      </c>
    </row>
    <row r="55" spans="1:23" x14ac:dyDescent="0.2">
      <c r="A55" s="16" t="s">
        <v>47</v>
      </c>
      <c r="B55" s="17" t="s">
        <v>26</v>
      </c>
      <c r="C55" s="18">
        <v>1500</v>
      </c>
      <c r="D55" s="18">
        <v>1600</v>
      </c>
      <c r="E55" s="18">
        <v>1100</v>
      </c>
      <c r="F55" s="18">
        <v>1100</v>
      </c>
      <c r="G55" s="18">
        <v>900</v>
      </c>
      <c r="H55" s="18">
        <v>1600</v>
      </c>
      <c r="I55" s="21">
        <v>2500</v>
      </c>
      <c r="J55" s="21">
        <v>1900</v>
      </c>
      <c r="K55" s="21">
        <v>1900</v>
      </c>
      <c r="L55" s="21">
        <v>2200</v>
      </c>
      <c r="M55" s="21">
        <v>1900</v>
      </c>
      <c r="N55" s="21">
        <v>2600</v>
      </c>
      <c r="O55" s="21">
        <v>2200</v>
      </c>
      <c r="P55" s="21">
        <v>2800</v>
      </c>
      <c r="Q55" s="21">
        <v>3100</v>
      </c>
      <c r="R55" s="21">
        <v>2500</v>
      </c>
      <c r="S55" s="18">
        <v>2900</v>
      </c>
      <c r="T55" s="123">
        <v>3100</v>
      </c>
      <c r="U55" s="123">
        <v>1300</v>
      </c>
      <c r="V55" s="117" t="s">
        <v>344</v>
      </c>
      <c r="W55" s="117" t="s">
        <v>344</v>
      </c>
    </row>
    <row r="56" spans="1:23" x14ac:dyDescent="0.2">
      <c r="A56" s="16" t="s">
        <v>47</v>
      </c>
      <c r="B56" s="17" t="s">
        <v>17</v>
      </c>
      <c r="C56" s="18">
        <v>1900</v>
      </c>
      <c r="D56" s="18">
        <v>1900</v>
      </c>
      <c r="E56" s="18">
        <v>1900</v>
      </c>
      <c r="F56" s="18">
        <v>2600</v>
      </c>
      <c r="G56" s="18">
        <v>2900</v>
      </c>
      <c r="H56" s="18">
        <v>2900</v>
      </c>
      <c r="I56" s="21">
        <v>3100</v>
      </c>
      <c r="J56" s="21">
        <v>3800</v>
      </c>
      <c r="K56" s="21">
        <v>3200</v>
      </c>
      <c r="L56" s="21">
        <v>3500</v>
      </c>
      <c r="M56" s="21">
        <v>3400</v>
      </c>
      <c r="N56" s="21">
        <v>3800</v>
      </c>
      <c r="O56" s="21">
        <v>3600</v>
      </c>
      <c r="P56" s="21">
        <v>3100</v>
      </c>
      <c r="Q56" s="21">
        <v>3000</v>
      </c>
      <c r="R56" s="21">
        <v>4300</v>
      </c>
      <c r="S56" s="18">
        <v>4200</v>
      </c>
      <c r="T56" s="123">
        <v>4100</v>
      </c>
      <c r="U56" s="123">
        <v>4100</v>
      </c>
      <c r="V56" s="117" t="s">
        <v>344</v>
      </c>
      <c r="W56" s="117" t="s">
        <v>344</v>
      </c>
    </row>
    <row r="57" spans="1:23" x14ac:dyDescent="0.2">
      <c r="A57" s="16" t="s">
        <v>47</v>
      </c>
      <c r="B57" s="17" t="s">
        <v>18</v>
      </c>
      <c r="C57" s="18">
        <v>500</v>
      </c>
      <c r="D57" s="18" t="s">
        <v>192</v>
      </c>
      <c r="E57" s="18" t="s">
        <v>192</v>
      </c>
      <c r="F57" s="18" t="s">
        <v>192</v>
      </c>
      <c r="G57" s="18">
        <v>700</v>
      </c>
      <c r="H57" s="18" t="s">
        <v>192</v>
      </c>
      <c r="I57" s="21">
        <v>700</v>
      </c>
      <c r="J57" s="18" t="s">
        <v>192</v>
      </c>
      <c r="K57" s="18" t="s">
        <v>192</v>
      </c>
      <c r="L57" s="21" t="s">
        <v>208</v>
      </c>
      <c r="M57" s="21" t="s">
        <v>208</v>
      </c>
      <c r="N57" s="18" t="s">
        <v>192</v>
      </c>
      <c r="O57" s="18" t="s">
        <v>192</v>
      </c>
      <c r="P57" s="18" t="s">
        <v>192</v>
      </c>
      <c r="Q57" s="21" t="s">
        <v>208</v>
      </c>
      <c r="R57" s="18" t="s">
        <v>192</v>
      </c>
      <c r="S57" s="21" t="s">
        <v>208</v>
      </c>
      <c r="T57" s="21" t="s">
        <v>208</v>
      </c>
      <c r="U57" s="123" t="s">
        <v>208</v>
      </c>
      <c r="V57" s="117" t="s">
        <v>344</v>
      </c>
      <c r="W57" s="117" t="s">
        <v>344</v>
      </c>
    </row>
    <row r="58" spans="1:23" x14ac:dyDescent="0.2">
      <c r="A58" s="16" t="s">
        <v>47</v>
      </c>
      <c r="B58" s="17" t="s">
        <v>19</v>
      </c>
      <c r="C58" s="18">
        <v>1800</v>
      </c>
      <c r="D58" s="18">
        <v>1600</v>
      </c>
      <c r="E58" s="18">
        <v>1700</v>
      </c>
      <c r="F58" s="18">
        <v>1700</v>
      </c>
      <c r="G58" s="18">
        <v>1800</v>
      </c>
      <c r="H58" s="18">
        <v>1900</v>
      </c>
      <c r="I58" s="21">
        <v>2000</v>
      </c>
      <c r="J58" s="21">
        <v>2200</v>
      </c>
      <c r="K58" s="21">
        <v>2300</v>
      </c>
      <c r="L58" s="21">
        <v>2400</v>
      </c>
      <c r="M58" s="21">
        <v>2300</v>
      </c>
      <c r="N58" s="21">
        <v>2400</v>
      </c>
      <c r="O58" s="21">
        <v>2100</v>
      </c>
      <c r="P58" s="21">
        <v>2700</v>
      </c>
      <c r="Q58" s="21">
        <v>2400</v>
      </c>
      <c r="R58" s="21">
        <v>2600</v>
      </c>
      <c r="S58" s="18">
        <v>2000</v>
      </c>
      <c r="T58" s="123">
        <v>2300</v>
      </c>
      <c r="U58" s="123">
        <v>2800</v>
      </c>
      <c r="V58" s="117" t="s">
        <v>344</v>
      </c>
      <c r="W58" s="117" t="s">
        <v>344</v>
      </c>
    </row>
    <row r="59" spans="1:23" x14ac:dyDescent="0.2">
      <c r="A59" s="16" t="s">
        <v>47</v>
      </c>
      <c r="B59" s="17" t="s">
        <v>20</v>
      </c>
      <c r="C59" s="18">
        <v>3400</v>
      </c>
      <c r="D59" s="18">
        <v>4300</v>
      </c>
      <c r="E59" s="18">
        <v>4600</v>
      </c>
      <c r="F59" s="18">
        <v>3300</v>
      </c>
      <c r="G59" s="18">
        <v>4100</v>
      </c>
      <c r="H59" s="18">
        <v>3700</v>
      </c>
      <c r="I59" s="21">
        <v>4100</v>
      </c>
      <c r="J59" s="21">
        <v>4500</v>
      </c>
      <c r="K59" s="21">
        <v>5500</v>
      </c>
      <c r="L59" s="21">
        <v>3800</v>
      </c>
      <c r="M59" s="21">
        <v>4700</v>
      </c>
      <c r="N59" s="21">
        <v>7300</v>
      </c>
      <c r="O59" s="21">
        <v>6800</v>
      </c>
      <c r="P59" s="21">
        <v>4100</v>
      </c>
      <c r="Q59" s="21">
        <v>6900</v>
      </c>
      <c r="R59" s="21">
        <v>7200</v>
      </c>
      <c r="S59" s="18">
        <v>8500</v>
      </c>
      <c r="T59" s="123">
        <v>6700</v>
      </c>
      <c r="U59" s="123">
        <v>5300</v>
      </c>
      <c r="V59" s="117" t="s">
        <v>344</v>
      </c>
      <c r="W59" s="117" t="s">
        <v>344</v>
      </c>
    </row>
    <row r="60" spans="1:23" x14ac:dyDescent="0.2">
      <c r="A60" s="16" t="s">
        <v>47</v>
      </c>
      <c r="B60" s="17" t="s">
        <v>21</v>
      </c>
      <c r="C60" s="18">
        <v>1800</v>
      </c>
      <c r="D60" s="18">
        <v>2200</v>
      </c>
      <c r="E60" s="18">
        <v>1600</v>
      </c>
      <c r="F60" s="18">
        <v>1900</v>
      </c>
      <c r="G60" s="18">
        <v>1000</v>
      </c>
      <c r="H60" s="18">
        <v>1300</v>
      </c>
      <c r="I60" s="21">
        <v>2000</v>
      </c>
      <c r="J60" s="21">
        <v>2100</v>
      </c>
      <c r="K60" s="21">
        <v>2100</v>
      </c>
      <c r="L60" s="21">
        <v>2200</v>
      </c>
      <c r="M60" s="21">
        <v>1800</v>
      </c>
      <c r="N60" s="21">
        <v>1500</v>
      </c>
      <c r="O60" s="21">
        <v>2100</v>
      </c>
      <c r="P60" s="21">
        <v>2400</v>
      </c>
      <c r="Q60" s="21">
        <v>1800</v>
      </c>
      <c r="R60" s="21">
        <v>1900</v>
      </c>
      <c r="S60" s="18">
        <v>2800</v>
      </c>
      <c r="T60" s="123">
        <v>2900</v>
      </c>
      <c r="U60" s="123">
        <v>1600</v>
      </c>
      <c r="V60" s="117" t="s">
        <v>344</v>
      </c>
      <c r="W60" s="117" t="s">
        <v>344</v>
      </c>
    </row>
    <row r="61" spans="1:23" x14ac:dyDescent="0.2">
      <c r="A61" s="16" t="s">
        <v>47</v>
      </c>
      <c r="B61" s="17" t="s">
        <v>27</v>
      </c>
      <c r="C61" s="18">
        <v>500</v>
      </c>
      <c r="D61" s="18" t="s">
        <v>192</v>
      </c>
      <c r="E61" s="18">
        <v>600</v>
      </c>
      <c r="F61" s="18">
        <v>800</v>
      </c>
      <c r="G61" s="18">
        <v>800</v>
      </c>
      <c r="H61" s="18">
        <v>900</v>
      </c>
      <c r="I61" s="21">
        <v>1000</v>
      </c>
      <c r="J61" s="21">
        <v>800</v>
      </c>
      <c r="K61" s="21">
        <v>700</v>
      </c>
      <c r="L61" s="21">
        <v>800</v>
      </c>
      <c r="M61" s="21">
        <v>1100</v>
      </c>
      <c r="N61" s="21">
        <v>800</v>
      </c>
      <c r="O61" s="21">
        <v>900</v>
      </c>
      <c r="P61" s="21">
        <v>800</v>
      </c>
      <c r="Q61" s="21">
        <v>600</v>
      </c>
      <c r="R61" s="21">
        <v>1200</v>
      </c>
      <c r="S61" s="18">
        <v>900</v>
      </c>
      <c r="T61" s="123">
        <v>1000</v>
      </c>
      <c r="U61" s="123">
        <v>1000</v>
      </c>
      <c r="V61" s="117" t="s">
        <v>344</v>
      </c>
      <c r="W61" s="117" t="s">
        <v>344</v>
      </c>
    </row>
    <row r="62" spans="1:23" x14ac:dyDescent="0.2">
      <c r="A62" s="16" t="s">
        <v>47</v>
      </c>
      <c r="B62" s="17" t="s">
        <v>28</v>
      </c>
      <c r="C62" s="18">
        <v>1600</v>
      </c>
      <c r="D62" s="18">
        <v>1500</v>
      </c>
      <c r="E62" s="18">
        <v>2200</v>
      </c>
      <c r="F62" s="18">
        <v>1900</v>
      </c>
      <c r="G62" s="18">
        <v>1700</v>
      </c>
      <c r="H62" s="18">
        <v>2600</v>
      </c>
      <c r="I62" s="21">
        <v>3000</v>
      </c>
      <c r="J62" s="21">
        <v>2000</v>
      </c>
      <c r="K62" s="21">
        <v>3100</v>
      </c>
      <c r="L62" s="21">
        <v>2100</v>
      </c>
      <c r="M62" s="21">
        <v>2200</v>
      </c>
      <c r="N62" s="21">
        <v>1800</v>
      </c>
      <c r="O62" s="21">
        <v>2100</v>
      </c>
      <c r="P62" s="21">
        <v>3600</v>
      </c>
      <c r="Q62" s="21">
        <v>3900</v>
      </c>
      <c r="R62" s="21">
        <v>4300</v>
      </c>
      <c r="S62" s="18">
        <v>3900</v>
      </c>
      <c r="T62" s="123">
        <v>2000</v>
      </c>
      <c r="U62" s="123">
        <v>2900</v>
      </c>
      <c r="V62" s="117" t="s">
        <v>344</v>
      </c>
      <c r="W62" s="117" t="s">
        <v>344</v>
      </c>
    </row>
    <row r="63" spans="1:23" ht="30" customHeight="1" x14ac:dyDescent="0.2">
      <c r="A63" s="17" t="s">
        <v>182</v>
      </c>
      <c r="B63" s="17" t="s">
        <v>54</v>
      </c>
      <c r="C63" s="18" t="s">
        <v>190</v>
      </c>
      <c r="D63" s="18" t="s">
        <v>190</v>
      </c>
      <c r="E63" s="18" t="s">
        <v>190</v>
      </c>
      <c r="F63" s="18" t="s">
        <v>190</v>
      </c>
      <c r="G63" s="18" t="s">
        <v>190</v>
      </c>
      <c r="H63" s="18" t="s">
        <v>190</v>
      </c>
      <c r="I63" s="18" t="s">
        <v>190</v>
      </c>
      <c r="J63" s="18" t="s">
        <v>190</v>
      </c>
      <c r="K63" s="18">
        <v>7400</v>
      </c>
      <c r="L63" s="18">
        <v>5200</v>
      </c>
      <c r="M63" s="18">
        <v>7200</v>
      </c>
      <c r="N63" s="18">
        <v>6000</v>
      </c>
      <c r="O63" s="18">
        <v>9900</v>
      </c>
      <c r="P63" s="18">
        <v>10800</v>
      </c>
      <c r="Q63" s="18">
        <v>10000</v>
      </c>
      <c r="R63" s="18">
        <v>8900</v>
      </c>
      <c r="S63" s="18">
        <v>8600</v>
      </c>
      <c r="T63" s="123">
        <v>11200</v>
      </c>
      <c r="U63" s="123">
        <v>12400</v>
      </c>
      <c r="V63" s="117" t="s">
        <v>344</v>
      </c>
      <c r="W63" s="117" t="s">
        <v>344</v>
      </c>
    </row>
    <row r="64" spans="1:23" x14ac:dyDescent="0.2">
      <c r="A64" s="16" t="s">
        <v>182</v>
      </c>
      <c r="B64" s="16" t="s">
        <v>55</v>
      </c>
      <c r="C64" s="18" t="s">
        <v>190</v>
      </c>
      <c r="D64" s="18" t="s">
        <v>190</v>
      </c>
      <c r="E64" s="18" t="s">
        <v>190</v>
      </c>
      <c r="F64" s="18" t="s">
        <v>190</v>
      </c>
      <c r="G64" s="18" t="s">
        <v>190</v>
      </c>
      <c r="H64" s="18" t="s">
        <v>190</v>
      </c>
      <c r="I64" s="21" t="s">
        <v>190</v>
      </c>
      <c r="J64" s="21" t="s">
        <v>190</v>
      </c>
      <c r="K64" s="21">
        <v>800</v>
      </c>
      <c r="L64" s="18" t="s">
        <v>192</v>
      </c>
      <c r="M64" s="21">
        <v>1100</v>
      </c>
      <c r="N64" s="21">
        <v>1600</v>
      </c>
      <c r="O64" s="21">
        <v>800</v>
      </c>
      <c r="P64" s="21">
        <v>1000</v>
      </c>
      <c r="Q64" s="21" t="s">
        <v>208</v>
      </c>
      <c r="R64" s="21" t="s">
        <v>208</v>
      </c>
      <c r="S64" s="21" t="s">
        <v>208</v>
      </c>
      <c r="T64" s="123" t="s">
        <v>208</v>
      </c>
      <c r="U64" s="123" t="s">
        <v>208</v>
      </c>
      <c r="V64" s="117" t="s">
        <v>344</v>
      </c>
      <c r="W64" s="117" t="s">
        <v>344</v>
      </c>
    </row>
    <row r="65" spans="1:23" x14ac:dyDescent="0.2">
      <c r="A65" s="16" t="s">
        <v>182</v>
      </c>
      <c r="B65" s="16" t="s">
        <v>56</v>
      </c>
      <c r="C65" s="18" t="s">
        <v>190</v>
      </c>
      <c r="D65" s="18" t="s">
        <v>190</v>
      </c>
      <c r="E65" s="18" t="s">
        <v>190</v>
      </c>
      <c r="F65" s="18" t="s">
        <v>190</v>
      </c>
      <c r="G65" s="18" t="s">
        <v>190</v>
      </c>
      <c r="H65" s="18" t="s">
        <v>190</v>
      </c>
      <c r="I65" s="21" t="s">
        <v>190</v>
      </c>
      <c r="J65" s="21" t="s">
        <v>190</v>
      </c>
      <c r="K65" s="21">
        <v>900</v>
      </c>
      <c r="L65" s="21">
        <v>900</v>
      </c>
      <c r="M65" s="21">
        <v>800</v>
      </c>
      <c r="N65" s="21">
        <v>1300</v>
      </c>
      <c r="O65" s="21">
        <v>900</v>
      </c>
      <c r="P65" s="21">
        <v>1000</v>
      </c>
      <c r="Q65" s="21">
        <v>1100</v>
      </c>
      <c r="R65" s="21">
        <v>1500</v>
      </c>
      <c r="S65" s="18">
        <v>700</v>
      </c>
      <c r="T65" s="123">
        <v>800</v>
      </c>
      <c r="U65" s="123">
        <v>1000</v>
      </c>
      <c r="V65" s="117" t="s">
        <v>344</v>
      </c>
      <c r="W65" s="117" t="s">
        <v>344</v>
      </c>
    </row>
    <row r="66" spans="1:23" x14ac:dyDescent="0.2">
      <c r="A66" s="16" t="s">
        <v>182</v>
      </c>
      <c r="B66" s="16" t="s">
        <v>57</v>
      </c>
      <c r="C66" s="18" t="s">
        <v>190</v>
      </c>
      <c r="D66" s="18" t="s">
        <v>190</v>
      </c>
      <c r="E66" s="18" t="s">
        <v>190</v>
      </c>
      <c r="F66" s="18" t="s">
        <v>190</v>
      </c>
      <c r="G66" s="18" t="s">
        <v>190</v>
      </c>
      <c r="H66" s="18" t="s">
        <v>190</v>
      </c>
      <c r="I66" s="21" t="s">
        <v>190</v>
      </c>
      <c r="J66" s="21" t="s">
        <v>190</v>
      </c>
      <c r="K66" s="21">
        <v>800</v>
      </c>
      <c r="L66" s="21">
        <v>800</v>
      </c>
      <c r="M66" s="21">
        <v>600</v>
      </c>
      <c r="N66" s="21" t="s">
        <v>208</v>
      </c>
      <c r="O66" s="21" t="s">
        <v>208</v>
      </c>
      <c r="P66" s="21" t="s">
        <v>208</v>
      </c>
      <c r="Q66" s="18" t="s">
        <v>192</v>
      </c>
      <c r="R66" s="21" t="s">
        <v>208</v>
      </c>
      <c r="S66" s="21" t="s">
        <v>208</v>
      </c>
      <c r="T66" s="123" t="s">
        <v>208</v>
      </c>
      <c r="U66" s="123" t="s">
        <v>208</v>
      </c>
      <c r="V66" s="117" t="s">
        <v>344</v>
      </c>
      <c r="W66" s="117" t="s">
        <v>344</v>
      </c>
    </row>
    <row r="67" spans="1:23" x14ac:dyDescent="0.2">
      <c r="A67" s="16" t="s">
        <v>182</v>
      </c>
      <c r="B67" s="16" t="s">
        <v>58</v>
      </c>
      <c r="C67" s="18" t="s">
        <v>190</v>
      </c>
      <c r="D67" s="18" t="s">
        <v>190</v>
      </c>
      <c r="E67" s="18" t="s">
        <v>190</v>
      </c>
      <c r="F67" s="18" t="s">
        <v>190</v>
      </c>
      <c r="G67" s="18" t="s">
        <v>190</v>
      </c>
      <c r="H67" s="18" t="s">
        <v>190</v>
      </c>
      <c r="I67" s="21" t="s">
        <v>190</v>
      </c>
      <c r="J67" s="21" t="s">
        <v>190</v>
      </c>
      <c r="K67" s="21">
        <v>2400</v>
      </c>
      <c r="L67" s="21">
        <v>2600</v>
      </c>
      <c r="M67" s="21">
        <v>2900</v>
      </c>
      <c r="N67" s="21">
        <v>2400</v>
      </c>
      <c r="O67" s="21">
        <v>2700</v>
      </c>
      <c r="P67" s="21">
        <v>3500</v>
      </c>
      <c r="Q67" s="21">
        <v>2700</v>
      </c>
      <c r="R67" s="21">
        <v>2700</v>
      </c>
      <c r="S67" s="18">
        <v>3000</v>
      </c>
      <c r="T67" s="123">
        <v>3000</v>
      </c>
      <c r="U67" s="123">
        <v>2500</v>
      </c>
      <c r="V67" s="117" t="s">
        <v>344</v>
      </c>
      <c r="W67" s="117" t="s">
        <v>344</v>
      </c>
    </row>
    <row r="68" spans="1:23" x14ac:dyDescent="0.2">
      <c r="A68" s="16" t="s">
        <v>182</v>
      </c>
      <c r="B68" s="16" t="s">
        <v>96</v>
      </c>
      <c r="C68" s="18" t="s">
        <v>190</v>
      </c>
      <c r="D68" s="18" t="s">
        <v>190</v>
      </c>
      <c r="E68" s="18" t="s">
        <v>190</v>
      </c>
      <c r="F68" s="18" t="s">
        <v>190</v>
      </c>
      <c r="G68" s="18" t="s">
        <v>190</v>
      </c>
      <c r="H68" s="18" t="s">
        <v>190</v>
      </c>
      <c r="I68" s="21" t="s">
        <v>190</v>
      </c>
      <c r="J68" s="21" t="s">
        <v>190</v>
      </c>
      <c r="K68" s="18" t="s">
        <v>192</v>
      </c>
      <c r="L68" s="21">
        <v>600</v>
      </c>
      <c r="M68" s="18" t="s">
        <v>192</v>
      </c>
      <c r="N68" s="18" t="s">
        <v>192</v>
      </c>
      <c r="O68" s="18" t="s">
        <v>192</v>
      </c>
      <c r="P68" s="18" t="s">
        <v>192</v>
      </c>
      <c r="Q68" s="21">
        <v>600</v>
      </c>
      <c r="R68" s="21">
        <v>900</v>
      </c>
      <c r="S68" s="18">
        <v>900</v>
      </c>
      <c r="T68" s="123">
        <v>1200</v>
      </c>
      <c r="U68" s="123">
        <v>1000</v>
      </c>
      <c r="V68" s="117" t="s">
        <v>344</v>
      </c>
      <c r="W68" s="117" t="s">
        <v>344</v>
      </c>
    </row>
    <row r="69" spans="1:23" x14ac:dyDescent="0.2">
      <c r="A69" s="16" t="s">
        <v>182</v>
      </c>
      <c r="B69" s="16" t="s">
        <v>59</v>
      </c>
      <c r="C69" s="18" t="s">
        <v>190</v>
      </c>
      <c r="D69" s="18" t="s">
        <v>190</v>
      </c>
      <c r="E69" s="18" t="s">
        <v>190</v>
      </c>
      <c r="F69" s="18" t="s">
        <v>190</v>
      </c>
      <c r="G69" s="18" t="s">
        <v>190</v>
      </c>
      <c r="H69" s="18" t="s">
        <v>190</v>
      </c>
      <c r="I69" s="21" t="s">
        <v>190</v>
      </c>
      <c r="J69" s="21" t="s">
        <v>190</v>
      </c>
      <c r="K69" s="21" t="s">
        <v>208</v>
      </c>
      <c r="L69" s="21">
        <v>700</v>
      </c>
      <c r="M69" s="21" t="s">
        <v>208</v>
      </c>
      <c r="N69" s="21" t="s">
        <v>208</v>
      </c>
      <c r="O69" s="21">
        <v>800</v>
      </c>
      <c r="P69" s="21">
        <v>600</v>
      </c>
      <c r="Q69" s="21">
        <v>600</v>
      </c>
      <c r="R69" s="21" t="s">
        <v>208</v>
      </c>
      <c r="S69" s="21" t="s">
        <v>208</v>
      </c>
      <c r="T69" s="123" t="s">
        <v>208</v>
      </c>
      <c r="U69" s="123" t="s">
        <v>208</v>
      </c>
      <c r="V69" s="117" t="s">
        <v>344</v>
      </c>
      <c r="W69" s="117" t="s">
        <v>344</v>
      </c>
    </row>
    <row r="70" spans="1:23" x14ac:dyDescent="0.2">
      <c r="A70" s="16" t="s">
        <v>182</v>
      </c>
      <c r="B70" s="16" t="s">
        <v>60</v>
      </c>
      <c r="C70" s="18" t="s">
        <v>190</v>
      </c>
      <c r="D70" s="18" t="s">
        <v>190</v>
      </c>
      <c r="E70" s="18" t="s">
        <v>190</v>
      </c>
      <c r="F70" s="18" t="s">
        <v>190</v>
      </c>
      <c r="G70" s="18" t="s">
        <v>190</v>
      </c>
      <c r="H70" s="18" t="s">
        <v>190</v>
      </c>
      <c r="I70" s="21" t="s">
        <v>190</v>
      </c>
      <c r="J70" s="21" t="s">
        <v>190</v>
      </c>
      <c r="K70" s="18" t="s">
        <v>192</v>
      </c>
      <c r="L70" s="18" t="s">
        <v>192</v>
      </c>
      <c r="M70" s="21" t="s">
        <v>208</v>
      </c>
      <c r="N70" s="21" t="s">
        <v>208</v>
      </c>
      <c r="O70" s="18" t="s">
        <v>192</v>
      </c>
      <c r="P70" s="21" t="s">
        <v>208</v>
      </c>
      <c r="Q70" s="21" t="s">
        <v>208</v>
      </c>
      <c r="R70" s="21" t="s">
        <v>208</v>
      </c>
      <c r="S70" s="21" t="s">
        <v>208</v>
      </c>
      <c r="T70" s="123" t="s">
        <v>208</v>
      </c>
      <c r="U70" s="123" t="s">
        <v>208</v>
      </c>
      <c r="V70" s="117" t="s">
        <v>344</v>
      </c>
      <c r="W70" s="117" t="s">
        <v>344</v>
      </c>
    </row>
    <row r="71" spans="1:23" x14ac:dyDescent="0.2">
      <c r="A71" s="16" t="s">
        <v>182</v>
      </c>
      <c r="B71" s="16" t="s">
        <v>97</v>
      </c>
      <c r="C71" s="18" t="s">
        <v>190</v>
      </c>
      <c r="D71" s="18" t="s">
        <v>190</v>
      </c>
      <c r="E71" s="18" t="s">
        <v>190</v>
      </c>
      <c r="F71" s="18" t="s">
        <v>190</v>
      </c>
      <c r="G71" s="18" t="s">
        <v>190</v>
      </c>
      <c r="H71" s="18" t="s">
        <v>190</v>
      </c>
      <c r="I71" s="21" t="s">
        <v>190</v>
      </c>
      <c r="J71" s="21" t="s">
        <v>190</v>
      </c>
      <c r="K71" s="21" t="s">
        <v>208</v>
      </c>
      <c r="L71" s="18" t="s">
        <v>192</v>
      </c>
      <c r="M71" s="18" t="s">
        <v>192</v>
      </c>
      <c r="N71" s="18" t="s">
        <v>192</v>
      </c>
      <c r="O71" s="18" t="s">
        <v>192</v>
      </c>
      <c r="P71" s="18" t="s">
        <v>192</v>
      </c>
      <c r="Q71" s="21">
        <v>500</v>
      </c>
      <c r="R71" s="21" t="s">
        <v>208</v>
      </c>
      <c r="S71" s="21" t="s">
        <v>208</v>
      </c>
      <c r="T71" s="123" t="s">
        <v>208</v>
      </c>
      <c r="U71" s="123" t="s">
        <v>208</v>
      </c>
      <c r="V71" s="117" t="s">
        <v>344</v>
      </c>
      <c r="W71" s="117" t="s">
        <v>344</v>
      </c>
    </row>
    <row r="72" spans="1:23" x14ac:dyDescent="0.2">
      <c r="A72" s="16" t="s">
        <v>182</v>
      </c>
      <c r="B72" s="16" t="s">
        <v>61</v>
      </c>
      <c r="C72" s="18" t="s">
        <v>190</v>
      </c>
      <c r="D72" s="18" t="s">
        <v>190</v>
      </c>
      <c r="E72" s="18" t="s">
        <v>190</v>
      </c>
      <c r="F72" s="18" t="s">
        <v>190</v>
      </c>
      <c r="G72" s="18" t="s">
        <v>190</v>
      </c>
      <c r="H72" s="18" t="s">
        <v>190</v>
      </c>
      <c r="I72" s="21" t="s">
        <v>190</v>
      </c>
      <c r="J72" s="21" t="s">
        <v>190</v>
      </c>
      <c r="K72" s="21">
        <v>700</v>
      </c>
      <c r="L72" s="21">
        <v>800</v>
      </c>
      <c r="M72" s="21">
        <v>600</v>
      </c>
      <c r="N72" s="21">
        <v>600</v>
      </c>
      <c r="O72" s="21">
        <v>700</v>
      </c>
      <c r="P72" s="21">
        <v>1000</v>
      </c>
      <c r="Q72" s="21">
        <v>1200</v>
      </c>
      <c r="R72" s="21">
        <v>900</v>
      </c>
      <c r="S72" s="18">
        <v>700</v>
      </c>
      <c r="T72" s="123">
        <v>900</v>
      </c>
      <c r="U72" s="123" t="s">
        <v>192</v>
      </c>
      <c r="V72" s="117" t="s">
        <v>344</v>
      </c>
      <c r="W72" s="117" t="s">
        <v>344</v>
      </c>
    </row>
    <row r="73" spans="1:23" x14ac:dyDescent="0.2">
      <c r="A73" s="16" t="s">
        <v>182</v>
      </c>
      <c r="B73" s="16" t="s">
        <v>62</v>
      </c>
      <c r="C73" s="18" t="s">
        <v>190</v>
      </c>
      <c r="D73" s="18" t="s">
        <v>190</v>
      </c>
      <c r="E73" s="18" t="s">
        <v>190</v>
      </c>
      <c r="F73" s="18" t="s">
        <v>190</v>
      </c>
      <c r="G73" s="18" t="s">
        <v>190</v>
      </c>
      <c r="H73" s="18" t="s">
        <v>190</v>
      </c>
      <c r="I73" s="21" t="s">
        <v>190</v>
      </c>
      <c r="J73" s="21" t="s">
        <v>190</v>
      </c>
      <c r="K73" s="21">
        <v>1100</v>
      </c>
      <c r="L73" s="21">
        <v>1300</v>
      </c>
      <c r="M73" s="21">
        <v>1600</v>
      </c>
      <c r="N73" s="21">
        <v>1200</v>
      </c>
      <c r="O73" s="21">
        <v>1200</v>
      </c>
      <c r="P73" s="21">
        <v>1300</v>
      </c>
      <c r="Q73" s="21">
        <v>1600</v>
      </c>
      <c r="R73" s="21">
        <v>1500</v>
      </c>
      <c r="S73" s="18">
        <v>1200</v>
      </c>
      <c r="T73" s="123">
        <v>800</v>
      </c>
      <c r="U73" s="123">
        <v>800</v>
      </c>
      <c r="V73" s="117" t="s">
        <v>344</v>
      </c>
      <c r="W73" s="117" t="s">
        <v>344</v>
      </c>
    </row>
    <row r="74" spans="1:23" x14ac:dyDescent="0.2">
      <c r="A74" s="16" t="s">
        <v>182</v>
      </c>
      <c r="B74" s="16" t="s">
        <v>63</v>
      </c>
      <c r="C74" s="18" t="s">
        <v>190</v>
      </c>
      <c r="D74" s="18" t="s">
        <v>190</v>
      </c>
      <c r="E74" s="18" t="s">
        <v>190</v>
      </c>
      <c r="F74" s="18" t="s">
        <v>190</v>
      </c>
      <c r="G74" s="18" t="s">
        <v>190</v>
      </c>
      <c r="H74" s="18" t="s">
        <v>190</v>
      </c>
      <c r="I74" s="21" t="s">
        <v>190</v>
      </c>
      <c r="J74" s="21" t="s">
        <v>190</v>
      </c>
      <c r="K74" s="21">
        <v>1800</v>
      </c>
      <c r="L74" s="21">
        <v>2000</v>
      </c>
      <c r="M74" s="21">
        <v>2300</v>
      </c>
      <c r="N74" s="21">
        <v>2600</v>
      </c>
      <c r="O74" s="21">
        <v>2200</v>
      </c>
      <c r="P74" s="21">
        <v>2600</v>
      </c>
      <c r="Q74" s="21">
        <v>2900</v>
      </c>
      <c r="R74" s="21">
        <v>2300</v>
      </c>
      <c r="S74" s="18">
        <v>2800</v>
      </c>
      <c r="T74" s="123">
        <v>2000</v>
      </c>
      <c r="U74" s="123">
        <v>2100</v>
      </c>
      <c r="V74" s="117" t="s">
        <v>344</v>
      </c>
      <c r="W74" s="117" t="s">
        <v>344</v>
      </c>
    </row>
    <row r="75" spans="1:23" x14ac:dyDescent="0.2">
      <c r="A75" s="16" t="s">
        <v>182</v>
      </c>
      <c r="B75" s="16" t="s">
        <v>64</v>
      </c>
      <c r="C75" s="18" t="s">
        <v>190</v>
      </c>
      <c r="D75" s="18" t="s">
        <v>190</v>
      </c>
      <c r="E75" s="18" t="s">
        <v>190</v>
      </c>
      <c r="F75" s="18" t="s">
        <v>190</v>
      </c>
      <c r="G75" s="18" t="s">
        <v>190</v>
      </c>
      <c r="H75" s="18" t="s">
        <v>190</v>
      </c>
      <c r="I75" s="21" t="s">
        <v>190</v>
      </c>
      <c r="J75" s="21" t="s">
        <v>190</v>
      </c>
      <c r="K75" s="21">
        <v>3800</v>
      </c>
      <c r="L75" s="21">
        <v>3100</v>
      </c>
      <c r="M75" s="21">
        <v>3900</v>
      </c>
      <c r="N75" s="21">
        <v>4600</v>
      </c>
      <c r="O75" s="21">
        <v>5200</v>
      </c>
      <c r="P75" s="21">
        <v>6200</v>
      </c>
      <c r="Q75" s="21">
        <v>4200</v>
      </c>
      <c r="R75" s="21">
        <v>4700</v>
      </c>
      <c r="S75" s="18">
        <v>4200</v>
      </c>
      <c r="T75" s="123">
        <v>4500</v>
      </c>
      <c r="U75" s="123">
        <v>2400</v>
      </c>
      <c r="V75" s="117" t="s">
        <v>344</v>
      </c>
      <c r="W75" s="117" t="s">
        <v>344</v>
      </c>
    </row>
    <row r="76" spans="1:23" x14ac:dyDescent="0.2">
      <c r="A76" s="16" t="s">
        <v>182</v>
      </c>
      <c r="B76" s="16" t="s">
        <v>65</v>
      </c>
      <c r="C76" s="18" t="s">
        <v>190</v>
      </c>
      <c r="D76" s="18" t="s">
        <v>190</v>
      </c>
      <c r="E76" s="18" t="s">
        <v>190</v>
      </c>
      <c r="F76" s="18" t="s">
        <v>190</v>
      </c>
      <c r="G76" s="18" t="s">
        <v>190</v>
      </c>
      <c r="H76" s="18" t="s">
        <v>190</v>
      </c>
      <c r="I76" s="21" t="s">
        <v>190</v>
      </c>
      <c r="J76" s="21" t="s">
        <v>190</v>
      </c>
      <c r="K76" s="21">
        <v>3100</v>
      </c>
      <c r="L76" s="21">
        <v>2700</v>
      </c>
      <c r="M76" s="21">
        <v>5900</v>
      </c>
      <c r="N76" s="21">
        <v>2800</v>
      </c>
      <c r="O76" s="21">
        <v>4600</v>
      </c>
      <c r="P76" s="21">
        <v>4100</v>
      </c>
      <c r="Q76" s="21">
        <v>3900</v>
      </c>
      <c r="R76" s="21">
        <v>6000</v>
      </c>
      <c r="S76" s="18">
        <v>4100</v>
      </c>
      <c r="T76" s="123">
        <v>2800</v>
      </c>
      <c r="U76" s="123">
        <v>5600</v>
      </c>
      <c r="V76" s="117" t="s">
        <v>344</v>
      </c>
      <c r="W76" s="117" t="s">
        <v>344</v>
      </c>
    </row>
    <row r="77" spans="1:23" x14ac:dyDescent="0.2">
      <c r="A77" s="16" t="s">
        <v>182</v>
      </c>
      <c r="B77" s="16" t="s">
        <v>66</v>
      </c>
      <c r="C77" s="18" t="s">
        <v>190</v>
      </c>
      <c r="D77" s="18" t="s">
        <v>190</v>
      </c>
      <c r="E77" s="18" t="s">
        <v>190</v>
      </c>
      <c r="F77" s="18" t="s">
        <v>190</v>
      </c>
      <c r="G77" s="18" t="s">
        <v>190</v>
      </c>
      <c r="H77" s="18" t="s">
        <v>190</v>
      </c>
      <c r="I77" s="21" t="s">
        <v>190</v>
      </c>
      <c r="J77" s="21" t="s">
        <v>190</v>
      </c>
      <c r="K77" s="21">
        <v>500</v>
      </c>
      <c r="L77" s="18" t="s">
        <v>192</v>
      </c>
      <c r="M77" s="21">
        <v>600</v>
      </c>
      <c r="N77" s="21">
        <v>600</v>
      </c>
      <c r="O77" s="21">
        <v>700</v>
      </c>
      <c r="P77" s="21">
        <v>700</v>
      </c>
      <c r="Q77" s="18" t="s">
        <v>192</v>
      </c>
      <c r="R77" s="21">
        <v>900</v>
      </c>
      <c r="S77" s="18">
        <v>900</v>
      </c>
      <c r="T77" s="123">
        <v>700</v>
      </c>
      <c r="U77" s="123">
        <v>700</v>
      </c>
      <c r="V77" s="117" t="s">
        <v>344</v>
      </c>
      <c r="W77" s="117" t="s">
        <v>344</v>
      </c>
    </row>
    <row r="78" spans="1:23" x14ac:dyDescent="0.2">
      <c r="A78" s="16" t="s">
        <v>182</v>
      </c>
      <c r="B78" s="16" t="s">
        <v>67</v>
      </c>
      <c r="C78" s="18" t="s">
        <v>190</v>
      </c>
      <c r="D78" s="18" t="s">
        <v>190</v>
      </c>
      <c r="E78" s="18" t="s">
        <v>190</v>
      </c>
      <c r="F78" s="18" t="s">
        <v>190</v>
      </c>
      <c r="G78" s="18" t="s">
        <v>190</v>
      </c>
      <c r="H78" s="18" t="s">
        <v>190</v>
      </c>
      <c r="I78" s="21" t="s">
        <v>190</v>
      </c>
      <c r="J78" s="21" t="s">
        <v>190</v>
      </c>
      <c r="K78" s="21">
        <v>14500</v>
      </c>
      <c r="L78" s="21">
        <v>16000</v>
      </c>
      <c r="M78" s="21">
        <v>16100</v>
      </c>
      <c r="N78" s="21">
        <v>17800</v>
      </c>
      <c r="O78" s="21">
        <v>19900</v>
      </c>
      <c r="P78" s="21">
        <v>15300</v>
      </c>
      <c r="Q78" s="21">
        <v>14600</v>
      </c>
      <c r="R78" s="21">
        <v>19200</v>
      </c>
      <c r="S78" s="18">
        <v>17500</v>
      </c>
      <c r="T78" s="123">
        <v>21800</v>
      </c>
      <c r="U78" s="123">
        <v>16600</v>
      </c>
      <c r="V78" s="117" t="s">
        <v>344</v>
      </c>
      <c r="W78" s="117" t="s">
        <v>344</v>
      </c>
    </row>
    <row r="79" spans="1:23" x14ac:dyDescent="0.2">
      <c r="A79" s="16" t="s">
        <v>182</v>
      </c>
      <c r="B79" s="16" t="s">
        <v>68</v>
      </c>
      <c r="C79" s="18" t="s">
        <v>190</v>
      </c>
      <c r="D79" s="18" t="s">
        <v>190</v>
      </c>
      <c r="E79" s="18" t="s">
        <v>190</v>
      </c>
      <c r="F79" s="18" t="s">
        <v>190</v>
      </c>
      <c r="G79" s="18" t="s">
        <v>190</v>
      </c>
      <c r="H79" s="18" t="s">
        <v>190</v>
      </c>
      <c r="I79" s="21" t="s">
        <v>190</v>
      </c>
      <c r="J79" s="21" t="s">
        <v>190</v>
      </c>
      <c r="K79" s="21">
        <v>2100</v>
      </c>
      <c r="L79" s="21">
        <v>2200</v>
      </c>
      <c r="M79" s="21">
        <v>2500</v>
      </c>
      <c r="N79" s="21">
        <v>2800</v>
      </c>
      <c r="O79" s="21">
        <v>2800</v>
      </c>
      <c r="P79" s="21">
        <v>3700</v>
      </c>
      <c r="Q79" s="21">
        <v>3100</v>
      </c>
      <c r="R79" s="21">
        <v>2500</v>
      </c>
      <c r="S79" s="18">
        <v>2500</v>
      </c>
      <c r="T79" s="123">
        <v>2600</v>
      </c>
      <c r="U79" s="123">
        <v>3200</v>
      </c>
      <c r="V79" s="117" t="s">
        <v>344</v>
      </c>
      <c r="W79" s="117" t="s">
        <v>344</v>
      </c>
    </row>
    <row r="80" spans="1:23" x14ac:dyDescent="0.2">
      <c r="A80" s="16" t="s">
        <v>182</v>
      </c>
      <c r="B80" s="16" t="s">
        <v>69</v>
      </c>
      <c r="C80" s="18" t="s">
        <v>190</v>
      </c>
      <c r="D80" s="18" t="s">
        <v>190</v>
      </c>
      <c r="E80" s="18" t="s">
        <v>190</v>
      </c>
      <c r="F80" s="18" t="s">
        <v>190</v>
      </c>
      <c r="G80" s="18" t="s">
        <v>190</v>
      </c>
      <c r="H80" s="18" t="s">
        <v>190</v>
      </c>
      <c r="I80" s="21" t="s">
        <v>190</v>
      </c>
      <c r="J80" s="21" t="s">
        <v>190</v>
      </c>
      <c r="K80" s="21">
        <v>4600</v>
      </c>
      <c r="L80" s="21">
        <v>5200</v>
      </c>
      <c r="M80" s="21">
        <v>5200</v>
      </c>
      <c r="N80" s="21">
        <v>5400</v>
      </c>
      <c r="O80" s="21">
        <v>5300</v>
      </c>
      <c r="P80" s="21">
        <v>5700</v>
      </c>
      <c r="Q80" s="21">
        <v>3800</v>
      </c>
      <c r="R80" s="21">
        <v>5700</v>
      </c>
      <c r="S80" s="18">
        <v>5500</v>
      </c>
      <c r="T80" s="123">
        <v>6300</v>
      </c>
      <c r="U80" s="123">
        <v>4600</v>
      </c>
      <c r="V80" s="117" t="s">
        <v>344</v>
      </c>
      <c r="W80" s="117" t="s">
        <v>344</v>
      </c>
    </row>
    <row r="81" spans="1:23" x14ac:dyDescent="0.2">
      <c r="A81" s="16" t="s">
        <v>182</v>
      </c>
      <c r="B81" s="16" t="s">
        <v>70</v>
      </c>
      <c r="C81" s="18" t="s">
        <v>190</v>
      </c>
      <c r="D81" s="18" t="s">
        <v>190</v>
      </c>
      <c r="E81" s="18" t="s">
        <v>190</v>
      </c>
      <c r="F81" s="18" t="s">
        <v>190</v>
      </c>
      <c r="G81" s="18" t="s">
        <v>190</v>
      </c>
      <c r="H81" s="18" t="s">
        <v>190</v>
      </c>
      <c r="I81" s="21" t="s">
        <v>190</v>
      </c>
      <c r="J81" s="21" t="s">
        <v>190</v>
      </c>
      <c r="K81" s="21">
        <v>500</v>
      </c>
      <c r="L81" s="21">
        <v>700</v>
      </c>
      <c r="M81" s="21" t="s">
        <v>208</v>
      </c>
      <c r="N81" s="18" t="s">
        <v>192</v>
      </c>
      <c r="O81" s="21" t="s">
        <v>208</v>
      </c>
      <c r="P81" s="18" t="s">
        <v>192</v>
      </c>
      <c r="Q81" s="21">
        <v>500</v>
      </c>
      <c r="R81" s="21" t="s">
        <v>208</v>
      </c>
      <c r="S81" s="21" t="s">
        <v>208</v>
      </c>
      <c r="T81" s="123" t="s">
        <v>208</v>
      </c>
      <c r="U81" s="123" t="s">
        <v>194</v>
      </c>
      <c r="V81" s="117" t="s">
        <v>344</v>
      </c>
      <c r="W81" s="117" t="s">
        <v>344</v>
      </c>
    </row>
    <row r="82" spans="1:23" x14ac:dyDescent="0.2">
      <c r="A82" s="16" t="s">
        <v>182</v>
      </c>
      <c r="B82" s="16" t="s">
        <v>71</v>
      </c>
      <c r="C82" s="18" t="s">
        <v>190</v>
      </c>
      <c r="D82" s="18" t="s">
        <v>190</v>
      </c>
      <c r="E82" s="18" t="s">
        <v>190</v>
      </c>
      <c r="F82" s="18" t="s">
        <v>190</v>
      </c>
      <c r="G82" s="18" t="s">
        <v>190</v>
      </c>
      <c r="H82" s="18" t="s">
        <v>190</v>
      </c>
      <c r="I82" s="21" t="s">
        <v>190</v>
      </c>
      <c r="J82" s="21" t="s">
        <v>190</v>
      </c>
      <c r="K82" s="21" t="s">
        <v>208</v>
      </c>
      <c r="L82" s="21" t="s">
        <v>208</v>
      </c>
      <c r="M82" s="21" t="s">
        <v>208</v>
      </c>
      <c r="N82" s="21" t="s">
        <v>208</v>
      </c>
      <c r="O82" s="21" t="s">
        <v>208</v>
      </c>
      <c r="P82" s="21" t="s">
        <v>208</v>
      </c>
      <c r="Q82" s="21" t="s">
        <v>208</v>
      </c>
      <c r="R82" s="21" t="s">
        <v>208</v>
      </c>
      <c r="S82" s="21" t="s">
        <v>208</v>
      </c>
      <c r="T82" s="123" t="s">
        <v>208</v>
      </c>
      <c r="U82" s="123" t="s">
        <v>208</v>
      </c>
      <c r="V82" s="117" t="s">
        <v>344</v>
      </c>
      <c r="W82" s="117" t="s">
        <v>344</v>
      </c>
    </row>
    <row r="83" spans="1:23" x14ac:dyDescent="0.2">
      <c r="A83" s="16" t="s">
        <v>182</v>
      </c>
      <c r="B83" s="16" t="s">
        <v>72</v>
      </c>
      <c r="C83" s="18" t="s">
        <v>190</v>
      </c>
      <c r="D83" s="18" t="s">
        <v>190</v>
      </c>
      <c r="E83" s="18" t="s">
        <v>190</v>
      </c>
      <c r="F83" s="18" t="s">
        <v>190</v>
      </c>
      <c r="G83" s="18" t="s">
        <v>190</v>
      </c>
      <c r="H83" s="18" t="s">
        <v>190</v>
      </c>
      <c r="I83" s="21" t="s">
        <v>190</v>
      </c>
      <c r="J83" s="21" t="s">
        <v>190</v>
      </c>
      <c r="K83" s="21">
        <v>2000</v>
      </c>
      <c r="L83" s="21">
        <v>1700</v>
      </c>
      <c r="M83" s="21">
        <v>2000</v>
      </c>
      <c r="N83" s="21">
        <v>2200</v>
      </c>
      <c r="O83" s="21">
        <v>2200</v>
      </c>
      <c r="P83" s="21">
        <v>1500</v>
      </c>
      <c r="Q83" s="21">
        <v>1100</v>
      </c>
      <c r="R83" s="21">
        <v>2600</v>
      </c>
      <c r="S83" s="18">
        <v>1800</v>
      </c>
      <c r="T83" s="123">
        <v>1700</v>
      </c>
      <c r="U83" s="123">
        <v>1700</v>
      </c>
      <c r="V83" s="117" t="s">
        <v>344</v>
      </c>
      <c r="W83" s="117" t="s">
        <v>344</v>
      </c>
    </row>
    <row r="84" spans="1:23" x14ac:dyDescent="0.2">
      <c r="A84" s="16" t="s">
        <v>182</v>
      </c>
      <c r="B84" s="16" t="s">
        <v>73</v>
      </c>
      <c r="C84" s="18" t="s">
        <v>190</v>
      </c>
      <c r="D84" s="18" t="s">
        <v>190</v>
      </c>
      <c r="E84" s="18" t="s">
        <v>190</v>
      </c>
      <c r="F84" s="18" t="s">
        <v>190</v>
      </c>
      <c r="G84" s="18" t="s">
        <v>190</v>
      </c>
      <c r="H84" s="18" t="s">
        <v>190</v>
      </c>
      <c r="I84" s="21" t="s">
        <v>190</v>
      </c>
      <c r="J84" s="21" t="s">
        <v>190</v>
      </c>
      <c r="K84" s="21" t="s">
        <v>208</v>
      </c>
      <c r="L84" s="21" t="s">
        <v>208</v>
      </c>
      <c r="M84" s="18" t="s">
        <v>192</v>
      </c>
      <c r="N84" s="18" t="s">
        <v>192</v>
      </c>
      <c r="O84" s="21" t="s">
        <v>208</v>
      </c>
      <c r="P84" s="18" t="s">
        <v>192</v>
      </c>
      <c r="Q84" s="21" t="s">
        <v>208</v>
      </c>
      <c r="R84" s="21">
        <v>700</v>
      </c>
      <c r="S84" s="21" t="s">
        <v>208</v>
      </c>
      <c r="T84" s="123" t="s">
        <v>208</v>
      </c>
      <c r="U84" s="123" t="s">
        <v>192</v>
      </c>
      <c r="V84" s="117" t="s">
        <v>344</v>
      </c>
      <c r="W84" s="117" t="s">
        <v>344</v>
      </c>
    </row>
    <row r="85" spans="1:23" x14ac:dyDescent="0.2">
      <c r="A85" s="16" t="s">
        <v>182</v>
      </c>
      <c r="B85" s="16" t="s">
        <v>53</v>
      </c>
      <c r="C85" s="18" t="s">
        <v>190</v>
      </c>
      <c r="D85" s="18" t="s">
        <v>190</v>
      </c>
      <c r="E85" s="18" t="s">
        <v>190</v>
      </c>
      <c r="F85" s="18" t="s">
        <v>190</v>
      </c>
      <c r="G85" s="18" t="s">
        <v>190</v>
      </c>
      <c r="H85" s="18" t="s">
        <v>190</v>
      </c>
      <c r="I85" s="21" t="s">
        <v>190</v>
      </c>
      <c r="J85" s="21" t="s">
        <v>190</v>
      </c>
      <c r="K85" s="21">
        <v>18000</v>
      </c>
      <c r="L85" s="21">
        <v>18100</v>
      </c>
      <c r="M85" s="21">
        <v>18800</v>
      </c>
      <c r="N85" s="21">
        <v>17900</v>
      </c>
      <c r="O85" s="21">
        <v>18200</v>
      </c>
      <c r="P85" s="21">
        <v>20400</v>
      </c>
      <c r="Q85" s="21">
        <v>16300</v>
      </c>
      <c r="R85" s="21">
        <v>22700</v>
      </c>
      <c r="S85" s="18">
        <v>24700</v>
      </c>
      <c r="T85" s="123">
        <v>16300</v>
      </c>
      <c r="U85" s="123">
        <v>21300</v>
      </c>
      <c r="V85" s="117" t="s">
        <v>344</v>
      </c>
      <c r="W85" s="117" t="s">
        <v>344</v>
      </c>
    </row>
    <row r="86" spans="1:23" x14ac:dyDescent="0.2">
      <c r="A86" s="16" t="s">
        <v>182</v>
      </c>
      <c r="B86" s="16" t="s">
        <v>74</v>
      </c>
      <c r="C86" s="18" t="s">
        <v>190</v>
      </c>
      <c r="D86" s="18" t="s">
        <v>190</v>
      </c>
      <c r="E86" s="18" t="s">
        <v>190</v>
      </c>
      <c r="F86" s="18" t="s">
        <v>190</v>
      </c>
      <c r="G86" s="18" t="s">
        <v>190</v>
      </c>
      <c r="H86" s="18" t="s">
        <v>190</v>
      </c>
      <c r="I86" s="21" t="s">
        <v>190</v>
      </c>
      <c r="J86" s="21" t="s">
        <v>190</v>
      </c>
      <c r="K86" s="21" t="s">
        <v>208</v>
      </c>
      <c r="L86" s="21" t="s">
        <v>208</v>
      </c>
      <c r="M86" s="21" t="s">
        <v>208</v>
      </c>
      <c r="N86" s="21" t="s">
        <v>208</v>
      </c>
      <c r="O86" s="21" t="s">
        <v>208</v>
      </c>
      <c r="P86" s="21" t="s">
        <v>208</v>
      </c>
      <c r="Q86" s="21" t="s">
        <v>208</v>
      </c>
      <c r="R86" s="21" t="s">
        <v>208</v>
      </c>
      <c r="S86" s="21" t="s">
        <v>208</v>
      </c>
      <c r="T86" s="123" t="s">
        <v>208</v>
      </c>
      <c r="U86" s="123" t="s">
        <v>208</v>
      </c>
      <c r="V86" s="117" t="s">
        <v>344</v>
      </c>
      <c r="W86" s="117" t="s">
        <v>344</v>
      </c>
    </row>
    <row r="87" spans="1:23" x14ac:dyDescent="0.2">
      <c r="A87" s="16" t="s">
        <v>182</v>
      </c>
      <c r="B87" s="16" t="s">
        <v>75</v>
      </c>
      <c r="C87" s="18" t="s">
        <v>190</v>
      </c>
      <c r="D87" s="18" t="s">
        <v>190</v>
      </c>
      <c r="E87" s="18" t="s">
        <v>190</v>
      </c>
      <c r="F87" s="18" t="s">
        <v>190</v>
      </c>
      <c r="G87" s="18" t="s">
        <v>190</v>
      </c>
      <c r="H87" s="18" t="s">
        <v>190</v>
      </c>
      <c r="I87" s="21" t="s">
        <v>190</v>
      </c>
      <c r="J87" s="21" t="s">
        <v>190</v>
      </c>
      <c r="K87" s="21">
        <v>1200</v>
      </c>
      <c r="L87" s="21">
        <v>900</v>
      </c>
      <c r="M87" s="21">
        <v>900</v>
      </c>
      <c r="N87" s="21">
        <v>1800</v>
      </c>
      <c r="O87" s="21">
        <v>1200</v>
      </c>
      <c r="P87" s="21">
        <v>1000</v>
      </c>
      <c r="Q87" s="21">
        <v>1100</v>
      </c>
      <c r="R87" s="21">
        <v>600</v>
      </c>
      <c r="S87" s="18">
        <v>1800</v>
      </c>
      <c r="T87" s="123">
        <v>1300</v>
      </c>
      <c r="U87" s="123">
        <v>1600</v>
      </c>
      <c r="V87" s="117" t="s">
        <v>344</v>
      </c>
      <c r="W87" s="117" t="s">
        <v>344</v>
      </c>
    </row>
    <row r="88" spans="1:23" x14ac:dyDescent="0.2">
      <c r="A88" s="16" t="s">
        <v>182</v>
      </c>
      <c r="B88" s="16" t="s">
        <v>76</v>
      </c>
      <c r="C88" s="18" t="s">
        <v>190</v>
      </c>
      <c r="D88" s="18" t="s">
        <v>190</v>
      </c>
      <c r="E88" s="18" t="s">
        <v>190</v>
      </c>
      <c r="F88" s="18" t="s">
        <v>190</v>
      </c>
      <c r="G88" s="18" t="s">
        <v>190</v>
      </c>
      <c r="H88" s="18" t="s">
        <v>190</v>
      </c>
      <c r="I88" s="21" t="s">
        <v>190</v>
      </c>
      <c r="J88" s="21" t="s">
        <v>190</v>
      </c>
      <c r="K88" s="21">
        <v>900</v>
      </c>
      <c r="L88" s="21">
        <v>1000</v>
      </c>
      <c r="M88" s="21">
        <v>800</v>
      </c>
      <c r="N88" s="21">
        <v>900</v>
      </c>
      <c r="O88" s="21">
        <v>800</v>
      </c>
      <c r="P88" s="21">
        <v>1300</v>
      </c>
      <c r="Q88" s="21">
        <v>1200</v>
      </c>
      <c r="R88" s="21">
        <v>800</v>
      </c>
      <c r="S88" s="18">
        <v>1400</v>
      </c>
      <c r="T88" s="123">
        <v>900</v>
      </c>
      <c r="U88" s="123">
        <v>1200</v>
      </c>
      <c r="V88" s="117" t="s">
        <v>344</v>
      </c>
      <c r="W88" s="117" t="s">
        <v>344</v>
      </c>
    </row>
    <row r="89" spans="1:23" x14ac:dyDescent="0.2">
      <c r="A89" s="16" t="s">
        <v>182</v>
      </c>
      <c r="B89" s="16" t="s">
        <v>77</v>
      </c>
      <c r="C89" s="18" t="s">
        <v>190</v>
      </c>
      <c r="D89" s="18" t="s">
        <v>190</v>
      </c>
      <c r="E89" s="18" t="s">
        <v>190</v>
      </c>
      <c r="F89" s="18" t="s">
        <v>190</v>
      </c>
      <c r="G89" s="18" t="s">
        <v>190</v>
      </c>
      <c r="H89" s="18" t="s">
        <v>190</v>
      </c>
      <c r="I89" s="21" t="s">
        <v>190</v>
      </c>
      <c r="J89" s="21" t="s">
        <v>190</v>
      </c>
      <c r="K89" s="21">
        <v>2700</v>
      </c>
      <c r="L89" s="21">
        <v>3700</v>
      </c>
      <c r="M89" s="21">
        <v>2800</v>
      </c>
      <c r="N89" s="21">
        <v>2000</v>
      </c>
      <c r="O89" s="21">
        <v>2700</v>
      </c>
      <c r="P89" s="21">
        <v>2700</v>
      </c>
      <c r="Q89" s="21">
        <v>2300</v>
      </c>
      <c r="R89" s="21">
        <v>3200</v>
      </c>
      <c r="S89" s="18">
        <v>2400</v>
      </c>
      <c r="T89" s="123">
        <v>2900</v>
      </c>
      <c r="U89" s="123">
        <v>2100</v>
      </c>
      <c r="V89" s="117" t="s">
        <v>344</v>
      </c>
      <c r="W89" s="117" t="s">
        <v>344</v>
      </c>
    </row>
    <row r="90" spans="1:23" x14ac:dyDescent="0.2">
      <c r="A90" s="16" t="s">
        <v>182</v>
      </c>
      <c r="B90" s="16" t="s">
        <v>78</v>
      </c>
      <c r="C90" s="18" t="s">
        <v>190</v>
      </c>
      <c r="D90" s="18" t="s">
        <v>190</v>
      </c>
      <c r="E90" s="18" t="s">
        <v>190</v>
      </c>
      <c r="F90" s="18" t="s">
        <v>190</v>
      </c>
      <c r="G90" s="18" t="s">
        <v>190</v>
      </c>
      <c r="H90" s="18" t="s">
        <v>190</v>
      </c>
      <c r="I90" s="21" t="s">
        <v>190</v>
      </c>
      <c r="J90" s="21" t="s">
        <v>190</v>
      </c>
      <c r="K90" s="21">
        <v>2800</v>
      </c>
      <c r="L90" s="21">
        <v>3300</v>
      </c>
      <c r="M90" s="21">
        <v>3200</v>
      </c>
      <c r="N90" s="21">
        <v>2900</v>
      </c>
      <c r="O90" s="21">
        <v>4100</v>
      </c>
      <c r="P90" s="21">
        <v>4000</v>
      </c>
      <c r="Q90" s="21">
        <v>3400</v>
      </c>
      <c r="R90" s="21">
        <v>3200</v>
      </c>
      <c r="S90" s="18">
        <v>2800</v>
      </c>
      <c r="T90" s="123">
        <v>2300</v>
      </c>
      <c r="U90" s="123">
        <v>2500</v>
      </c>
      <c r="V90" s="117" t="s">
        <v>344</v>
      </c>
      <c r="W90" s="117" t="s">
        <v>344</v>
      </c>
    </row>
    <row r="91" spans="1:23" x14ac:dyDescent="0.2">
      <c r="A91" s="16" t="s">
        <v>182</v>
      </c>
      <c r="B91" s="16" t="s">
        <v>79</v>
      </c>
      <c r="C91" s="18" t="s">
        <v>190</v>
      </c>
      <c r="D91" s="18" t="s">
        <v>190</v>
      </c>
      <c r="E91" s="18" t="s">
        <v>190</v>
      </c>
      <c r="F91" s="18" t="s">
        <v>190</v>
      </c>
      <c r="G91" s="18" t="s">
        <v>190</v>
      </c>
      <c r="H91" s="18" t="s">
        <v>190</v>
      </c>
      <c r="I91" s="21" t="s">
        <v>190</v>
      </c>
      <c r="J91" s="21" t="s">
        <v>190</v>
      </c>
      <c r="K91" s="21">
        <v>3500</v>
      </c>
      <c r="L91" s="21">
        <v>2700</v>
      </c>
      <c r="M91" s="21">
        <v>2800</v>
      </c>
      <c r="N91" s="21">
        <v>2300</v>
      </c>
      <c r="O91" s="21">
        <v>2800</v>
      </c>
      <c r="P91" s="21">
        <v>4000</v>
      </c>
      <c r="Q91" s="21">
        <v>4500</v>
      </c>
      <c r="R91" s="21">
        <v>4900</v>
      </c>
      <c r="S91" s="18">
        <v>4500</v>
      </c>
      <c r="T91" s="123">
        <v>2400</v>
      </c>
      <c r="U91" s="123">
        <v>3100</v>
      </c>
      <c r="V91" s="117" t="s">
        <v>344</v>
      </c>
      <c r="W91" s="117" t="s">
        <v>344</v>
      </c>
    </row>
    <row r="92" spans="1:23" x14ac:dyDescent="0.2">
      <c r="A92" s="16" t="s">
        <v>182</v>
      </c>
      <c r="B92" s="16" t="s">
        <v>80</v>
      </c>
      <c r="C92" s="18" t="s">
        <v>190</v>
      </c>
      <c r="D92" s="18" t="s">
        <v>190</v>
      </c>
      <c r="E92" s="18" t="s">
        <v>190</v>
      </c>
      <c r="F92" s="18" t="s">
        <v>190</v>
      </c>
      <c r="G92" s="18" t="s">
        <v>190</v>
      </c>
      <c r="H92" s="18" t="s">
        <v>190</v>
      </c>
      <c r="I92" s="21" t="s">
        <v>190</v>
      </c>
      <c r="J92" s="21" t="s">
        <v>190</v>
      </c>
      <c r="K92" s="18" t="s">
        <v>192</v>
      </c>
      <c r="L92" s="18" t="s">
        <v>192</v>
      </c>
      <c r="M92" s="18" t="s">
        <v>192</v>
      </c>
      <c r="N92" s="18" t="s">
        <v>192</v>
      </c>
      <c r="O92" s="21" t="s">
        <v>208</v>
      </c>
      <c r="P92" s="18" t="s">
        <v>192</v>
      </c>
      <c r="Q92" s="18" t="s">
        <v>192</v>
      </c>
      <c r="R92" s="18" t="s">
        <v>192</v>
      </c>
      <c r="S92" s="18" t="s">
        <v>192</v>
      </c>
      <c r="T92" s="123" t="s">
        <v>192</v>
      </c>
      <c r="U92" s="123" t="s">
        <v>208</v>
      </c>
      <c r="V92" s="117" t="s">
        <v>344</v>
      </c>
      <c r="W92" s="117" t="s">
        <v>344</v>
      </c>
    </row>
    <row r="93" spans="1:23" x14ac:dyDescent="0.2">
      <c r="A93" s="16" t="s">
        <v>182</v>
      </c>
      <c r="B93" s="16" t="s">
        <v>81</v>
      </c>
      <c r="C93" s="18" t="s">
        <v>190</v>
      </c>
      <c r="D93" s="18" t="s">
        <v>190</v>
      </c>
      <c r="E93" s="18" t="s">
        <v>190</v>
      </c>
      <c r="F93" s="18" t="s">
        <v>190</v>
      </c>
      <c r="G93" s="18" t="s">
        <v>190</v>
      </c>
      <c r="H93" s="18" t="s">
        <v>190</v>
      </c>
      <c r="I93" s="21" t="s">
        <v>190</v>
      </c>
      <c r="J93" s="21" t="s">
        <v>190</v>
      </c>
      <c r="K93" s="21">
        <v>6600</v>
      </c>
      <c r="L93" s="21">
        <v>5300</v>
      </c>
      <c r="M93" s="21">
        <v>5400</v>
      </c>
      <c r="N93" s="21">
        <v>9000</v>
      </c>
      <c r="O93" s="21">
        <v>9400</v>
      </c>
      <c r="P93" s="21">
        <v>5000</v>
      </c>
      <c r="Q93" s="21">
        <v>8300</v>
      </c>
      <c r="R93" s="21">
        <v>6500</v>
      </c>
      <c r="S93" s="18">
        <v>7100</v>
      </c>
      <c r="T93" s="123">
        <v>5400</v>
      </c>
      <c r="U93" s="123">
        <v>5100</v>
      </c>
      <c r="V93" s="117" t="s">
        <v>344</v>
      </c>
      <c r="W93" s="117" t="s">
        <v>344</v>
      </c>
    </row>
    <row r="94" spans="1:23" x14ac:dyDescent="0.2">
      <c r="A94" s="16" t="s">
        <v>182</v>
      </c>
      <c r="B94" s="16" t="s">
        <v>82</v>
      </c>
      <c r="C94" s="18" t="s">
        <v>190</v>
      </c>
      <c r="D94" s="18" t="s">
        <v>190</v>
      </c>
      <c r="E94" s="18" t="s">
        <v>190</v>
      </c>
      <c r="F94" s="18" t="s">
        <v>190</v>
      </c>
      <c r="G94" s="18" t="s">
        <v>190</v>
      </c>
      <c r="H94" s="18" t="s">
        <v>190</v>
      </c>
      <c r="I94" s="21" t="s">
        <v>190</v>
      </c>
      <c r="J94" s="21" t="s">
        <v>190</v>
      </c>
      <c r="K94" s="18" t="s">
        <v>192</v>
      </c>
      <c r="L94" s="18" t="s">
        <v>192</v>
      </c>
      <c r="M94" s="18" t="s">
        <v>192</v>
      </c>
      <c r="N94" s="18" t="s">
        <v>192</v>
      </c>
      <c r="O94" s="18" t="s">
        <v>192</v>
      </c>
      <c r="P94" s="18" t="s">
        <v>192</v>
      </c>
      <c r="Q94" s="18" t="s">
        <v>192</v>
      </c>
      <c r="R94" s="18" t="s">
        <v>192</v>
      </c>
      <c r="S94" s="18" t="s">
        <v>192</v>
      </c>
      <c r="T94" s="123">
        <v>500</v>
      </c>
      <c r="U94" s="123" t="s">
        <v>192</v>
      </c>
      <c r="V94" s="117" t="s">
        <v>344</v>
      </c>
      <c r="W94" s="117" t="s">
        <v>344</v>
      </c>
    </row>
    <row r="95" spans="1:23" x14ac:dyDescent="0.2">
      <c r="A95" s="16" t="s">
        <v>182</v>
      </c>
      <c r="B95" s="16" t="s">
        <v>83</v>
      </c>
      <c r="C95" s="18" t="s">
        <v>190</v>
      </c>
      <c r="D95" s="18" t="s">
        <v>190</v>
      </c>
      <c r="E95" s="18" t="s">
        <v>190</v>
      </c>
      <c r="F95" s="18" t="s">
        <v>190</v>
      </c>
      <c r="G95" s="18" t="s">
        <v>190</v>
      </c>
      <c r="H95" s="18" t="s">
        <v>190</v>
      </c>
      <c r="I95" s="21" t="s">
        <v>190</v>
      </c>
      <c r="J95" s="21" t="s">
        <v>190</v>
      </c>
      <c r="K95" s="21">
        <v>700</v>
      </c>
      <c r="L95" s="18" t="s">
        <v>192</v>
      </c>
      <c r="M95" s="18" t="s">
        <v>192</v>
      </c>
      <c r="N95" s="21">
        <v>600</v>
      </c>
      <c r="O95" s="18" t="s">
        <v>192</v>
      </c>
      <c r="P95" s="21" t="s">
        <v>208</v>
      </c>
      <c r="Q95" s="21" t="s">
        <v>208</v>
      </c>
      <c r="R95" s="21" t="s">
        <v>208</v>
      </c>
      <c r="S95" s="21" t="s">
        <v>208</v>
      </c>
      <c r="T95" s="123" t="s">
        <v>208</v>
      </c>
      <c r="U95" s="123" t="s">
        <v>208</v>
      </c>
      <c r="V95" s="117" t="s">
        <v>344</v>
      </c>
      <c r="W95" s="117" t="s">
        <v>344</v>
      </c>
    </row>
    <row r="96" spans="1:23" x14ac:dyDescent="0.2">
      <c r="A96" s="16" t="s">
        <v>182</v>
      </c>
      <c r="B96" s="16" t="s">
        <v>84</v>
      </c>
      <c r="C96" s="18" t="s">
        <v>190</v>
      </c>
      <c r="D96" s="18" t="s">
        <v>190</v>
      </c>
      <c r="E96" s="18" t="s">
        <v>190</v>
      </c>
      <c r="F96" s="18" t="s">
        <v>190</v>
      </c>
      <c r="G96" s="18" t="s">
        <v>190</v>
      </c>
      <c r="H96" s="18" t="s">
        <v>190</v>
      </c>
      <c r="I96" s="21" t="s">
        <v>190</v>
      </c>
      <c r="J96" s="21" t="s">
        <v>190</v>
      </c>
      <c r="K96" s="18" t="s">
        <v>192</v>
      </c>
      <c r="L96" s="21">
        <v>500</v>
      </c>
      <c r="M96" s="18" t="s">
        <v>192</v>
      </c>
      <c r="N96" s="18" t="s">
        <v>192</v>
      </c>
      <c r="O96" s="18" t="s">
        <v>192</v>
      </c>
      <c r="P96" s="21">
        <v>500</v>
      </c>
      <c r="Q96" s="21">
        <v>600</v>
      </c>
      <c r="R96" s="21">
        <v>700</v>
      </c>
      <c r="S96" s="18" t="s">
        <v>192</v>
      </c>
      <c r="T96" s="123" t="s">
        <v>208</v>
      </c>
      <c r="U96" s="123" t="s">
        <v>192</v>
      </c>
      <c r="V96" s="117" t="s">
        <v>344</v>
      </c>
      <c r="W96" s="117" t="s">
        <v>344</v>
      </c>
    </row>
    <row r="97" spans="1:23" x14ac:dyDescent="0.2">
      <c r="A97" s="16" t="s">
        <v>182</v>
      </c>
      <c r="B97" s="16" t="s">
        <v>15</v>
      </c>
      <c r="C97" s="18" t="s">
        <v>190</v>
      </c>
      <c r="D97" s="18" t="s">
        <v>190</v>
      </c>
      <c r="E97" s="18" t="s">
        <v>190</v>
      </c>
      <c r="F97" s="18" t="s">
        <v>190</v>
      </c>
      <c r="G97" s="18" t="s">
        <v>190</v>
      </c>
      <c r="H97" s="18" t="s">
        <v>190</v>
      </c>
      <c r="I97" s="21" t="s">
        <v>190</v>
      </c>
      <c r="J97" s="21" t="s">
        <v>190</v>
      </c>
      <c r="K97" s="21" t="s">
        <v>296</v>
      </c>
      <c r="L97" s="21">
        <v>800</v>
      </c>
      <c r="M97" s="21">
        <v>900</v>
      </c>
      <c r="N97" s="21" t="s">
        <v>296</v>
      </c>
      <c r="O97" s="21">
        <v>900</v>
      </c>
      <c r="P97" s="21">
        <v>900</v>
      </c>
      <c r="Q97" s="21">
        <v>700</v>
      </c>
      <c r="R97" s="21">
        <v>800</v>
      </c>
      <c r="S97" s="18">
        <v>1000</v>
      </c>
      <c r="T97" s="123">
        <v>900</v>
      </c>
      <c r="U97" s="123" t="s">
        <v>208</v>
      </c>
      <c r="V97" s="117" t="s">
        <v>344</v>
      </c>
      <c r="W97" s="117" t="s">
        <v>344</v>
      </c>
    </row>
    <row r="98" spans="1:23" x14ac:dyDescent="0.2">
      <c r="A98" s="16" t="s">
        <v>182</v>
      </c>
      <c r="B98" s="16" t="s">
        <v>85</v>
      </c>
      <c r="C98" s="18" t="s">
        <v>190</v>
      </c>
      <c r="D98" s="18" t="s">
        <v>190</v>
      </c>
      <c r="E98" s="18" t="s">
        <v>190</v>
      </c>
      <c r="F98" s="18" t="s">
        <v>190</v>
      </c>
      <c r="G98" s="18" t="s">
        <v>190</v>
      </c>
      <c r="H98" s="18" t="s">
        <v>190</v>
      </c>
      <c r="I98" s="21" t="s">
        <v>190</v>
      </c>
      <c r="J98" s="21" t="s">
        <v>190</v>
      </c>
      <c r="K98" s="21">
        <v>2200</v>
      </c>
      <c r="L98" s="21">
        <v>2800</v>
      </c>
      <c r="M98" s="21">
        <v>3300</v>
      </c>
      <c r="N98" s="21">
        <v>3500</v>
      </c>
      <c r="O98" s="21">
        <v>4600</v>
      </c>
      <c r="P98" s="21">
        <v>3000</v>
      </c>
      <c r="Q98" s="21">
        <v>3700</v>
      </c>
      <c r="R98" s="21">
        <v>6300</v>
      </c>
      <c r="S98" s="18">
        <v>3400</v>
      </c>
      <c r="T98" s="123">
        <v>4400</v>
      </c>
      <c r="U98" s="123">
        <v>3800</v>
      </c>
      <c r="V98" s="117" t="s">
        <v>344</v>
      </c>
      <c r="W98" s="117" t="s">
        <v>344</v>
      </c>
    </row>
    <row r="99" spans="1:23" x14ac:dyDescent="0.2">
      <c r="A99" s="16" t="s">
        <v>182</v>
      </c>
      <c r="B99" s="16" t="s">
        <v>86</v>
      </c>
      <c r="C99" s="18" t="s">
        <v>190</v>
      </c>
      <c r="D99" s="18" t="s">
        <v>190</v>
      </c>
      <c r="E99" s="18" t="s">
        <v>190</v>
      </c>
      <c r="F99" s="18" t="s">
        <v>190</v>
      </c>
      <c r="G99" s="18" t="s">
        <v>190</v>
      </c>
      <c r="H99" s="18" t="s">
        <v>190</v>
      </c>
      <c r="I99" s="21" t="s">
        <v>190</v>
      </c>
      <c r="J99" s="21" t="s">
        <v>190</v>
      </c>
      <c r="K99" s="21" t="s">
        <v>208</v>
      </c>
      <c r="L99" s="21">
        <v>600</v>
      </c>
      <c r="M99" s="21" t="s">
        <v>208</v>
      </c>
      <c r="N99" s="21" t="s">
        <v>208</v>
      </c>
      <c r="O99" s="21" t="s">
        <v>208</v>
      </c>
      <c r="P99" s="21">
        <v>1300</v>
      </c>
      <c r="Q99" s="21" t="s">
        <v>208</v>
      </c>
      <c r="R99" s="21" t="s">
        <v>208</v>
      </c>
      <c r="S99" s="21" t="s">
        <v>208</v>
      </c>
      <c r="T99" s="123" t="s">
        <v>208</v>
      </c>
      <c r="U99" s="123" t="s">
        <v>208</v>
      </c>
      <c r="V99" s="117" t="s">
        <v>344</v>
      </c>
      <c r="W99" s="117" t="s">
        <v>344</v>
      </c>
    </row>
    <row r="100" spans="1:23" x14ac:dyDescent="0.2">
      <c r="A100" s="16" t="s">
        <v>182</v>
      </c>
      <c r="B100" s="16" t="s">
        <v>87</v>
      </c>
      <c r="C100" s="18" t="s">
        <v>190</v>
      </c>
      <c r="D100" s="18" t="s">
        <v>190</v>
      </c>
      <c r="E100" s="18" t="s">
        <v>190</v>
      </c>
      <c r="F100" s="18" t="s">
        <v>190</v>
      </c>
      <c r="G100" s="18" t="s">
        <v>190</v>
      </c>
      <c r="H100" s="18" t="s">
        <v>190</v>
      </c>
      <c r="I100" s="21" t="s">
        <v>190</v>
      </c>
      <c r="J100" s="21" t="s">
        <v>190</v>
      </c>
      <c r="K100" s="21">
        <v>600</v>
      </c>
      <c r="L100" s="21">
        <v>600</v>
      </c>
      <c r="M100" s="18" t="s">
        <v>192</v>
      </c>
      <c r="N100" s="21">
        <v>600</v>
      </c>
      <c r="O100" s="21">
        <v>500</v>
      </c>
      <c r="P100" s="18" t="s">
        <v>192</v>
      </c>
      <c r="Q100" s="18" t="s">
        <v>192</v>
      </c>
      <c r="R100" s="21" t="s">
        <v>208</v>
      </c>
      <c r="S100" s="18" t="s">
        <v>192</v>
      </c>
      <c r="T100" s="123" t="s">
        <v>192</v>
      </c>
      <c r="U100" s="123">
        <v>600</v>
      </c>
      <c r="V100" s="117" t="s">
        <v>344</v>
      </c>
      <c r="W100" s="117" t="s">
        <v>344</v>
      </c>
    </row>
    <row r="101" spans="1:23" x14ac:dyDescent="0.2">
      <c r="A101" s="16" t="s">
        <v>182</v>
      </c>
      <c r="B101" s="16" t="s">
        <v>88</v>
      </c>
      <c r="C101" s="18" t="s">
        <v>190</v>
      </c>
      <c r="D101" s="18" t="s">
        <v>190</v>
      </c>
      <c r="E101" s="18" t="s">
        <v>190</v>
      </c>
      <c r="F101" s="18" t="s">
        <v>190</v>
      </c>
      <c r="G101" s="18" t="s">
        <v>190</v>
      </c>
      <c r="H101" s="18" t="s">
        <v>190</v>
      </c>
      <c r="I101" s="21" t="s">
        <v>190</v>
      </c>
      <c r="J101" s="21" t="s">
        <v>190</v>
      </c>
      <c r="K101" s="21">
        <v>600</v>
      </c>
      <c r="L101" s="21" t="s">
        <v>208</v>
      </c>
      <c r="M101" s="21" t="s">
        <v>208</v>
      </c>
      <c r="N101" s="21" t="s">
        <v>208</v>
      </c>
      <c r="O101" s="18" t="s">
        <v>192</v>
      </c>
      <c r="P101" s="21" t="s">
        <v>208</v>
      </c>
      <c r="Q101" s="21">
        <v>1000</v>
      </c>
      <c r="R101" s="21" t="s">
        <v>208</v>
      </c>
      <c r="S101" s="21" t="s">
        <v>208</v>
      </c>
      <c r="T101" s="123" t="s">
        <v>208</v>
      </c>
      <c r="U101" s="123" t="s">
        <v>208</v>
      </c>
      <c r="V101" s="117" t="s">
        <v>344</v>
      </c>
      <c r="W101" s="117" t="s">
        <v>344</v>
      </c>
    </row>
    <row r="102" spans="1:23" x14ac:dyDescent="0.2">
      <c r="A102" s="16" t="s">
        <v>182</v>
      </c>
      <c r="B102" s="16" t="s">
        <v>18</v>
      </c>
      <c r="C102" s="18" t="s">
        <v>190</v>
      </c>
      <c r="D102" s="18" t="s">
        <v>190</v>
      </c>
      <c r="E102" s="18" t="s">
        <v>190</v>
      </c>
      <c r="F102" s="18" t="s">
        <v>190</v>
      </c>
      <c r="G102" s="18" t="s">
        <v>190</v>
      </c>
      <c r="H102" s="18" t="s">
        <v>190</v>
      </c>
      <c r="I102" s="21" t="s">
        <v>190</v>
      </c>
      <c r="J102" s="21" t="s">
        <v>190</v>
      </c>
      <c r="K102" s="18" t="s">
        <v>192</v>
      </c>
      <c r="L102" s="21" t="s">
        <v>208</v>
      </c>
      <c r="M102" s="21" t="s">
        <v>208</v>
      </c>
      <c r="N102" s="18" t="s">
        <v>192</v>
      </c>
      <c r="O102" s="18" t="s">
        <v>192</v>
      </c>
      <c r="P102" s="18" t="s">
        <v>192</v>
      </c>
      <c r="Q102" s="21" t="s">
        <v>208</v>
      </c>
      <c r="R102" s="18" t="s">
        <v>192</v>
      </c>
      <c r="S102" s="21" t="s">
        <v>208</v>
      </c>
      <c r="T102" s="123" t="s">
        <v>208</v>
      </c>
      <c r="U102" s="123" t="s">
        <v>208</v>
      </c>
      <c r="V102" s="117" t="s">
        <v>344</v>
      </c>
      <c r="W102" s="117" t="s">
        <v>344</v>
      </c>
    </row>
    <row r="103" spans="1:23" x14ac:dyDescent="0.2">
      <c r="A103" s="16" t="s">
        <v>182</v>
      </c>
      <c r="B103" s="16" t="s">
        <v>89</v>
      </c>
      <c r="C103" s="18" t="s">
        <v>190</v>
      </c>
      <c r="D103" s="18" t="s">
        <v>190</v>
      </c>
      <c r="E103" s="18" t="s">
        <v>190</v>
      </c>
      <c r="F103" s="18" t="s">
        <v>190</v>
      </c>
      <c r="G103" s="18" t="s">
        <v>190</v>
      </c>
      <c r="H103" s="18" t="s">
        <v>190</v>
      </c>
      <c r="I103" s="21" t="s">
        <v>190</v>
      </c>
      <c r="J103" s="21" t="s">
        <v>190</v>
      </c>
      <c r="K103" s="21">
        <v>1500</v>
      </c>
      <c r="L103" s="21">
        <v>2400</v>
      </c>
      <c r="M103" s="21">
        <v>2400</v>
      </c>
      <c r="N103" s="21">
        <v>2100</v>
      </c>
      <c r="O103" s="21">
        <v>1700</v>
      </c>
      <c r="P103" s="21">
        <v>1500</v>
      </c>
      <c r="Q103" s="21">
        <v>1400</v>
      </c>
      <c r="R103" s="21">
        <v>1300</v>
      </c>
      <c r="S103" s="18">
        <v>2600</v>
      </c>
      <c r="T103" s="123">
        <v>1100</v>
      </c>
      <c r="U103" s="123">
        <v>2500</v>
      </c>
      <c r="V103" s="117" t="s">
        <v>344</v>
      </c>
      <c r="W103" s="117" t="s">
        <v>344</v>
      </c>
    </row>
    <row r="104" spans="1:23" x14ac:dyDescent="0.2">
      <c r="A104" s="16" t="s">
        <v>182</v>
      </c>
      <c r="B104" s="16" t="s">
        <v>90</v>
      </c>
      <c r="C104" s="18" t="s">
        <v>190</v>
      </c>
      <c r="D104" s="18" t="s">
        <v>190</v>
      </c>
      <c r="E104" s="18" t="s">
        <v>190</v>
      </c>
      <c r="F104" s="18" t="s">
        <v>190</v>
      </c>
      <c r="G104" s="18" t="s">
        <v>190</v>
      </c>
      <c r="H104" s="18" t="s">
        <v>190</v>
      </c>
      <c r="I104" s="21" t="s">
        <v>190</v>
      </c>
      <c r="J104" s="21" t="s">
        <v>190</v>
      </c>
      <c r="K104" s="21">
        <v>600</v>
      </c>
      <c r="L104" s="18" t="s">
        <v>192</v>
      </c>
      <c r="M104" s="18" t="s">
        <v>192</v>
      </c>
      <c r="N104" s="18" t="s">
        <v>192</v>
      </c>
      <c r="O104" s="18" t="s">
        <v>192</v>
      </c>
      <c r="P104" s="21">
        <v>500</v>
      </c>
      <c r="Q104" s="21">
        <v>500</v>
      </c>
      <c r="R104" s="18" t="s">
        <v>192</v>
      </c>
      <c r="S104" s="21" t="s">
        <v>208</v>
      </c>
      <c r="T104" s="123">
        <v>700</v>
      </c>
      <c r="U104" s="123" t="s">
        <v>208</v>
      </c>
      <c r="V104" s="117" t="s">
        <v>344</v>
      </c>
      <c r="W104" s="117" t="s">
        <v>344</v>
      </c>
    </row>
    <row r="105" spans="1:23" x14ac:dyDescent="0.2">
      <c r="A105" s="16" t="s">
        <v>182</v>
      </c>
      <c r="B105" s="16" t="s">
        <v>91</v>
      </c>
      <c r="C105" s="18" t="s">
        <v>190</v>
      </c>
      <c r="D105" s="18" t="s">
        <v>190</v>
      </c>
      <c r="E105" s="18" t="s">
        <v>190</v>
      </c>
      <c r="F105" s="18" t="s">
        <v>190</v>
      </c>
      <c r="G105" s="18" t="s">
        <v>190</v>
      </c>
      <c r="H105" s="18" t="s">
        <v>190</v>
      </c>
      <c r="I105" s="21" t="s">
        <v>190</v>
      </c>
      <c r="J105" s="21" t="s">
        <v>190</v>
      </c>
      <c r="K105" s="21" t="s">
        <v>208</v>
      </c>
      <c r="L105" s="21" t="s">
        <v>208</v>
      </c>
      <c r="M105" s="21" t="s">
        <v>208</v>
      </c>
      <c r="N105" s="21" t="s">
        <v>208</v>
      </c>
      <c r="O105" s="21">
        <v>800</v>
      </c>
      <c r="P105" s="18" t="s">
        <v>192</v>
      </c>
      <c r="Q105" s="21">
        <v>600</v>
      </c>
      <c r="R105" s="21" t="s">
        <v>208</v>
      </c>
      <c r="S105" s="21" t="s">
        <v>208</v>
      </c>
      <c r="T105" s="123" t="s">
        <v>208</v>
      </c>
      <c r="U105" s="123" t="s">
        <v>208</v>
      </c>
      <c r="V105" s="117" t="s">
        <v>344</v>
      </c>
      <c r="W105" s="117" t="s">
        <v>344</v>
      </c>
    </row>
    <row r="106" spans="1:23" x14ac:dyDescent="0.2">
      <c r="A106" s="16" t="s">
        <v>182</v>
      </c>
      <c r="B106" s="16" t="s">
        <v>92</v>
      </c>
      <c r="C106" s="18" t="s">
        <v>190</v>
      </c>
      <c r="D106" s="18" t="s">
        <v>190</v>
      </c>
      <c r="E106" s="18" t="s">
        <v>190</v>
      </c>
      <c r="F106" s="18" t="s">
        <v>190</v>
      </c>
      <c r="G106" s="18" t="s">
        <v>190</v>
      </c>
      <c r="H106" s="18" t="s">
        <v>190</v>
      </c>
      <c r="I106" s="21" t="s">
        <v>190</v>
      </c>
      <c r="J106" s="21" t="s">
        <v>190</v>
      </c>
      <c r="K106" s="21">
        <v>800</v>
      </c>
      <c r="L106" s="21">
        <v>500</v>
      </c>
      <c r="M106" s="21">
        <v>1000</v>
      </c>
      <c r="N106" s="21" t="s">
        <v>208</v>
      </c>
      <c r="O106" s="21">
        <v>800</v>
      </c>
      <c r="P106" s="21">
        <v>1000</v>
      </c>
      <c r="Q106" s="21">
        <v>600</v>
      </c>
      <c r="R106" s="21" t="s">
        <v>208</v>
      </c>
      <c r="S106" s="18">
        <v>800</v>
      </c>
      <c r="T106" s="123" t="s">
        <v>208</v>
      </c>
      <c r="U106" s="123" t="s">
        <v>208</v>
      </c>
      <c r="V106" s="117" t="s">
        <v>344</v>
      </c>
      <c r="W106" s="117" t="s">
        <v>344</v>
      </c>
    </row>
    <row r="107" spans="1:23" x14ac:dyDescent="0.2">
      <c r="A107" s="16" t="s">
        <v>182</v>
      </c>
      <c r="B107" s="16" t="s">
        <v>93</v>
      </c>
      <c r="C107" s="18" t="s">
        <v>190</v>
      </c>
      <c r="D107" s="18" t="s">
        <v>190</v>
      </c>
      <c r="E107" s="18" t="s">
        <v>190</v>
      </c>
      <c r="F107" s="18" t="s">
        <v>190</v>
      </c>
      <c r="G107" s="18" t="s">
        <v>190</v>
      </c>
      <c r="H107" s="18" t="s">
        <v>190</v>
      </c>
      <c r="I107" s="21" t="s">
        <v>190</v>
      </c>
      <c r="J107" s="21" t="s">
        <v>190</v>
      </c>
      <c r="K107" s="21" t="s">
        <v>208</v>
      </c>
      <c r="L107" s="21" t="s">
        <v>208</v>
      </c>
      <c r="M107" s="18" t="s">
        <v>192</v>
      </c>
      <c r="N107" s="18" t="s">
        <v>192</v>
      </c>
      <c r="O107" s="21" t="s">
        <v>208</v>
      </c>
      <c r="P107" s="21" t="s">
        <v>208</v>
      </c>
      <c r="Q107" s="21" t="s">
        <v>208</v>
      </c>
      <c r="R107" s="21" t="s">
        <v>208</v>
      </c>
      <c r="S107" s="21" t="s">
        <v>208</v>
      </c>
      <c r="T107" s="123" t="s">
        <v>208</v>
      </c>
      <c r="U107" s="123" t="s">
        <v>208</v>
      </c>
      <c r="V107" s="117" t="s">
        <v>344</v>
      </c>
      <c r="W107" s="117" t="s">
        <v>344</v>
      </c>
    </row>
    <row r="108" spans="1:23" x14ac:dyDescent="0.2">
      <c r="A108" s="16" t="s">
        <v>182</v>
      </c>
      <c r="B108" s="16" t="s">
        <v>94</v>
      </c>
      <c r="C108" s="18" t="s">
        <v>190</v>
      </c>
      <c r="D108" s="18" t="s">
        <v>190</v>
      </c>
      <c r="E108" s="18" t="s">
        <v>190</v>
      </c>
      <c r="F108" s="18" t="s">
        <v>190</v>
      </c>
      <c r="G108" s="18" t="s">
        <v>190</v>
      </c>
      <c r="H108" s="18" t="s">
        <v>190</v>
      </c>
      <c r="I108" s="21" t="s">
        <v>190</v>
      </c>
      <c r="J108" s="21" t="s">
        <v>190</v>
      </c>
      <c r="K108" s="21">
        <v>700</v>
      </c>
      <c r="L108" s="21" t="s">
        <v>296</v>
      </c>
      <c r="M108" s="21" t="s">
        <v>296</v>
      </c>
      <c r="N108" s="21">
        <v>800</v>
      </c>
      <c r="O108" s="18" t="s">
        <v>192</v>
      </c>
      <c r="P108" s="18" t="s">
        <v>192</v>
      </c>
      <c r="Q108" s="21" t="s">
        <v>296</v>
      </c>
      <c r="R108" s="21" t="s">
        <v>296</v>
      </c>
      <c r="S108" s="18" t="s">
        <v>296</v>
      </c>
      <c r="T108" s="123" t="s">
        <v>296</v>
      </c>
      <c r="U108" s="123">
        <v>700</v>
      </c>
      <c r="V108" s="117" t="s">
        <v>344</v>
      </c>
      <c r="W108" s="117" t="s">
        <v>344</v>
      </c>
    </row>
    <row r="109" spans="1:23" x14ac:dyDescent="0.2">
      <c r="A109" s="16" t="s">
        <v>182</v>
      </c>
      <c r="B109" s="16" t="s">
        <v>95</v>
      </c>
      <c r="C109" s="18" t="s">
        <v>190</v>
      </c>
      <c r="D109" s="18" t="s">
        <v>190</v>
      </c>
      <c r="E109" s="18" t="s">
        <v>190</v>
      </c>
      <c r="F109" s="18" t="s">
        <v>190</v>
      </c>
      <c r="G109" s="18" t="s">
        <v>190</v>
      </c>
      <c r="H109" s="18" t="s">
        <v>190</v>
      </c>
      <c r="I109" s="21" t="s">
        <v>190</v>
      </c>
      <c r="J109" s="21" t="s">
        <v>190</v>
      </c>
      <c r="K109" s="21">
        <v>700</v>
      </c>
      <c r="L109" s="21" t="s">
        <v>208</v>
      </c>
      <c r="M109" s="21">
        <v>600</v>
      </c>
      <c r="N109" s="21" t="s">
        <v>208</v>
      </c>
      <c r="O109" s="18" t="s">
        <v>192</v>
      </c>
      <c r="P109" s="21" t="s">
        <v>208</v>
      </c>
      <c r="Q109" s="21" t="s">
        <v>208</v>
      </c>
      <c r="R109" s="21" t="s">
        <v>208</v>
      </c>
      <c r="S109" s="21" t="s">
        <v>208</v>
      </c>
      <c r="T109" s="123" t="s">
        <v>208</v>
      </c>
      <c r="U109" s="123" t="s">
        <v>208</v>
      </c>
      <c r="V109" s="117" t="s">
        <v>344</v>
      </c>
      <c r="W109" s="117" t="s">
        <v>344</v>
      </c>
    </row>
    <row r="110" spans="1:23" ht="30" customHeight="1" x14ac:dyDescent="0.2">
      <c r="A110" s="17" t="s">
        <v>183</v>
      </c>
      <c r="B110" s="17" t="s">
        <v>112</v>
      </c>
      <c r="C110" s="18" t="s">
        <v>190</v>
      </c>
      <c r="D110" s="18" t="s">
        <v>190</v>
      </c>
      <c r="E110" s="18" t="s">
        <v>190</v>
      </c>
      <c r="F110" s="18" t="s">
        <v>190</v>
      </c>
      <c r="G110" s="18" t="s">
        <v>190</v>
      </c>
      <c r="H110" s="18" t="s">
        <v>190</v>
      </c>
      <c r="I110" s="18" t="s">
        <v>190</v>
      </c>
      <c r="J110" s="18" t="s">
        <v>190</v>
      </c>
      <c r="K110" s="18">
        <v>1500</v>
      </c>
      <c r="L110" s="18">
        <v>1900</v>
      </c>
      <c r="M110" s="18">
        <v>1800</v>
      </c>
      <c r="N110" s="18">
        <v>1700</v>
      </c>
      <c r="O110" s="18">
        <v>1900</v>
      </c>
      <c r="P110" s="18">
        <v>1800</v>
      </c>
      <c r="Q110" s="18">
        <v>2100</v>
      </c>
      <c r="R110" s="18">
        <v>2400</v>
      </c>
      <c r="S110" s="18">
        <v>2200</v>
      </c>
      <c r="T110" s="123">
        <v>2200</v>
      </c>
      <c r="U110" s="123">
        <v>1700</v>
      </c>
      <c r="V110" s="117" t="s">
        <v>344</v>
      </c>
      <c r="W110" s="117" t="s">
        <v>344</v>
      </c>
    </row>
    <row r="111" spans="1:23" x14ac:dyDescent="0.2">
      <c r="A111" s="16" t="s">
        <v>183</v>
      </c>
      <c r="B111" s="9" t="s">
        <v>113</v>
      </c>
      <c r="C111" s="18" t="s">
        <v>190</v>
      </c>
      <c r="D111" s="18" t="s">
        <v>190</v>
      </c>
      <c r="E111" s="18" t="s">
        <v>190</v>
      </c>
      <c r="F111" s="18" t="s">
        <v>190</v>
      </c>
      <c r="G111" s="18" t="s">
        <v>190</v>
      </c>
      <c r="H111" s="18" t="s">
        <v>190</v>
      </c>
      <c r="I111" s="21" t="s">
        <v>190</v>
      </c>
      <c r="J111" s="21" t="s">
        <v>190</v>
      </c>
      <c r="K111" s="21">
        <v>1000</v>
      </c>
      <c r="L111" s="21">
        <v>600</v>
      </c>
      <c r="M111" s="21">
        <v>1200</v>
      </c>
      <c r="N111" s="21">
        <v>800</v>
      </c>
      <c r="O111" s="21">
        <v>1100</v>
      </c>
      <c r="P111" s="21">
        <v>1000</v>
      </c>
      <c r="Q111" s="21">
        <v>1000</v>
      </c>
      <c r="R111" s="21" t="s">
        <v>208</v>
      </c>
      <c r="S111" s="21" t="s">
        <v>208</v>
      </c>
      <c r="T111" s="123" t="s">
        <v>208</v>
      </c>
      <c r="U111" s="123" t="s">
        <v>208</v>
      </c>
      <c r="V111" s="117" t="s">
        <v>344</v>
      </c>
      <c r="W111" s="117" t="s">
        <v>344</v>
      </c>
    </row>
    <row r="112" spans="1:23" x14ac:dyDescent="0.2">
      <c r="A112" s="16" t="s">
        <v>183</v>
      </c>
      <c r="B112" s="9" t="s">
        <v>114</v>
      </c>
      <c r="C112" s="18" t="s">
        <v>190</v>
      </c>
      <c r="D112" s="18" t="s">
        <v>190</v>
      </c>
      <c r="E112" s="18" t="s">
        <v>190</v>
      </c>
      <c r="F112" s="18" t="s">
        <v>190</v>
      </c>
      <c r="G112" s="18" t="s">
        <v>190</v>
      </c>
      <c r="H112" s="18" t="s">
        <v>190</v>
      </c>
      <c r="I112" s="21" t="s">
        <v>190</v>
      </c>
      <c r="J112" s="21" t="s">
        <v>190</v>
      </c>
      <c r="K112" s="21">
        <v>4400</v>
      </c>
      <c r="L112" s="21">
        <v>5000</v>
      </c>
      <c r="M112" s="21">
        <v>4400</v>
      </c>
      <c r="N112" s="21">
        <v>3800</v>
      </c>
      <c r="O112" s="21">
        <v>3600</v>
      </c>
      <c r="P112" s="21">
        <v>3900</v>
      </c>
      <c r="Q112" s="21">
        <v>3000</v>
      </c>
      <c r="R112" s="21">
        <v>3400</v>
      </c>
      <c r="S112" s="18">
        <v>3100</v>
      </c>
      <c r="T112" s="123">
        <v>3900</v>
      </c>
      <c r="U112" s="123">
        <v>4200</v>
      </c>
      <c r="V112" s="117" t="s">
        <v>344</v>
      </c>
      <c r="W112" s="117" t="s">
        <v>344</v>
      </c>
    </row>
    <row r="113" spans="1:23" x14ac:dyDescent="0.2">
      <c r="A113" s="16" t="s">
        <v>183</v>
      </c>
      <c r="B113" s="9" t="s">
        <v>115</v>
      </c>
      <c r="C113" s="18" t="s">
        <v>190</v>
      </c>
      <c r="D113" s="18" t="s">
        <v>190</v>
      </c>
      <c r="E113" s="18" t="s">
        <v>190</v>
      </c>
      <c r="F113" s="18" t="s">
        <v>190</v>
      </c>
      <c r="G113" s="18" t="s">
        <v>190</v>
      </c>
      <c r="H113" s="18" t="s">
        <v>190</v>
      </c>
      <c r="I113" s="21" t="s">
        <v>190</v>
      </c>
      <c r="J113" s="21" t="s">
        <v>190</v>
      </c>
      <c r="K113" s="21">
        <v>1200</v>
      </c>
      <c r="L113" s="21">
        <v>1500</v>
      </c>
      <c r="M113" s="21">
        <v>800</v>
      </c>
      <c r="N113" s="21">
        <v>1100</v>
      </c>
      <c r="O113" s="21">
        <v>1500</v>
      </c>
      <c r="P113" s="21">
        <v>1000</v>
      </c>
      <c r="Q113" s="21">
        <v>2000</v>
      </c>
      <c r="R113" s="21">
        <v>800</v>
      </c>
      <c r="S113" s="18">
        <v>900</v>
      </c>
      <c r="T113" s="123">
        <v>700</v>
      </c>
      <c r="U113" s="123">
        <v>2900</v>
      </c>
      <c r="V113" s="117" t="s">
        <v>344</v>
      </c>
      <c r="W113" s="117" t="s">
        <v>344</v>
      </c>
    </row>
    <row r="114" spans="1:23" x14ac:dyDescent="0.2">
      <c r="A114" s="16" t="s">
        <v>183</v>
      </c>
      <c r="B114" s="9" t="s">
        <v>13</v>
      </c>
      <c r="C114" s="18" t="s">
        <v>190</v>
      </c>
      <c r="D114" s="18" t="s">
        <v>190</v>
      </c>
      <c r="E114" s="18" t="s">
        <v>190</v>
      </c>
      <c r="F114" s="18" t="s">
        <v>190</v>
      </c>
      <c r="G114" s="18" t="s">
        <v>190</v>
      </c>
      <c r="H114" s="18" t="s">
        <v>190</v>
      </c>
      <c r="I114" s="21" t="s">
        <v>190</v>
      </c>
      <c r="J114" s="21" t="s">
        <v>190</v>
      </c>
      <c r="K114" s="21">
        <v>2100</v>
      </c>
      <c r="L114" s="21">
        <v>2200</v>
      </c>
      <c r="M114" s="21">
        <v>2200</v>
      </c>
      <c r="N114" s="21">
        <v>2300</v>
      </c>
      <c r="O114" s="21">
        <v>2500</v>
      </c>
      <c r="P114" s="21">
        <v>3200</v>
      </c>
      <c r="Q114" s="21">
        <v>3100</v>
      </c>
      <c r="R114" s="21">
        <v>2500</v>
      </c>
      <c r="S114" s="18">
        <v>2200</v>
      </c>
      <c r="T114" s="123">
        <v>2600</v>
      </c>
      <c r="U114" s="123">
        <v>3200</v>
      </c>
      <c r="V114" s="117" t="s">
        <v>344</v>
      </c>
      <c r="W114" s="117" t="s">
        <v>344</v>
      </c>
    </row>
    <row r="115" spans="1:23" x14ac:dyDescent="0.2">
      <c r="A115" s="16" t="s">
        <v>183</v>
      </c>
      <c r="B115" s="9" t="s">
        <v>116</v>
      </c>
      <c r="C115" s="18" t="s">
        <v>190</v>
      </c>
      <c r="D115" s="18" t="s">
        <v>190</v>
      </c>
      <c r="E115" s="18" t="s">
        <v>190</v>
      </c>
      <c r="F115" s="18" t="s">
        <v>190</v>
      </c>
      <c r="G115" s="18" t="s">
        <v>190</v>
      </c>
      <c r="H115" s="18" t="s">
        <v>190</v>
      </c>
      <c r="I115" s="21" t="s">
        <v>190</v>
      </c>
      <c r="J115" s="21" t="s">
        <v>190</v>
      </c>
      <c r="K115" s="21" t="s">
        <v>296</v>
      </c>
      <c r="L115" s="21">
        <v>800</v>
      </c>
      <c r="M115" s="21">
        <v>900</v>
      </c>
      <c r="N115" s="21" t="s">
        <v>296</v>
      </c>
      <c r="O115" s="21">
        <v>900</v>
      </c>
      <c r="P115" s="21">
        <v>900</v>
      </c>
      <c r="Q115" s="21">
        <v>700</v>
      </c>
      <c r="R115" s="21">
        <v>800</v>
      </c>
      <c r="S115" s="18">
        <v>1000</v>
      </c>
      <c r="T115" s="123">
        <v>900</v>
      </c>
      <c r="U115" s="123" t="s">
        <v>208</v>
      </c>
      <c r="V115" s="117" t="s">
        <v>344</v>
      </c>
      <c r="W115" s="117" t="s">
        <v>344</v>
      </c>
    </row>
    <row r="116" spans="1:23" x14ac:dyDescent="0.2">
      <c r="A116" s="16" t="s">
        <v>183</v>
      </c>
      <c r="B116" s="9" t="s">
        <v>117</v>
      </c>
      <c r="C116" s="18" t="s">
        <v>190</v>
      </c>
      <c r="D116" s="18" t="s">
        <v>190</v>
      </c>
      <c r="E116" s="18" t="s">
        <v>190</v>
      </c>
      <c r="F116" s="18" t="s">
        <v>190</v>
      </c>
      <c r="G116" s="18" t="s">
        <v>190</v>
      </c>
      <c r="H116" s="18" t="s">
        <v>190</v>
      </c>
      <c r="I116" s="21" t="s">
        <v>190</v>
      </c>
      <c r="J116" s="21" t="s">
        <v>190</v>
      </c>
      <c r="K116" s="21">
        <v>700</v>
      </c>
      <c r="L116" s="21" t="s">
        <v>296</v>
      </c>
      <c r="M116" s="21" t="s">
        <v>296</v>
      </c>
      <c r="N116" s="21">
        <v>800</v>
      </c>
      <c r="O116" s="18" t="s">
        <v>192</v>
      </c>
      <c r="P116" s="18" t="s">
        <v>192</v>
      </c>
      <c r="Q116" s="21" t="s">
        <v>296</v>
      </c>
      <c r="R116" s="21" t="s">
        <v>296</v>
      </c>
      <c r="S116" s="18" t="s">
        <v>296</v>
      </c>
      <c r="T116" s="123" t="s">
        <v>296</v>
      </c>
      <c r="U116" s="123">
        <v>700</v>
      </c>
      <c r="V116" s="117" t="s">
        <v>344</v>
      </c>
      <c r="W116" s="117" t="s">
        <v>344</v>
      </c>
    </row>
    <row r="117" spans="1:23" x14ac:dyDescent="0.2">
      <c r="A117" s="16" t="s">
        <v>183</v>
      </c>
      <c r="B117" s="9" t="s">
        <v>118</v>
      </c>
      <c r="C117" s="18" t="s">
        <v>190</v>
      </c>
      <c r="D117" s="18" t="s">
        <v>190</v>
      </c>
      <c r="E117" s="18" t="s">
        <v>190</v>
      </c>
      <c r="F117" s="18" t="s">
        <v>190</v>
      </c>
      <c r="G117" s="18" t="s">
        <v>190</v>
      </c>
      <c r="H117" s="18" t="s">
        <v>190</v>
      </c>
      <c r="I117" s="21" t="s">
        <v>190</v>
      </c>
      <c r="J117" s="21" t="s">
        <v>190</v>
      </c>
      <c r="K117" s="18" t="s">
        <v>192</v>
      </c>
      <c r="L117" s="21" t="s">
        <v>208</v>
      </c>
      <c r="M117" s="21" t="s">
        <v>208</v>
      </c>
      <c r="N117" s="18" t="s">
        <v>192</v>
      </c>
      <c r="O117" s="18" t="s">
        <v>192</v>
      </c>
      <c r="P117" s="18" t="s">
        <v>192</v>
      </c>
      <c r="Q117" s="21" t="s">
        <v>208</v>
      </c>
      <c r="R117" s="18" t="s">
        <v>192</v>
      </c>
      <c r="S117" s="21" t="s">
        <v>208</v>
      </c>
      <c r="T117" s="123" t="s">
        <v>208</v>
      </c>
      <c r="U117" s="123" t="s">
        <v>208</v>
      </c>
      <c r="V117" s="117" t="s">
        <v>344</v>
      </c>
      <c r="W117" s="117" t="s">
        <v>344</v>
      </c>
    </row>
    <row r="118" spans="1:23" x14ac:dyDescent="0.2">
      <c r="A118" s="16" t="s">
        <v>183</v>
      </c>
      <c r="B118" s="9" t="s">
        <v>184</v>
      </c>
      <c r="C118" s="18" t="s">
        <v>190</v>
      </c>
      <c r="D118" s="18" t="s">
        <v>190</v>
      </c>
      <c r="E118" s="18" t="s">
        <v>190</v>
      </c>
      <c r="F118" s="18" t="s">
        <v>190</v>
      </c>
      <c r="G118" s="18" t="s">
        <v>190</v>
      </c>
      <c r="H118" s="18" t="s">
        <v>190</v>
      </c>
      <c r="I118" s="21" t="s">
        <v>190</v>
      </c>
      <c r="J118" s="21" t="s">
        <v>190</v>
      </c>
      <c r="K118" s="21">
        <v>11900</v>
      </c>
      <c r="L118" s="21">
        <v>12800</v>
      </c>
      <c r="M118" s="21">
        <v>12100</v>
      </c>
      <c r="N118" s="21">
        <v>11400</v>
      </c>
      <c r="O118" s="21">
        <v>12300</v>
      </c>
      <c r="P118" s="21">
        <v>12500</v>
      </c>
      <c r="Q118" s="21">
        <v>12600</v>
      </c>
      <c r="R118" s="21">
        <v>10900</v>
      </c>
      <c r="S118" s="21">
        <v>11100</v>
      </c>
      <c r="T118" s="123">
        <v>12100</v>
      </c>
      <c r="U118" s="123">
        <v>14700</v>
      </c>
      <c r="V118" s="117" t="s">
        <v>344</v>
      </c>
      <c r="W118" s="117" t="s">
        <v>344</v>
      </c>
    </row>
    <row r="119" spans="1:23" ht="30" customHeight="1" x14ac:dyDescent="0.2">
      <c r="A119" s="17" t="s">
        <v>185</v>
      </c>
      <c r="B119" s="17" t="s">
        <v>111</v>
      </c>
      <c r="C119" s="18" t="s">
        <v>190</v>
      </c>
      <c r="D119" s="18" t="s">
        <v>190</v>
      </c>
      <c r="E119" s="18" t="s">
        <v>190</v>
      </c>
      <c r="F119" s="18" t="s">
        <v>190</v>
      </c>
      <c r="G119" s="18" t="s">
        <v>190</v>
      </c>
      <c r="H119" s="18" t="s">
        <v>190</v>
      </c>
      <c r="I119" s="18" t="s">
        <v>190</v>
      </c>
      <c r="J119" s="18" t="s">
        <v>190</v>
      </c>
      <c r="K119" s="21" t="s">
        <v>208</v>
      </c>
      <c r="L119" s="21" t="s">
        <v>208</v>
      </c>
      <c r="M119" s="21" t="s">
        <v>208</v>
      </c>
      <c r="N119" s="21" t="s">
        <v>208</v>
      </c>
      <c r="O119" s="21" t="s">
        <v>208</v>
      </c>
      <c r="P119" s="21" t="s">
        <v>208</v>
      </c>
      <c r="Q119" s="21" t="s">
        <v>208</v>
      </c>
      <c r="R119" s="21" t="s">
        <v>208</v>
      </c>
      <c r="S119" s="21" t="s">
        <v>208</v>
      </c>
      <c r="T119" s="21" t="s">
        <v>208</v>
      </c>
      <c r="U119" s="21" t="s">
        <v>208</v>
      </c>
      <c r="V119" s="117" t="s">
        <v>344</v>
      </c>
      <c r="W119" s="117" t="s">
        <v>344</v>
      </c>
    </row>
    <row r="120" spans="1:23" x14ac:dyDescent="0.2">
      <c r="A120" s="17" t="s">
        <v>185</v>
      </c>
      <c r="B120" s="9" t="s">
        <v>186</v>
      </c>
      <c r="C120" s="18" t="s">
        <v>190</v>
      </c>
      <c r="D120" s="18" t="s">
        <v>190</v>
      </c>
      <c r="E120" s="18" t="s">
        <v>190</v>
      </c>
      <c r="F120" s="18" t="s">
        <v>190</v>
      </c>
      <c r="G120" s="18" t="s">
        <v>190</v>
      </c>
      <c r="H120" s="18" t="s">
        <v>190</v>
      </c>
      <c r="I120" s="21" t="s">
        <v>190</v>
      </c>
      <c r="J120" s="21" t="s">
        <v>190</v>
      </c>
      <c r="K120" s="21">
        <v>5700</v>
      </c>
      <c r="L120" s="21">
        <v>2400</v>
      </c>
      <c r="M120" s="21">
        <v>4200</v>
      </c>
      <c r="N120" s="21">
        <v>4800</v>
      </c>
      <c r="O120" s="21">
        <v>4000</v>
      </c>
      <c r="P120" s="21">
        <v>5100</v>
      </c>
      <c r="Q120" s="21">
        <v>5100</v>
      </c>
      <c r="R120" s="21">
        <v>5100</v>
      </c>
      <c r="S120" s="18">
        <v>6500</v>
      </c>
      <c r="T120" s="123">
        <v>5300</v>
      </c>
      <c r="U120" s="123">
        <v>3700</v>
      </c>
      <c r="V120" s="117" t="s">
        <v>344</v>
      </c>
      <c r="W120" s="117" t="s">
        <v>344</v>
      </c>
    </row>
    <row r="121" spans="1:23" x14ac:dyDescent="0.2">
      <c r="A121" s="17" t="s">
        <v>185</v>
      </c>
      <c r="B121" s="9" t="s">
        <v>151</v>
      </c>
      <c r="C121" s="18" t="s">
        <v>190</v>
      </c>
      <c r="D121" s="18" t="s">
        <v>190</v>
      </c>
      <c r="E121" s="18" t="s">
        <v>190</v>
      </c>
      <c r="F121" s="18" t="s">
        <v>190</v>
      </c>
      <c r="G121" s="18" t="s">
        <v>190</v>
      </c>
      <c r="H121" s="18" t="s">
        <v>190</v>
      </c>
      <c r="I121" s="21" t="s">
        <v>190</v>
      </c>
      <c r="J121" s="21" t="s">
        <v>190</v>
      </c>
      <c r="K121" s="21">
        <v>10800</v>
      </c>
      <c r="L121" s="21">
        <v>6500</v>
      </c>
      <c r="M121" s="21">
        <v>9700</v>
      </c>
      <c r="N121" s="21">
        <v>11200</v>
      </c>
      <c r="O121" s="21">
        <v>9500</v>
      </c>
      <c r="P121" s="21">
        <v>12300</v>
      </c>
      <c r="Q121" s="21">
        <v>8300</v>
      </c>
      <c r="R121" s="21">
        <v>8200</v>
      </c>
      <c r="S121" s="21">
        <v>9900</v>
      </c>
      <c r="T121" s="123">
        <v>7300</v>
      </c>
      <c r="U121" s="123">
        <v>9000</v>
      </c>
      <c r="V121" s="117" t="s">
        <v>344</v>
      </c>
      <c r="W121" s="117" t="s">
        <v>344</v>
      </c>
    </row>
    <row r="122" spans="1:23" ht="36" customHeight="1" x14ac:dyDescent="0.2">
      <c r="A122" s="91" t="s">
        <v>270</v>
      </c>
      <c r="B122" s="92" t="s">
        <v>271</v>
      </c>
      <c r="C122" s="18" t="s">
        <v>190</v>
      </c>
      <c r="D122" s="18" t="s">
        <v>190</v>
      </c>
      <c r="E122" s="18" t="s">
        <v>190</v>
      </c>
      <c r="F122" s="18" t="s">
        <v>190</v>
      </c>
      <c r="G122" s="18" t="s">
        <v>190</v>
      </c>
      <c r="H122" s="18" t="s">
        <v>190</v>
      </c>
      <c r="I122" s="21" t="s">
        <v>190</v>
      </c>
      <c r="J122" s="21" t="s">
        <v>190</v>
      </c>
      <c r="K122" s="21" t="s">
        <v>192</v>
      </c>
      <c r="L122" s="21" t="s">
        <v>192</v>
      </c>
      <c r="M122" s="21" t="s">
        <v>192</v>
      </c>
      <c r="N122" s="21" t="s">
        <v>192</v>
      </c>
      <c r="O122" s="21" t="s">
        <v>192</v>
      </c>
      <c r="P122" s="21" t="s">
        <v>192</v>
      </c>
      <c r="Q122" s="21" t="s">
        <v>192</v>
      </c>
      <c r="R122" s="21" t="s">
        <v>192</v>
      </c>
      <c r="S122" s="21" t="s">
        <v>192</v>
      </c>
      <c r="T122" s="21">
        <v>600</v>
      </c>
      <c r="U122" s="21" t="s">
        <v>192</v>
      </c>
      <c r="V122" s="117" t="s">
        <v>344</v>
      </c>
      <c r="W122" s="117" t="s">
        <v>344</v>
      </c>
    </row>
    <row r="123" spans="1:23" x14ac:dyDescent="0.2">
      <c r="A123" s="91" t="s">
        <v>270</v>
      </c>
      <c r="B123" s="92" t="s">
        <v>272</v>
      </c>
      <c r="C123" s="18" t="s">
        <v>190</v>
      </c>
      <c r="D123" s="18" t="s">
        <v>190</v>
      </c>
      <c r="E123" s="18" t="s">
        <v>190</v>
      </c>
      <c r="F123" s="18" t="s">
        <v>190</v>
      </c>
      <c r="G123" s="18" t="s">
        <v>190</v>
      </c>
      <c r="H123" s="18" t="s">
        <v>190</v>
      </c>
      <c r="I123" s="21" t="s">
        <v>190</v>
      </c>
      <c r="J123" s="21" t="s">
        <v>190</v>
      </c>
      <c r="K123" s="21" t="s">
        <v>208</v>
      </c>
      <c r="L123" s="21" t="s">
        <v>208</v>
      </c>
      <c r="M123" s="21" t="s">
        <v>208</v>
      </c>
      <c r="N123" s="21" t="s">
        <v>208</v>
      </c>
      <c r="O123" s="21" t="s">
        <v>192</v>
      </c>
      <c r="P123" s="21" t="s">
        <v>192</v>
      </c>
      <c r="Q123" s="21" t="s">
        <v>192</v>
      </c>
      <c r="R123" s="21" t="s">
        <v>192</v>
      </c>
      <c r="S123" s="21" t="s">
        <v>192</v>
      </c>
      <c r="T123" s="21" t="s">
        <v>208</v>
      </c>
      <c r="U123" s="21" t="s">
        <v>192</v>
      </c>
      <c r="V123" s="117" t="s">
        <v>344</v>
      </c>
      <c r="W123" s="117" t="s">
        <v>344</v>
      </c>
    </row>
    <row r="124" spans="1:23" x14ac:dyDescent="0.2">
      <c r="A124" s="91" t="s">
        <v>270</v>
      </c>
      <c r="B124" s="92" t="s">
        <v>273</v>
      </c>
      <c r="C124" s="18" t="s">
        <v>190</v>
      </c>
      <c r="D124" s="18" t="s">
        <v>190</v>
      </c>
      <c r="E124" s="18" t="s">
        <v>190</v>
      </c>
      <c r="F124" s="18" t="s">
        <v>190</v>
      </c>
      <c r="G124" s="18" t="s">
        <v>190</v>
      </c>
      <c r="H124" s="18" t="s">
        <v>190</v>
      </c>
      <c r="I124" s="21" t="s">
        <v>190</v>
      </c>
      <c r="J124" s="21" t="s">
        <v>190</v>
      </c>
      <c r="K124" s="21">
        <v>600</v>
      </c>
      <c r="L124" s="21">
        <v>700</v>
      </c>
      <c r="M124" s="21" t="s">
        <v>208</v>
      </c>
      <c r="N124" s="21" t="s">
        <v>208</v>
      </c>
      <c r="O124" s="21">
        <v>700</v>
      </c>
      <c r="P124" s="21" t="s">
        <v>208</v>
      </c>
      <c r="Q124" s="21">
        <v>1400</v>
      </c>
      <c r="R124" s="21" t="s">
        <v>208</v>
      </c>
      <c r="S124" s="21" t="s">
        <v>208</v>
      </c>
      <c r="T124" s="21" t="s">
        <v>208</v>
      </c>
      <c r="U124" s="21" t="s">
        <v>208</v>
      </c>
      <c r="V124" s="117" t="s">
        <v>344</v>
      </c>
      <c r="W124" s="117" t="s">
        <v>344</v>
      </c>
    </row>
    <row r="125" spans="1:23" x14ac:dyDescent="0.2">
      <c r="A125" s="91" t="s">
        <v>270</v>
      </c>
      <c r="B125" s="92" t="s">
        <v>274</v>
      </c>
      <c r="C125" s="18" t="s">
        <v>190</v>
      </c>
      <c r="D125" s="18" t="s">
        <v>190</v>
      </c>
      <c r="E125" s="18" t="s">
        <v>190</v>
      </c>
      <c r="F125" s="18" t="s">
        <v>190</v>
      </c>
      <c r="G125" s="18" t="s">
        <v>190</v>
      </c>
      <c r="H125" s="18" t="s">
        <v>190</v>
      </c>
      <c r="I125" s="21" t="s">
        <v>190</v>
      </c>
      <c r="J125" s="21" t="s">
        <v>190</v>
      </c>
      <c r="K125" s="110" t="s">
        <v>296</v>
      </c>
      <c r="L125" s="110" t="s">
        <v>296</v>
      </c>
      <c r="M125" s="21" t="s">
        <v>192</v>
      </c>
      <c r="N125" s="110" t="s">
        <v>296</v>
      </c>
      <c r="O125" s="21" t="s">
        <v>192</v>
      </c>
      <c r="P125" s="21" t="s">
        <v>192</v>
      </c>
      <c r="Q125" s="21" t="s">
        <v>192</v>
      </c>
      <c r="R125" s="110" t="s">
        <v>296</v>
      </c>
      <c r="S125" s="110" t="s">
        <v>296</v>
      </c>
      <c r="T125" s="21" t="s">
        <v>192</v>
      </c>
      <c r="U125" s="21" t="s">
        <v>192</v>
      </c>
      <c r="V125" s="117" t="s">
        <v>344</v>
      </c>
      <c r="W125" s="117" t="s">
        <v>344</v>
      </c>
    </row>
    <row r="126" spans="1:23" x14ac:dyDescent="0.2">
      <c r="A126" s="91" t="s">
        <v>270</v>
      </c>
      <c r="B126" s="92" t="s">
        <v>275</v>
      </c>
      <c r="C126" s="18" t="s">
        <v>190</v>
      </c>
      <c r="D126" s="18" t="s">
        <v>190</v>
      </c>
      <c r="E126" s="18" t="s">
        <v>190</v>
      </c>
      <c r="F126" s="18" t="s">
        <v>190</v>
      </c>
      <c r="G126" s="18" t="s">
        <v>190</v>
      </c>
      <c r="H126" s="18" t="s">
        <v>190</v>
      </c>
      <c r="I126" s="21" t="s">
        <v>190</v>
      </c>
      <c r="J126" s="21" t="s">
        <v>190</v>
      </c>
      <c r="K126" s="21" t="s">
        <v>192</v>
      </c>
      <c r="L126" s="110" t="s">
        <v>296</v>
      </c>
      <c r="M126" s="110" t="s">
        <v>296</v>
      </c>
      <c r="N126" s="21" t="s">
        <v>192</v>
      </c>
      <c r="O126" s="110" t="s">
        <v>296</v>
      </c>
      <c r="P126" s="110" t="s">
        <v>296</v>
      </c>
      <c r="Q126" s="110" t="s">
        <v>296</v>
      </c>
      <c r="R126" s="110" t="s">
        <v>296</v>
      </c>
      <c r="S126" s="110" t="s">
        <v>296</v>
      </c>
      <c r="T126" s="110" t="s">
        <v>296</v>
      </c>
      <c r="U126" s="21" t="s">
        <v>208</v>
      </c>
      <c r="V126" s="117" t="s">
        <v>344</v>
      </c>
      <c r="W126" s="117" t="s">
        <v>344</v>
      </c>
    </row>
    <row r="127" spans="1:23" x14ac:dyDescent="0.2">
      <c r="A127" s="91" t="s">
        <v>270</v>
      </c>
      <c r="B127" s="92" t="s">
        <v>276</v>
      </c>
      <c r="C127" s="18" t="s">
        <v>190</v>
      </c>
      <c r="D127" s="18" t="s">
        <v>190</v>
      </c>
      <c r="E127" s="18" t="s">
        <v>190</v>
      </c>
      <c r="F127" s="18" t="s">
        <v>190</v>
      </c>
      <c r="G127" s="18" t="s">
        <v>190</v>
      </c>
      <c r="H127" s="18" t="s">
        <v>190</v>
      </c>
      <c r="I127" s="21" t="s">
        <v>190</v>
      </c>
      <c r="J127" s="21" t="s">
        <v>190</v>
      </c>
      <c r="K127" s="21" t="s">
        <v>192</v>
      </c>
      <c r="L127" s="21" t="s">
        <v>192</v>
      </c>
      <c r="M127" s="21" t="s">
        <v>192</v>
      </c>
      <c r="N127" s="21" t="s">
        <v>208</v>
      </c>
      <c r="O127" s="21" t="s">
        <v>208</v>
      </c>
      <c r="P127" s="21" t="s">
        <v>208</v>
      </c>
      <c r="Q127" s="21" t="s">
        <v>208</v>
      </c>
      <c r="R127" s="21" t="s">
        <v>208</v>
      </c>
      <c r="S127" s="21" t="s">
        <v>208</v>
      </c>
      <c r="T127" s="21" t="s">
        <v>208</v>
      </c>
      <c r="U127" s="21" t="s">
        <v>208</v>
      </c>
      <c r="V127" s="117" t="s">
        <v>344</v>
      </c>
      <c r="W127" s="117" t="s">
        <v>344</v>
      </c>
    </row>
    <row r="128" spans="1:23" x14ac:dyDescent="0.2">
      <c r="A128" s="91" t="s">
        <v>270</v>
      </c>
      <c r="B128" s="92" t="s">
        <v>277</v>
      </c>
      <c r="C128" s="18" t="s">
        <v>190</v>
      </c>
      <c r="D128" s="18" t="s">
        <v>190</v>
      </c>
      <c r="E128" s="18" t="s">
        <v>190</v>
      </c>
      <c r="F128" s="18" t="s">
        <v>190</v>
      </c>
      <c r="G128" s="18" t="s">
        <v>190</v>
      </c>
      <c r="H128" s="18" t="s">
        <v>190</v>
      </c>
      <c r="I128" s="21" t="s">
        <v>190</v>
      </c>
      <c r="J128" s="21" t="s">
        <v>190</v>
      </c>
      <c r="K128" s="21" t="s">
        <v>192</v>
      </c>
      <c r="L128" s="21" t="s">
        <v>208</v>
      </c>
      <c r="M128" s="21" t="s">
        <v>208</v>
      </c>
      <c r="N128" s="21" t="s">
        <v>192</v>
      </c>
      <c r="O128" s="21" t="s">
        <v>192</v>
      </c>
      <c r="P128" s="21" t="s">
        <v>192</v>
      </c>
      <c r="Q128" s="21" t="s">
        <v>208</v>
      </c>
      <c r="R128" s="21" t="s">
        <v>192</v>
      </c>
      <c r="S128" s="21" t="s">
        <v>208</v>
      </c>
      <c r="T128" s="21" t="s">
        <v>208</v>
      </c>
      <c r="U128" s="21" t="s">
        <v>208</v>
      </c>
      <c r="V128" s="117" t="s">
        <v>344</v>
      </c>
      <c r="W128" s="117" t="s">
        <v>344</v>
      </c>
    </row>
    <row r="129" spans="1:23" x14ac:dyDescent="0.2">
      <c r="A129" s="91" t="s">
        <v>270</v>
      </c>
      <c r="B129" s="92" t="s">
        <v>278</v>
      </c>
      <c r="C129" s="18" t="s">
        <v>190</v>
      </c>
      <c r="D129" s="18" t="s">
        <v>190</v>
      </c>
      <c r="E129" s="18" t="s">
        <v>190</v>
      </c>
      <c r="F129" s="18" t="s">
        <v>190</v>
      </c>
      <c r="G129" s="18" t="s">
        <v>190</v>
      </c>
      <c r="H129" s="18" t="s">
        <v>190</v>
      </c>
      <c r="I129" s="21" t="s">
        <v>190</v>
      </c>
      <c r="J129" s="21" t="s">
        <v>190</v>
      </c>
      <c r="K129" s="21" t="s">
        <v>208</v>
      </c>
      <c r="L129" s="21" t="s">
        <v>208</v>
      </c>
      <c r="M129" s="21" t="s">
        <v>208</v>
      </c>
      <c r="N129" s="21" t="s">
        <v>208</v>
      </c>
      <c r="O129" s="21" t="s">
        <v>208</v>
      </c>
      <c r="P129" s="21" t="s">
        <v>208</v>
      </c>
      <c r="Q129" s="21" t="s">
        <v>208</v>
      </c>
      <c r="R129" s="21" t="s">
        <v>208</v>
      </c>
      <c r="S129" s="21" t="s">
        <v>208</v>
      </c>
      <c r="T129" s="21" t="s">
        <v>208</v>
      </c>
      <c r="U129" s="21" t="s">
        <v>208</v>
      </c>
      <c r="V129" s="117" t="s">
        <v>344</v>
      </c>
      <c r="W129" s="117" t="s">
        <v>344</v>
      </c>
    </row>
    <row r="130" spans="1:23" x14ac:dyDescent="0.2">
      <c r="A130" s="91" t="s">
        <v>270</v>
      </c>
      <c r="B130" s="92" t="s">
        <v>279</v>
      </c>
      <c r="C130" s="18" t="s">
        <v>190</v>
      </c>
      <c r="D130" s="18" t="s">
        <v>190</v>
      </c>
      <c r="E130" s="18" t="s">
        <v>190</v>
      </c>
      <c r="F130" s="18" t="s">
        <v>190</v>
      </c>
      <c r="G130" s="18" t="s">
        <v>190</v>
      </c>
      <c r="H130" s="18" t="s">
        <v>190</v>
      </c>
      <c r="I130" s="21" t="s">
        <v>190</v>
      </c>
      <c r="J130" s="21" t="s">
        <v>190</v>
      </c>
      <c r="K130" s="21" t="s">
        <v>208</v>
      </c>
      <c r="L130" s="21" t="s">
        <v>192</v>
      </c>
      <c r="M130" s="21" t="s">
        <v>192</v>
      </c>
      <c r="N130" s="21" t="s">
        <v>208</v>
      </c>
      <c r="O130" s="21" t="s">
        <v>208</v>
      </c>
      <c r="P130" s="21" t="s">
        <v>208</v>
      </c>
      <c r="Q130" s="21" t="s">
        <v>192</v>
      </c>
      <c r="R130" s="21" t="s">
        <v>192</v>
      </c>
      <c r="S130" s="21" t="s">
        <v>192</v>
      </c>
      <c r="T130" s="21" t="s">
        <v>192</v>
      </c>
      <c r="U130" s="21" t="s">
        <v>192</v>
      </c>
      <c r="V130" s="117" t="s">
        <v>344</v>
      </c>
      <c r="W130" s="117" t="s">
        <v>344</v>
      </c>
    </row>
    <row r="131" spans="1:23" ht="33" customHeight="1" x14ac:dyDescent="0.2">
      <c r="A131" s="17" t="s">
        <v>263</v>
      </c>
      <c r="B131" s="9" t="s">
        <v>280</v>
      </c>
      <c r="C131" s="87" t="s">
        <v>190</v>
      </c>
      <c r="D131" s="87" t="s">
        <v>190</v>
      </c>
      <c r="E131" s="87" t="s">
        <v>190</v>
      </c>
      <c r="F131" s="87" t="s">
        <v>190</v>
      </c>
      <c r="G131" s="87" t="s">
        <v>190</v>
      </c>
      <c r="H131" s="87" t="s">
        <v>190</v>
      </c>
      <c r="I131" s="124" t="s">
        <v>190</v>
      </c>
      <c r="J131" s="124" t="s">
        <v>190</v>
      </c>
      <c r="K131" s="21">
        <v>6300</v>
      </c>
      <c r="L131" s="21">
        <v>6800</v>
      </c>
      <c r="M131" s="21">
        <v>8700</v>
      </c>
      <c r="N131" s="21">
        <v>8000</v>
      </c>
      <c r="O131" s="21">
        <v>10900</v>
      </c>
      <c r="P131" s="21">
        <v>10900</v>
      </c>
      <c r="Q131" s="21">
        <v>8300</v>
      </c>
      <c r="R131" s="21">
        <v>10000</v>
      </c>
      <c r="S131" s="21">
        <v>10500</v>
      </c>
      <c r="T131" s="21">
        <v>14700</v>
      </c>
      <c r="U131" s="123">
        <v>12600</v>
      </c>
      <c r="V131" s="117" t="s">
        <v>344</v>
      </c>
      <c r="W131" s="117" t="s">
        <v>344</v>
      </c>
    </row>
    <row r="132" spans="1:23" x14ac:dyDescent="0.2">
      <c r="A132" s="17" t="s">
        <v>263</v>
      </c>
      <c r="B132" s="92" t="s">
        <v>264</v>
      </c>
      <c r="C132" s="86" t="s">
        <v>190</v>
      </c>
      <c r="D132" s="86" t="s">
        <v>190</v>
      </c>
      <c r="E132" s="86" t="s">
        <v>190</v>
      </c>
      <c r="F132" s="86" t="s">
        <v>190</v>
      </c>
      <c r="G132" s="86" t="s">
        <v>190</v>
      </c>
      <c r="H132" s="86" t="s">
        <v>190</v>
      </c>
      <c r="I132" s="124" t="s">
        <v>190</v>
      </c>
      <c r="J132" s="124" t="s">
        <v>190</v>
      </c>
      <c r="K132" s="21">
        <v>11800</v>
      </c>
      <c r="L132" s="21">
        <v>12900</v>
      </c>
      <c r="M132" s="21">
        <v>12200</v>
      </c>
      <c r="N132" s="21">
        <v>17100</v>
      </c>
      <c r="O132" s="21">
        <v>15200</v>
      </c>
      <c r="P132" s="21">
        <v>14900</v>
      </c>
      <c r="Q132" s="21">
        <v>17300</v>
      </c>
      <c r="R132" s="21">
        <v>16500</v>
      </c>
      <c r="S132" s="21">
        <v>12700</v>
      </c>
      <c r="T132" s="21">
        <v>14200</v>
      </c>
      <c r="U132" s="123">
        <v>15400</v>
      </c>
      <c r="V132" s="117" t="s">
        <v>344</v>
      </c>
      <c r="W132" s="117" t="s">
        <v>344</v>
      </c>
    </row>
    <row r="133" spans="1:23" x14ac:dyDescent="0.2">
      <c r="A133" s="17" t="s">
        <v>263</v>
      </c>
      <c r="B133" s="92" t="s">
        <v>265</v>
      </c>
      <c r="C133" s="86" t="s">
        <v>190</v>
      </c>
      <c r="D133" s="86" t="s">
        <v>190</v>
      </c>
      <c r="E133" s="86" t="s">
        <v>190</v>
      </c>
      <c r="F133" s="86" t="s">
        <v>190</v>
      </c>
      <c r="G133" s="86" t="s">
        <v>190</v>
      </c>
      <c r="H133" s="86" t="s">
        <v>190</v>
      </c>
      <c r="I133" s="124" t="s">
        <v>190</v>
      </c>
      <c r="J133" s="124" t="s">
        <v>190</v>
      </c>
      <c r="K133" s="21">
        <v>23000</v>
      </c>
      <c r="L133" s="21">
        <v>22600</v>
      </c>
      <c r="M133" s="21">
        <v>27500</v>
      </c>
      <c r="N133" s="21">
        <v>25600</v>
      </c>
      <c r="O133" s="21">
        <v>27700</v>
      </c>
      <c r="P133" s="21">
        <v>25600</v>
      </c>
      <c r="Q133" s="21">
        <v>21900</v>
      </c>
      <c r="R133" s="21">
        <v>27800</v>
      </c>
      <c r="S133" s="21">
        <v>29800</v>
      </c>
      <c r="T133" s="21">
        <v>24600</v>
      </c>
      <c r="U133" s="123">
        <v>19900</v>
      </c>
      <c r="V133" s="117" t="s">
        <v>344</v>
      </c>
      <c r="W133" s="117" t="s">
        <v>344</v>
      </c>
    </row>
    <row r="134" spans="1:23" x14ac:dyDescent="0.2">
      <c r="A134" s="17" t="s">
        <v>263</v>
      </c>
      <c r="B134" s="92" t="s">
        <v>266</v>
      </c>
      <c r="C134" s="86" t="s">
        <v>190</v>
      </c>
      <c r="D134" s="86" t="s">
        <v>190</v>
      </c>
      <c r="E134" s="86" t="s">
        <v>190</v>
      </c>
      <c r="F134" s="86" t="s">
        <v>190</v>
      </c>
      <c r="G134" s="86" t="s">
        <v>190</v>
      </c>
      <c r="H134" s="86" t="s">
        <v>190</v>
      </c>
      <c r="I134" s="124" t="s">
        <v>190</v>
      </c>
      <c r="J134" s="124" t="s">
        <v>190</v>
      </c>
      <c r="K134" s="21">
        <v>27800</v>
      </c>
      <c r="L134" s="21">
        <v>25400</v>
      </c>
      <c r="M134" s="21">
        <v>25700</v>
      </c>
      <c r="N134" s="21">
        <v>29100</v>
      </c>
      <c r="O134" s="21">
        <v>27900</v>
      </c>
      <c r="P134" s="21">
        <v>30600</v>
      </c>
      <c r="Q134" s="21">
        <v>29000</v>
      </c>
      <c r="R134" s="21">
        <v>30700</v>
      </c>
      <c r="S134" s="21">
        <v>30200</v>
      </c>
      <c r="T134" s="21">
        <v>28200</v>
      </c>
      <c r="U134" s="123">
        <v>36400</v>
      </c>
      <c r="V134" s="117" t="s">
        <v>344</v>
      </c>
      <c r="W134" s="117" t="s">
        <v>344</v>
      </c>
    </row>
    <row r="135" spans="1:23" x14ac:dyDescent="0.2">
      <c r="A135" s="17" t="s">
        <v>263</v>
      </c>
      <c r="B135" s="92" t="s">
        <v>281</v>
      </c>
      <c r="C135" s="125" t="s">
        <v>190</v>
      </c>
      <c r="D135" s="125" t="s">
        <v>190</v>
      </c>
      <c r="E135" s="125" t="s">
        <v>190</v>
      </c>
      <c r="F135" s="125" t="s">
        <v>190</v>
      </c>
      <c r="G135" s="125" t="s">
        <v>190</v>
      </c>
      <c r="H135" s="125" t="s">
        <v>190</v>
      </c>
      <c r="I135" s="126" t="s">
        <v>190</v>
      </c>
      <c r="J135" s="126" t="s">
        <v>190</v>
      </c>
      <c r="K135" s="127">
        <v>25200</v>
      </c>
      <c r="L135" s="127">
        <v>26500</v>
      </c>
      <c r="M135" s="127">
        <v>27800</v>
      </c>
      <c r="N135" s="127">
        <v>22900</v>
      </c>
      <c r="O135" s="127">
        <v>32000</v>
      </c>
      <c r="P135" s="127">
        <v>28500</v>
      </c>
      <c r="Q135" s="127">
        <v>26400</v>
      </c>
      <c r="R135" s="127">
        <v>32000</v>
      </c>
      <c r="S135" s="127">
        <v>29900</v>
      </c>
      <c r="T135" s="127">
        <v>23600</v>
      </c>
      <c r="U135" s="126">
        <v>24700</v>
      </c>
      <c r="V135" s="117" t="s">
        <v>344</v>
      </c>
      <c r="W135" s="117" t="s">
        <v>344</v>
      </c>
    </row>
  </sheetData>
  <phoneticPr fontId="44" type="noConversion"/>
  <hyperlinks>
    <hyperlink ref="A12" location="Contents!A1" display="This cell contains a hyperlink to the Table of Contents" xr:uid="{00000000-0004-0000-1000-000000000000}"/>
    <hyperlink ref="A9" r:id="rId1" xr:uid="{3589DFE2-F513-4F5E-A53C-E54CA8BB5BB8}"/>
    <hyperlink ref="A10" r:id="rId2" display="Further data available by gender, age, work pattern, employment type, broad industrial group and qualification from Nomis. This link opens in a new window." xr:uid="{117D3B0C-251E-4A6A-A460-3FE1092BADD6}"/>
  </hyperlinks>
  <pageMargins left="0.7" right="0.7" top="0.75" bottom="0.75" header="0.3" footer="0.3"/>
  <pageSetup paperSize="9" scale="23" orientation="portrait" r:id="rId3"/>
  <tableParts count="1">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X256"/>
  <sheetViews>
    <sheetView showGridLines="0" zoomScaleNormal="100" workbookViewId="0"/>
  </sheetViews>
  <sheetFormatPr defaultColWidth="9.140625" defaultRowHeight="15" x14ac:dyDescent="0.2"/>
  <cols>
    <col min="1" max="1" width="39.28515625" style="40" customWidth="1"/>
    <col min="2" max="2" width="56" style="42" bestFit="1" customWidth="1"/>
    <col min="3" max="3" width="49.85546875" style="41" bestFit="1" customWidth="1"/>
    <col min="4" max="18" width="11.42578125" style="41" customWidth="1"/>
    <col min="19" max="20" width="11.42578125" style="40" customWidth="1"/>
    <col min="21" max="21" width="11.42578125" style="48" customWidth="1"/>
    <col min="22" max="22" width="11.42578125" style="41" customWidth="1"/>
    <col min="23" max="23" width="17.42578125" style="40" bestFit="1" customWidth="1"/>
    <col min="24" max="24" width="17.42578125" style="40" customWidth="1"/>
    <col min="25" max="16384" width="9.140625" style="40"/>
  </cols>
  <sheetData>
    <row r="1" spans="1:24" ht="20.25" x14ac:dyDescent="0.3">
      <c r="A1" s="104" t="s">
        <v>327</v>
      </c>
      <c r="B1" s="40"/>
    </row>
    <row r="2" spans="1:24" x14ac:dyDescent="0.2">
      <c r="A2" s="42" t="s">
        <v>152</v>
      </c>
      <c r="B2" s="40"/>
    </row>
    <row r="3" spans="1:24" s="70" customFormat="1" x14ac:dyDescent="0.2">
      <c r="A3" s="42" t="s">
        <v>261</v>
      </c>
      <c r="C3" s="71"/>
      <c r="D3" s="71"/>
      <c r="E3" s="71"/>
      <c r="F3" s="71"/>
      <c r="G3" s="71"/>
      <c r="H3" s="71"/>
      <c r="I3" s="71"/>
      <c r="J3" s="71"/>
      <c r="K3" s="71"/>
      <c r="L3" s="71"/>
      <c r="M3" s="71"/>
      <c r="N3" s="71"/>
      <c r="O3" s="71"/>
      <c r="P3" s="71"/>
      <c r="Q3" s="71"/>
      <c r="R3" s="71"/>
      <c r="U3" s="77"/>
      <c r="V3" s="71"/>
    </row>
    <row r="4" spans="1:24" x14ac:dyDescent="0.2">
      <c r="A4" s="9" t="s">
        <v>297</v>
      </c>
      <c r="B4" s="40"/>
    </row>
    <row r="5" spans="1:24" s="13" customFormat="1" x14ac:dyDescent="0.2">
      <c r="A5" s="9" t="s">
        <v>302</v>
      </c>
      <c r="C5" s="14"/>
      <c r="D5" s="14"/>
      <c r="E5" s="14"/>
      <c r="F5" s="14"/>
      <c r="G5" s="14"/>
      <c r="H5" s="14"/>
      <c r="I5" s="14"/>
      <c r="J5" s="14"/>
      <c r="K5" s="14"/>
      <c r="L5" s="14"/>
      <c r="M5" s="14"/>
      <c r="N5" s="14"/>
      <c r="O5" s="14"/>
      <c r="P5" s="14"/>
      <c r="Q5" s="14"/>
      <c r="R5" s="14"/>
      <c r="S5" s="14"/>
      <c r="T5" s="63"/>
    </row>
    <row r="6" spans="1:24" s="13" customFormat="1" x14ac:dyDescent="0.2">
      <c r="A6" s="9" t="s">
        <v>323</v>
      </c>
      <c r="C6" s="14"/>
      <c r="D6" s="133"/>
      <c r="E6" s="133"/>
      <c r="F6" s="133"/>
      <c r="G6" s="133"/>
      <c r="H6" s="133"/>
      <c r="I6" s="133"/>
      <c r="J6" s="133"/>
      <c r="K6" s="133"/>
      <c r="L6" s="133"/>
      <c r="M6" s="133"/>
      <c r="N6" s="133"/>
      <c r="O6" s="133"/>
      <c r="P6" s="133"/>
      <c r="Q6" s="133"/>
      <c r="R6" s="133"/>
      <c r="S6" s="133"/>
      <c r="T6" s="133"/>
      <c r="U6" s="133"/>
      <c r="V6" s="133"/>
      <c r="W6" s="133"/>
    </row>
    <row r="7" spans="1:24" s="70" customFormat="1" ht="15" customHeight="1" x14ac:dyDescent="0.2">
      <c r="A7" s="42" t="s">
        <v>260</v>
      </c>
      <c r="C7" s="71"/>
      <c r="D7" s="133"/>
      <c r="E7" s="133"/>
      <c r="F7" s="133"/>
      <c r="G7" s="133"/>
      <c r="H7" s="133"/>
      <c r="I7" s="133"/>
      <c r="J7" s="133"/>
      <c r="K7" s="133"/>
      <c r="L7" s="133"/>
      <c r="M7" s="133"/>
      <c r="N7" s="133"/>
      <c r="O7" s="133"/>
      <c r="P7" s="133"/>
      <c r="Q7" s="133"/>
      <c r="R7" s="133"/>
      <c r="S7" s="133"/>
      <c r="T7" s="133"/>
      <c r="U7" s="133"/>
      <c r="V7" s="133"/>
      <c r="W7" s="133"/>
    </row>
    <row r="8" spans="1:24" x14ac:dyDescent="0.2">
      <c r="A8" s="3" t="s">
        <v>310</v>
      </c>
      <c r="B8" s="40"/>
    </row>
    <row r="9" spans="1:24" x14ac:dyDescent="0.2">
      <c r="A9" s="35" t="s">
        <v>313</v>
      </c>
      <c r="B9" s="40"/>
    </row>
    <row r="10" spans="1:24" s="43" customFormat="1" x14ac:dyDescent="0.25">
      <c r="A10" s="26" t="s">
        <v>154</v>
      </c>
      <c r="C10" s="44"/>
      <c r="D10" s="132"/>
      <c r="E10" s="132"/>
      <c r="F10" s="132"/>
      <c r="G10" s="132"/>
      <c r="H10" s="132"/>
      <c r="I10" s="132"/>
      <c r="J10" s="132"/>
      <c r="K10" s="132"/>
      <c r="L10" s="132"/>
      <c r="M10" s="132"/>
      <c r="N10" s="132"/>
      <c r="O10" s="132"/>
      <c r="P10" s="132"/>
      <c r="Q10" s="132"/>
      <c r="R10" s="132"/>
      <c r="S10" s="132"/>
      <c r="T10" s="132"/>
      <c r="U10" s="132"/>
      <c r="V10" s="132"/>
      <c r="W10" s="132"/>
    </row>
    <row r="11" spans="1:24" s="43" customFormat="1" ht="30" customHeight="1" x14ac:dyDescent="0.25">
      <c r="A11" s="45" t="s">
        <v>232</v>
      </c>
      <c r="C11" s="44"/>
      <c r="D11" s="132"/>
      <c r="E11" s="132"/>
      <c r="F11" s="132"/>
      <c r="G11" s="132"/>
      <c r="H11" s="132"/>
      <c r="I11" s="132"/>
      <c r="J11" s="132"/>
      <c r="K11" s="132"/>
      <c r="L11" s="132"/>
      <c r="M11" s="132"/>
      <c r="N11" s="132"/>
      <c r="O11" s="132"/>
      <c r="P11" s="132"/>
      <c r="Q11" s="132"/>
      <c r="R11" s="132"/>
      <c r="S11" s="132"/>
      <c r="T11" s="132"/>
      <c r="U11" s="132"/>
      <c r="V11" s="132"/>
      <c r="W11" s="132"/>
    </row>
    <row r="12" spans="1:24" ht="15.75" customHeight="1" x14ac:dyDescent="0.25">
      <c r="A12" s="23" t="s">
        <v>193</v>
      </c>
      <c r="B12" s="23" t="s">
        <v>156</v>
      </c>
      <c r="C12" s="23" t="s">
        <v>157</v>
      </c>
      <c r="D12" s="46" t="s">
        <v>164</v>
      </c>
      <c r="E12" s="46" t="s">
        <v>165</v>
      </c>
      <c r="F12" s="46" t="s">
        <v>166</v>
      </c>
      <c r="G12" s="46" t="s">
        <v>167</v>
      </c>
      <c r="H12" s="46" t="s">
        <v>168</v>
      </c>
      <c r="I12" s="46" t="s">
        <v>169</v>
      </c>
      <c r="J12" s="46" t="s">
        <v>170</v>
      </c>
      <c r="K12" s="46" t="s">
        <v>171</v>
      </c>
      <c r="L12" s="46" t="s">
        <v>172</v>
      </c>
      <c r="M12" s="46" t="s">
        <v>173</v>
      </c>
      <c r="N12" s="46" t="s">
        <v>174</v>
      </c>
      <c r="O12" s="46" t="s">
        <v>175</v>
      </c>
      <c r="P12" s="46" t="s">
        <v>176</v>
      </c>
      <c r="Q12" s="46" t="s">
        <v>177</v>
      </c>
      <c r="R12" s="46" t="s">
        <v>123</v>
      </c>
      <c r="S12" s="47" t="s">
        <v>150</v>
      </c>
      <c r="T12" s="46" t="s">
        <v>187</v>
      </c>
      <c r="U12" s="46" t="s">
        <v>189</v>
      </c>
      <c r="V12" s="90" t="s">
        <v>257</v>
      </c>
      <c r="W12" s="46" t="s">
        <v>316</v>
      </c>
      <c r="X12" s="46" t="s">
        <v>337</v>
      </c>
    </row>
    <row r="13" spans="1:24" ht="15.75" customHeight="1" x14ac:dyDescent="0.2">
      <c r="A13" s="30" t="s">
        <v>210</v>
      </c>
      <c r="B13" s="17" t="s">
        <v>178</v>
      </c>
      <c r="C13" s="17" t="s">
        <v>48</v>
      </c>
      <c r="D13" s="48">
        <v>4.8000000000000001E-2</v>
      </c>
      <c r="E13" s="48">
        <v>4.9000000000000002E-2</v>
      </c>
      <c r="F13" s="48">
        <v>5.4000000000000006E-2</v>
      </c>
      <c r="G13" s="48">
        <v>5.2000000000000005E-2</v>
      </c>
      <c r="H13" s="48">
        <v>5.7000000000000002E-2</v>
      </c>
      <c r="I13" s="48">
        <v>7.5999999999999998E-2</v>
      </c>
      <c r="J13" s="48">
        <v>7.5999999999999998E-2</v>
      </c>
      <c r="K13" s="48">
        <v>0.08</v>
      </c>
      <c r="L13" s="48">
        <v>7.9000000000000001E-2</v>
      </c>
      <c r="M13" s="48">
        <v>7.4999999999999997E-2</v>
      </c>
      <c r="N13" s="48">
        <v>6.2E-2</v>
      </c>
      <c r="O13" s="48">
        <v>5.2999999999999999E-2</v>
      </c>
      <c r="P13" s="48">
        <v>4.9000000000000002E-2</v>
      </c>
      <c r="Q13" s="48">
        <v>4.4000000000000004E-2</v>
      </c>
      <c r="R13" s="48">
        <v>4.2000000000000003E-2</v>
      </c>
      <c r="S13" s="48">
        <v>3.9E-2</v>
      </c>
      <c r="T13" s="48">
        <v>4.5999999999999999E-2</v>
      </c>
      <c r="U13" s="48">
        <v>4.4000000000000004E-2</v>
      </c>
      <c r="V13" s="97">
        <v>3.5000000000000003E-2</v>
      </c>
      <c r="W13" s="98">
        <v>3.7000000000000005E-2</v>
      </c>
      <c r="X13" s="98">
        <v>3.7999999999999999E-2</v>
      </c>
    </row>
    <row r="14" spans="1:24" ht="15.75" customHeight="1" x14ac:dyDescent="0.2">
      <c r="A14" s="30" t="s">
        <v>210</v>
      </c>
      <c r="B14" s="17" t="s">
        <v>178</v>
      </c>
      <c r="C14" s="17" t="s">
        <v>1</v>
      </c>
      <c r="D14" s="48">
        <v>5.2999999999999999E-2</v>
      </c>
      <c r="E14" s="48">
        <v>5.2999999999999999E-2</v>
      </c>
      <c r="F14" s="48">
        <v>5.2000000000000005E-2</v>
      </c>
      <c r="G14" s="48">
        <v>4.7E-2</v>
      </c>
      <c r="H14" s="48">
        <v>4.9000000000000002E-2</v>
      </c>
      <c r="I14" s="48">
        <v>6.9000000000000006E-2</v>
      </c>
      <c r="J14" s="48">
        <v>7.6999999999999999E-2</v>
      </c>
      <c r="K14" s="48">
        <v>8.199999999999999E-2</v>
      </c>
      <c r="L14" s="48">
        <v>0.08</v>
      </c>
      <c r="M14" s="48">
        <v>7.6999999999999999E-2</v>
      </c>
      <c r="N14" s="48">
        <v>6.2E-2</v>
      </c>
      <c r="O14" s="48">
        <v>5.7999999999999996E-2</v>
      </c>
      <c r="P14" s="48">
        <v>4.8000000000000001E-2</v>
      </c>
      <c r="Q14" s="48">
        <v>4.0999999999999995E-2</v>
      </c>
      <c r="R14" s="48">
        <v>4.2999999999999997E-2</v>
      </c>
      <c r="S14" s="48">
        <v>3.5000000000000003E-2</v>
      </c>
      <c r="T14" s="48">
        <v>4.2999999999999997E-2</v>
      </c>
      <c r="U14" s="48">
        <v>3.9E-2</v>
      </c>
      <c r="V14" s="99">
        <v>3.4000000000000002E-2</v>
      </c>
      <c r="W14" s="98">
        <v>3.5000000000000003E-2</v>
      </c>
      <c r="X14" s="98">
        <v>3.3000000000000002E-2</v>
      </c>
    </row>
    <row r="15" spans="1:24" ht="31.5" customHeight="1" x14ac:dyDescent="0.2">
      <c r="A15" s="30" t="s">
        <v>210</v>
      </c>
      <c r="B15" s="17" t="s">
        <v>179</v>
      </c>
      <c r="C15" s="17" t="s">
        <v>35</v>
      </c>
      <c r="D15" s="48">
        <v>5.2999999999999999E-2</v>
      </c>
      <c r="E15" s="48">
        <v>4.9000000000000002E-2</v>
      </c>
      <c r="F15" s="48">
        <v>3.7999999999999999E-2</v>
      </c>
      <c r="G15" s="48">
        <v>3.2000000000000001E-2</v>
      </c>
      <c r="H15" s="48">
        <v>3.2000000000000001E-2</v>
      </c>
      <c r="I15" s="48">
        <v>2.8999999999999998E-2</v>
      </c>
      <c r="J15" s="48">
        <v>4.8000000000000001E-2</v>
      </c>
      <c r="K15" s="48">
        <v>5.7000000000000002E-2</v>
      </c>
      <c r="L15" s="48">
        <v>4.4999999999999998E-2</v>
      </c>
      <c r="M15" s="48">
        <v>4.4000000000000004E-2</v>
      </c>
      <c r="N15" s="48">
        <v>4.2999999999999997E-2</v>
      </c>
      <c r="O15" s="48">
        <v>3.2000000000000001E-2</v>
      </c>
      <c r="P15" s="48">
        <v>5.7000000000000002E-2</v>
      </c>
      <c r="Q15" s="48">
        <v>3.4000000000000002E-2</v>
      </c>
      <c r="R15" s="48">
        <v>5.4000000000000006E-2</v>
      </c>
      <c r="S15" s="48">
        <v>2.8999999999999998E-2</v>
      </c>
      <c r="T15" s="48">
        <v>4.8000000000000001E-2</v>
      </c>
      <c r="U15" s="48">
        <v>4.2999999999999997E-2</v>
      </c>
      <c r="V15" s="48">
        <v>5.2000000000000005E-2</v>
      </c>
      <c r="W15" s="117" t="s">
        <v>344</v>
      </c>
      <c r="X15" s="117" t="s">
        <v>344</v>
      </c>
    </row>
    <row r="16" spans="1:24" ht="15.75" customHeight="1" x14ac:dyDescent="0.2">
      <c r="A16" s="30" t="s">
        <v>210</v>
      </c>
      <c r="B16" s="17" t="s">
        <v>179</v>
      </c>
      <c r="C16" s="17" t="s">
        <v>36</v>
      </c>
      <c r="D16" s="48">
        <v>0.06</v>
      </c>
      <c r="E16" s="48">
        <v>6.5000000000000002E-2</v>
      </c>
      <c r="F16" s="48">
        <v>5.9000000000000004E-2</v>
      </c>
      <c r="G16" s="48">
        <v>5.4000000000000006E-2</v>
      </c>
      <c r="H16" s="48">
        <v>5.5999999999999994E-2</v>
      </c>
      <c r="I16" s="48">
        <v>8.3000000000000004E-2</v>
      </c>
      <c r="J16" s="48">
        <v>0.1</v>
      </c>
      <c r="K16" s="48">
        <v>9.9000000000000005E-2</v>
      </c>
      <c r="L16" s="48">
        <v>9.9000000000000005E-2</v>
      </c>
      <c r="M16" s="48">
        <v>9.0999999999999998E-2</v>
      </c>
      <c r="N16" s="48">
        <v>7.6999999999999999E-2</v>
      </c>
      <c r="O16" s="48">
        <v>6.6000000000000003E-2</v>
      </c>
      <c r="P16" s="48">
        <v>4.7E-2</v>
      </c>
      <c r="Q16" s="48">
        <v>4.7E-2</v>
      </c>
      <c r="R16" s="48">
        <v>4.5999999999999999E-2</v>
      </c>
      <c r="S16" s="48">
        <v>3.9E-2</v>
      </c>
      <c r="T16" s="48">
        <v>4.4999999999999998E-2</v>
      </c>
      <c r="U16" s="48">
        <v>3.7999999999999999E-2</v>
      </c>
      <c r="V16" s="48">
        <v>3.2000000000000001E-2</v>
      </c>
      <c r="W16" s="117" t="s">
        <v>344</v>
      </c>
      <c r="X16" s="117" t="s">
        <v>344</v>
      </c>
    </row>
    <row r="17" spans="1:24" ht="15.75" customHeight="1" x14ac:dyDescent="0.2">
      <c r="A17" s="30" t="s">
        <v>210</v>
      </c>
      <c r="B17" s="17" t="s">
        <v>179</v>
      </c>
      <c r="C17" s="17" t="s">
        <v>37</v>
      </c>
      <c r="D17" s="48">
        <v>4.5999999999999999E-2</v>
      </c>
      <c r="E17" s="48">
        <v>4.7E-2</v>
      </c>
      <c r="F17" s="48">
        <v>5.2000000000000005E-2</v>
      </c>
      <c r="G17" s="48">
        <v>4.5999999999999999E-2</v>
      </c>
      <c r="H17" s="48">
        <v>4.9000000000000002E-2</v>
      </c>
      <c r="I17" s="48">
        <v>7.2000000000000008E-2</v>
      </c>
      <c r="J17" s="48">
        <v>7.0999999999999994E-2</v>
      </c>
      <c r="K17" s="48">
        <v>7.2000000000000008E-2</v>
      </c>
      <c r="L17" s="48">
        <v>6.6000000000000003E-2</v>
      </c>
      <c r="M17" s="48">
        <v>7.2000000000000008E-2</v>
      </c>
      <c r="N17" s="48">
        <v>4.9000000000000002E-2</v>
      </c>
      <c r="O17" s="48">
        <v>5.9000000000000004E-2</v>
      </c>
      <c r="P17" s="48">
        <v>4.2000000000000003E-2</v>
      </c>
      <c r="Q17" s="48">
        <v>3.1E-2</v>
      </c>
      <c r="R17" s="48">
        <v>0.04</v>
      </c>
      <c r="S17" s="48">
        <v>0.03</v>
      </c>
      <c r="T17" s="48">
        <v>4.2000000000000003E-2</v>
      </c>
      <c r="U17" s="48">
        <v>4.0999999999999995E-2</v>
      </c>
      <c r="V17" s="48">
        <v>2.5000000000000001E-2</v>
      </c>
      <c r="W17" s="117" t="s">
        <v>344</v>
      </c>
      <c r="X17" s="117" t="s">
        <v>344</v>
      </c>
    </row>
    <row r="18" spans="1:24" ht="15.75" customHeight="1" x14ac:dyDescent="0.2">
      <c r="A18" s="30" t="s">
        <v>210</v>
      </c>
      <c r="B18" s="17" t="s">
        <v>179</v>
      </c>
      <c r="C18" s="17" t="s">
        <v>236</v>
      </c>
      <c r="D18" s="48">
        <v>0.05</v>
      </c>
      <c r="E18" s="48">
        <v>4.8000000000000001E-2</v>
      </c>
      <c r="F18" s="48">
        <v>5.5999999999999994E-2</v>
      </c>
      <c r="G18" s="48">
        <v>4.7E-2</v>
      </c>
      <c r="H18" s="48">
        <v>4.2000000000000003E-2</v>
      </c>
      <c r="I18" s="48">
        <v>7.0999999999999994E-2</v>
      </c>
      <c r="J18" s="48">
        <v>7.2000000000000008E-2</v>
      </c>
      <c r="K18" s="48">
        <v>7.6999999999999999E-2</v>
      </c>
      <c r="L18" s="48">
        <v>8.5000000000000006E-2</v>
      </c>
      <c r="M18" s="48">
        <v>7.5999999999999998E-2</v>
      </c>
      <c r="N18" s="48">
        <v>6.6000000000000003E-2</v>
      </c>
      <c r="O18" s="48">
        <v>5.5E-2</v>
      </c>
      <c r="P18" s="48">
        <v>4.8000000000000001E-2</v>
      </c>
      <c r="Q18" s="48">
        <v>4.5999999999999999E-2</v>
      </c>
      <c r="R18" s="48">
        <v>2.7000000000000003E-2</v>
      </c>
      <c r="S18" s="48">
        <v>3.7000000000000005E-2</v>
      </c>
      <c r="T18" s="48">
        <v>4.4000000000000004E-2</v>
      </c>
      <c r="U18" s="48">
        <v>2.3E-2</v>
      </c>
      <c r="V18" s="48">
        <v>4.8000000000000001E-2</v>
      </c>
      <c r="W18" s="117" t="s">
        <v>344</v>
      </c>
      <c r="X18" s="117" t="s">
        <v>344</v>
      </c>
    </row>
    <row r="19" spans="1:24" ht="15.75" customHeight="1" x14ac:dyDescent="0.2">
      <c r="A19" s="30" t="s">
        <v>210</v>
      </c>
      <c r="B19" s="17" t="s">
        <v>179</v>
      </c>
      <c r="C19" s="17" t="s">
        <v>38</v>
      </c>
      <c r="D19" s="48">
        <v>5.4000000000000006E-2</v>
      </c>
      <c r="E19" s="48">
        <v>4.9000000000000002E-2</v>
      </c>
      <c r="F19" s="48">
        <v>5.5E-2</v>
      </c>
      <c r="G19" s="48">
        <v>5.7999999999999996E-2</v>
      </c>
      <c r="H19" s="48">
        <v>5.7000000000000002E-2</v>
      </c>
      <c r="I19" s="48">
        <v>7.4999999999999997E-2</v>
      </c>
      <c r="J19" s="48">
        <v>8.1000000000000003E-2</v>
      </c>
      <c r="K19" s="48">
        <v>8.3000000000000004E-2</v>
      </c>
      <c r="L19" s="48">
        <v>8.5999999999999993E-2</v>
      </c>
      <c r="M19" s="48">
        <v>9.0999999999999998E-2</v>
      </c>
      <c r="N19" s="48">
        <v>6.5000000000000002E-2</v>
      </c>
      <c r="O19" s="48">
        <v>7.0000000000000007E-2</v>
      </c>
      <c r="P19" s="48">
        <v>4.4999999999999998E-2</v>
      </c>
      <c r="Q19" s="48">
        <v>3.7999999999999999E-2</v>
      </c>
      <c r="R19" s="48">
        <v>4.2999999999999997E-2</v>
      </c>
      <c r="S19" s="48">
        <v>3.7999999999999999E-2</v>
      </c>
      <c r="T19" s="48">
        <v>5.5999999999999994E-2</v>
      </c>
      <c r="U19" s="48">
        <v>5.4000000000000006E-2</v>
      </c>
      <c r="V19" s="48">
        <v>4.4999999999999998E-2</v>
      </c>
      <c r="W19" s="117" t="s">
        <v>344</v>
      </c>
      <c r="X19" s="117" t="s">
        <v>344</v>
      </c>
    </row>
    <row r="20" spans="1:24" ht="15.75" customHeight="1" x14ac:dyDescent="0.2">
      <c r="A20" s="30" t="s">
        <v>210</v>
      </c>
      <c r="B20" s="17" t="s">
        <v>179</v>
      </c>
      <c r="C20" s="17" t="s">
        <v>121</v>
      </c>
      <c r="D20" s="48">
        <v>3.7000000000000005E-2</v>
      </c>
      <c r="E20" s="48">
        <v>3.6000000000000004E-2</v>
      </c>
      <c r="F20" s="48">
        <v>3.2000000000000001E-2</v>
      </c>
      <c r="G20" s="48">
        <v>2.7999999999999997E-2</v>
      </c>
      <c r="H20" s="48">
        <v>3.2000000000000001E-2</v>
      </c>
      <c r="I20" s="48">
        <v>4.2000000000000003E-2</v>
      </c>
      <c r="J20" s="48">
        <v>3.3000000000000002E-2</v>
      </c>
      <c r="K20" s="48">
        <v>0.05</v>
      </c>
      <c r="L20" s="48">
        <v>4.9000000000000002E-2</v>
      </c>
      <c r="M20" s="48">
        <v>4.9000000000000002E-2</v>
      </c>
      <c r="N20" s="48">
        <v>4.7E-2</v>
      </c>
      <c r="O20" s="48">
        <v>3.6000000000000004E-2</v>
      </c>
      <c r="P20" s="48">
        <v>3.7999999999999999E-2</v>
      </c>
      <c r="Q20" s="48">
        <v>3.7000000000000005E-2</v>
      </c>
      <c r="R20" s="48">
        <v>2.7999999999999997E-2</v>
      </c>
      <c r="S20" s="48">
        <v>0.03</v>
      </c>
      <c r="T20" s="48">
        <v>2.5000000000000001E-2</v>
      </c>
      <c r="U20" s="48">
        <v>3.3000000000000002E-2</v>
      </c>
      <c r="V20" s="48">
        <v>2.7999999999999997E-2</v>
      </c>
      <c r="W20" s="117" t="s">
        <v>344</v>
      </c>
      <c r="X20" s="117" t="s">
        <v>344</v>
      </c>
    </row>
    <row r="21" spans="1:24" ht="15.75" customHeight="1" x14ac:dyDescent="0.2">
      <c r="A21" s="30" t="s">
        <v>210</v>
      </c>
      <c r="B21" s="17" t="s">
        <v>179</v>
      </c>
      <c r="C21" s="17" t="s">
        <v>39</v>
      </c>
      <c r="D21" s="48">
        <v>7.4999999999999997E-2</v>
      </c>
      <c r="E21" s="48">
        <v>6.5000000000000002E-2</v>
      </c>
      <c r="F21" s="48">
        <v>7.0000000000000007E-2</v>
      </c>
      <c r="G21" s="48">
        <v>5.9000000000000004E-2</v>
      </c>
      <c r="H21" s="48">
        <v>6.4000000000000001E-2</v>
      </c>
      <c r="I21" s="48">
        <v>0.10099999999999999</v>
      </c>
      <c r="J21" s="48">
        <v>0.10400000000000001</v>
      </c>
      <c r="K21" s="48">
        <v>0.11800000000000001</v>
      </c>
      <c r="L21" s="48">
        <v>0.11800000000000001</v>
      </c>
      <c r="M21" s="48">
        <v>0.113</v>
      </c>
      <c r="N21" s="48">
        <v>8.199999999999999E-2</v>
      </c>
      <c r="O21" s="48">
        <v>8.1000000000000003E-2</v>
      </c>
      <c r="P21" s="48">
        <v>7.6999999999999999E-2</v>
      </c>
      <c r="Q21" s="48">
        <v>6.6000000000000003E-2</v>
      </c>
      <c r="R21" s="48">
        <v>5.2000000000000005E-2</v>
      </c>
      <c r="S21" s="48">
        <v>4.7E-2</v>
      </c>
      <c r="T21" s="48">
        <v>4.4999999999999998E-2</v>
      </c>
      <c r="U21" s="48">
        <v>5.4000000000000006E-2</v>
      </c>
      <c r="V21" s="48">
        <v>3.5000000000000003E-2</v>
      </c>
      <c r="W21" s="117" t="s">
        <v>344</v>
      </c>
      <c r="X21" s="117" t="s">
        <v>344</v>
      </c>
    </row>
    <row r="22" spans="1:24" ht="15.75" customHeight="1" x14ac:dyDescent="0.2">
      <c r="A22" s="30" t="s">
        <v>210</v>
      </c>
      <c r="B22" s="17" t="s">
        <v>179</v>
      </c>
      <c r="C22" s="17" t="s">
        <v>40</v>
      </c>
      <c r="D22" s="48">
        <v>3.4000000000000002E-2</v>
      </c>
      <c r="E22" s="48">
        <v>0.04</v>
      </c>
      <c r="F22" s="48">
        <v>3.7999999999999999E-2</v>
      </c>
      <c r="G22" s="48">
        <v>3.5000000000000003E-2</v>
      </c>
      <c r="H22" s="48">
        <v>4.7E-2</v>
      </c>
      <c r="I22" s="48">
        <v>6.0999999999999999E-2</v>
      </c>
      <c r="J22" s="48">
        <v>5.4000000000000006E-2</v>
      </c>
      <c r="K22" s="48">
        <v>7.6999999999999999E-2</v>
      </c>
      <c r="L22" s="48">
        <v>8.1000000000000003E-2</v>
      </c>
      <c r="M22" s="48">
        <v>5.5E-2</v>
      </c>
      <c r="N22" s="48">
        <v>4.2999999999999997E-2</v>
      </c>
      <c r="O22" s="48">
        <v>4.5999999999999999E-2</v>
      </c>
      <c r="P22" s="48">
        <v>0.05</v>
      </c>
      <c r="Q22" s="48">
        <v>0.03</v>
      </c>
      <c r="R22" s="48">
        <v>2.7999999999999997E-2</v>
      </c>
      <c r="S22" s="48">
        <v>0.03</v>
      </c>
      <c r="T22" s="48">
        <v>3.6000000000000004E-2</v>
      </c>
      <c r="U22" s="48">
        <v>5.5999999999999994E-2</v>
      </c>
      <c r="V22" s="48">
        <v>5.2999999999999999E-2</v>
      </c>
      <c r="W22" s="117" t="s">
        <v>344</v>
      </c>
      <c r="X22" s="117" t="s">
        <v>344</v>
      </c>
    </row>
    <row r="23" spans="1:24" ht="31.5" customHeight="1" x14ac:dyDescent="0.2">
      <c r="A23" s="30" t="s">
        <v>210</v>
      </c>
      <c r="B23" s="17" t="s">
        <v>180</v>
      </c>
      <c r="C23" s="17" t="s">
        <v>41</v>
      </c>
      <c r="D23" s="48">
        <v>3.6000000000000004E-2</v>
      </c>
      <c r="E23" s="48">
        <v>0.04</v>
      </c>
      <c r="F23" s="48">
        <v>3.6000000000000004E-2</v>
      </c>
      <c r="G23" s="48">
        <v>3.5000000000000003E-2</v>
      </c>
      <c r="H23" s="48">
        <v>3.9E-2</v>
      </c>
      <c r="I23" s="48">
        <v>5.9000000000000004E-2</v>
      </c>
      <c r="J23" s="48">
        <v>4.4999999999999998E-2</v>
      </c>
      <c r="K23" s="48">
        <v>6.2E-2</v>
      </c>
      <c r="L23" s="48">
        <v>0.06</v>
      </c>
      <c r="M23" s="48">
        <v>4.5999999999999999E-2</v>
      </c>
      <c r="N23" s="48">
        <v>4.9000000000000002E-2</v>
      </c>
      <c r="O23" s="48">
        <v>3.6000000000000004E-2</v>
      </c>
      <c r="P23" s="48">
        <v>3.2000000000000001E-2</v>
      </c>
      <c r="Q23" s="48">
        <v>2.2000000000000002E-2</v>
      </c>
      <c r="R23" s="48">
        <v>1.9E-2</v>
      </c>
      <c r="S23" s="48">
        <v>2.6000000000000002E-2</v>
      </c>
      <c r="T23" s="48">
        <v>2.4E-2</v>
      </c>
      <c r="U23" s="48">
        <v>2.7000000000000003E-2</v>
      </c>
      <c r="V23" s="48">
        <v>6.9999999999999993E-3</v>
      </c>
      <c r="W23" s="117" t="s">
        <v>344</v>
      </c>
      <c r="X23" s="117" t="s">
        <v>344</v>
      </c>
    </row>
    <row r="24" spans="1:24" ht="15.75" customHeight="1" x14ac:dyDescent="0.2">
      <c r="A24" s="30" t="s">
        <v>210</v>
      </c>
      <c r="B24" s="17" t="s">
        <v>180</v>
      </c>
      <c r="C24" s="17" t="s">
        <v>42</v>
      </c>
      <c r="D24" s="48">
        <v>4.4000000000000004E-2</v>
      </c>
      <c r="E24" s="48">
        <v>4.2999999999999997E-2</v>
      </c>
      <c r="F24" s="48">
        <v>0.04</v>
      </c>
      <c r="G24" s="48">
        <v>3.6000000000000004E-2</v>
      </c>
      <c r="H24" s="48">
        <v>3.9E-2</v>
      </c>
      <c r="I24" s="48">
        <v>5.0999999999999997E-2</v>
      </c>
      <c r="J24" s="48">
        <v>5.4000000000000006E-2</v>
      </c>
      <c r="K24" s="48">
        <v>6.6000000000000003E-2</v>
      </c>
      <c r="L24" s="48">
        <v>6.5000000000000002E-2</v>
      </c>
      <c r="M24" s="48">
        <v>6.0999999999999999E-2</v>
      </c>
      <c r="N24" s="48">
        <v>5.5E-2</v>
      </c>
      <c r="O24" s="48">
        <v>4.4999999999999998E-2</v>
      </c>
      <c r="P24" s="48">
        <v>4.9000000000000002E-2</v>
      </c>
      <c r="Q24" s="48">
        <v>4.2999999999999997E-2</v>
      </c>
      <c r="R24" s="48">
        <v>3.5000000000000003E-2</v>
      </c>
      <c r="S24" s="48">
        <v>2.7999999999999997E-2</v>
      </c>
      <c r="T24" s="48">
        <v>3.5000000000000003E-2</v>
      </c>
      <c r="U24" s="48">
        <v>0.04</v>
      </c>
      <c r="V24" s="48">
        <v>4.0999999999999995E-2</v>
      </c>
      <c r="W24" s="117" t="s">
        <v>344</v>
      </c>
      <c r="X24" s="117" t="s">
        <v>344</v>
      </c>
    </row>
    <row r="25" spans="1:24" ht="15.75" customHeight="1" x14ac:dyDescent="0.2">
      <c r="A25" s="30" t="s">
        <v>210</v>
      </c>
      <c r="B25" s="17" t="s">
        <v>180</v>
      </c>
      <c r="C25" s="17" t="s">
        <v>43</v>
      </c>
      <c r="D25" s="48">
        <v>5.2000000000000005E-2</v>
      </c>
      <c r="E25" s="48">
        <v>5.2999999999999999E-2</v>
      </c>
      <c r="F25" s="48">
        <v>5.5E-2</v>
      </c>
      <c r="G25" s="48">
        <v>0.05</v>
      </c>
      <c r="H25" s="48">
        <v>5.4000000000000006E-2</v>
      </c>
      <c r="I25" s="48">
        <v>7.9000000000000001E-2</v>
      </c>
      <c r="J25" s="48">
        <v>8.6999999999999994E-2</v>
      </c>
      <c r="K25" s="48">
        <v>8.6999999999999994E-2</v>
      </c>
      <c r="L25" s="48">
        <v>8.6999999999999994E-2</v>
      </c>
      <c r="M25" s="48">
        <v>8.5999999999999993E-2</v>
      </c>
      <c r="N25" s="48">
        <v>6.3E-2</v>
      </c>
      <c r="O25" s="48">
        <v>6.3E-2</v>
      </c>
      <c r="P25" s="48">
        <v>4.4000000000000004E-2</v>
      </c>
      <c r="Q25" s="48">
        <v>4.0999999999999995E-2</v>
      </c>
      <c r="R25" s="48">
        <v>3.7999999999999999E-2</v>
      </c>
      <c r="S25" s="48">
        <v>3.7000000000000005E-2</v>
      </c>
      <c r="T25" s="48">
        <v>4.5999999999999999E-2</v>
      </c>
      <c r="U25" s="48">
        <v>4.2000000000000003E-2</v>
      </c>
      <c r="V25" s="48">
        <v>3.2000000000000001E-2</v>
      </c>
      <c r="W25" s="117" t="s">
        <v>344</v>
      </c>
      <c r="X25" s="117" t="s">
        <v>344</v>
      </c>
    </row>
    <row r="26" spans="1:24" ht="15.75" customHeight="1" x14ac:dyDescent="0.2">
      <c r="A26" s="30" t="s">
        <v>210</v>
      </c>
      <c r="B26" s="17" t="s">
        <v>180</v>
      </c>
      <c r="C26" s="17" t="s">
        <v>44</v>
      </c>
      <c r="D26" s="48">
        <v>6.8000000000000005E-2</v>
      </c>
      <c r="E26" s="48">
        <v>6.6000000000000003E-2</v>
      </c>
      <c r="F26" s="48">
        <v>6.2E-2</v>
      </c>
      <c r="G26" s="48">
        <v>5.4000000000000006E-2</v>
      </c>
      <c r="H26" s="48">
        <v>5.2999999999999999E-2</v>
      </c>
      <c r="I26" s="48">
        <v>7.4999999999999997E-2</v>
      </c>
      <c r="J26" s="48">
        <v>8.6999999999999994E-2</v>
      </c>
      <c r="K26" s="48">
        <v>9.3000000000000013E-2</v>
      </c>
      <c r="L26" s="48">
        <v>8.5999999999999993E-2</v>
      </c>
      <c r="M26" s="48">
        <v>8.4000000000000005E-2</v>
      </c>
      <c r="N26" s="48">
        <v>7.0000000000000007E-2</v>
      </c>
      <c r="O26" s="48">
        <v>6.6000000000000003E-2</v>
      </c>
      <c r="P26" s="48">
        <v>5.4000000000000006E-2</v>
      </c>
      <c r="Q26" s="48">
        <v>0.04</v>
      </c>
      <c r="R26" s="48">
        <v>5.9000000000000004E-2</v>
      </c>
      <c r="S26" s="48">
        <v>3.7999999999999999E-2</v>
      </c>
      <c r="T26" s="48">
        <v>4.9000000000000002E-2</v>
      </c>
      <c r="U26" s="48">
        <v>3.5000000000000003E-2</v>
      </c>
      <c r="V26" s="48">
        <v>3.4000000000000002E-2</v>
      </c>
      <c r="W26" s="117" t="s">
        <v>344</v>
      </c>
      <c r="X26" s="117" t="s">
        <v>344</v>
      </c>
    </row>
    <row r="27" spans="1:24" ht="31.5" customHeight="1" x14ac:dyDescent="0.2">
      <c r="A27" s="30" t="s">
        <v>210</v>
      </c>
      <c r="B27" s="17" t="s">
        <v>181</v>
      </c>
      <c r="C27" s="17" t="s">
        <v>45</v>
      </c>
      <c r="D27" s="48">
        <f>D20</f>
        <v>3.7000000000000005E-2</v>
      </c>
      <c r="E27" s="48">
        <f t="shared" ref="E27:U27" si="0">E20</f>
        <v>3.6000000000000004E-2</v>
      </c>
      <c r="F27" s="48">
        <f t="shared" si="0"/>
        <v>3.2000000000000001E-2</v>
      </c>
      <c r="G27" s="48">
        <f t="shared" si="0"/>
        <v>2.7999999999999997E-2</v>
      </c>
      <c r="H27" s="48">
        <f t="shared" si="0"/>
        <v>3.2000000000000001E-2</v>
      </c>
      <c r="I27" s="48">
        <f t="shared" si="0"/>
        <v>4.2000000000000003E-2</v>
      </c>
      <c r="J27" s="48">
        <f t="shared" si="0"/>
        <v>3.3000000000000002E-2</v>
      </c>
      <c r="K27" s="48">
        <f t="shared" si="0"/>
        <v>0.05</v>
      </c>
      <c r="L27" s="48">
        <f t="shared" si="0"/>
        <v>4.9000000000000002E-2</v>
      </c>
      <c r="M27" s="48">
        <f t="shared" si="0"/>
        <v>4.9000000000000002E-2</v>
      </c>
      <c r="N27" s="48">
        <f t="shared" si="0"/>
        <v>4.7E-2</v>
      </c>
      <c r="O27" s="48">
        <f t="shared" si="0"/>
        <v>3.6000000000000004E-2</v>
      </c>
      <c r="P27" s="48">
        <f t="shared" si="0"/>
        <v>3.7999999999999999E-2</v>
      </c>
      <c r="Q27" s="48">
        <f t="shared" si="0"/>
        <v>3.7000000000000005E-2</v>
      </c>
      <c r="R27" s="48">
        <f t="shared" si="0"/>
        <v>2.7999999999999997E-2</v>
      </c>
      <c r="S27" s="48">
        <f t="shared" si="0"/>
        <v>0.03</v>
      </c>
      <c r="T27" s="48">
        <f t="shared" si="0"/>
        <v>2.5000000000000001E-2</v>
      </c>
      <c r="U27" s="48">
        <f t="shared" si="0"/>
        <v>3.3000000000000002E-2</v>
      </c>
      <c r="V27" s="48">
        <v>2.7999999999999997E-2</v>
      </c>
      <c r="W27" s="117" t="s">
        <v>344</v>
      </c>
      <c r="X27" s="117" t="s">
        <v>344</v>
      </c>
    </row>
    <row r="28" spans="1:24" ht="15.75" customHeight="1" x14ac:dyDescent="0.2">
      <c r="A28" s="30" t="s">
        <v>210</v>
      </c>
      <c r="B28" s="17" t="s">
        <v>181</v>
      </c>
      <c r="C28" s="17" t="s">
        <v>120</v>
      </c>
      <c r="D28" s="48">
        <f>D22</f>
        <v>3.4000000000000002E-2</v>
      </c>
      <c r="E28" s="48">
        <f t="shared" ref="E28:U28" si="1">E22</f>
        <v>0.04</v>
      </c>
      <c r="F28" s="48">
        <f t="shared" si="1"/>
        <v>3.7999999999999999E-2</v>
      </c>
      <c r="G28" s="48">
        <f t="shared" si="1"/>
        <v>3.5000000000000003E-2</v>
      </c>
      <c r="H28" s="48">
        <f t="shared" si="1"/>
        <v>4.7E-2</v>
      </c>
      <c r="I28" s="48">
        <f t="shared" si="1"/>
        <v>6.0999999999999999E-2</v>
      </c>
      <c r="J28" s="48">
        <f t="shared" si="1"/>
        <v>5.4000000000000006E-2</v>
      </c>
      <c r="K28" s="48">
        <f t="shared" si="1"/>
        <v>7.6999999999999999E-2</v>
      </c>
      <c r="L28" s="48">
        <f t="shared" si="1"/>
        <v>8.1000000000000003E-2</v>
      </c>
      <c r="M28" s="48">
        <f t="shared" si="1"/>
        <v>5.5E-2</v>
      </c>
      <c r="N28" s="48">
        <f t="shared" si="1"/>
        <v>4.2999999999999997E-2</v>
      </c>
      <c r="O28" s="48">
        <f t="shared" si="1"/>
        <v>4.5999999999999999E-2</v>
      </c>
      <c r="P28" s="48">
        <f t="shared" si="1"/>
        <v>0.05</v>
      </c>
      <c r="Q28" s="48">
        <f t="shared" si="1"/>
        <v>0.03</v>
      </c>
      <c r="R28" s="48">
        <f t="shared" si="1"/>
        <v>2.7999999999999997E-2</v>
      </c>
      <c r="S28" s="48">
        <f t="shared" si="1"/>
        <v>0.03</v>
      </c>
      <c r="T28" s="48">
        <f t="shared" si="1"/>
        <v>3.6000000000000004E-2</v>
      </c>
      <c r="U28" s="48">
        <f t="shared" si="1"/>
        <v>5.5999999999999994E-2</v>
      </c>
      <c r="V28" s="48">
        <v>5.2999999999999999E-2</v>
      </c>
      <c r="W28" s="117" t="s">
        <v>344</v>
      </c>
      <c r="X28" s="117" t="s">
        <v>344</v>
      </c>
    </row>
    <row r="29" spans="1:24" ht="15.75" customHeight="1" x14ac:dyDescent="0.2">
      <c r="A29" s="30" t="s">
        <v>210</v>
      </c>
      <c r="B29" s="17" t="s">
        <v>181</v>
      </c>
      <c r="C29" s="17" t="s">
        <v>46</v>
      </c>
      <c r="D29" s="48">
        <v>5.5999999999999994E-2</v>
      </c>
      <c r="E29" s="48">
        <v>5.5999999999999994E-2</v>
      </c>
      <c r="F29" s="48">
        <v>5.5E-2</v>
      </c>
      <c r="G29" s="48">
        <v>0.05</v>
      </c>
      <c r="H29" s="48">
        <v>5.0999999999999997E-2</v>
      </c>
      <c r="I29" s="48">
        <v>7.2999999999999995E-2</v>
      </c>
      <c r="J29" s="48">
        <v>8.3000000000000004E-2</v>
      </c>
      <c r="K29" s="48">
        <v>8.5999999999999993E-2</v>
      </c>
      <c r="L29" s="48">
        <v>8.3000000000000004E-2</v>
      </c>
      <c r="M29" s="48">
        <v>8.199999999999999E-2</v>
      </c>
      <c r="N29" s="48">
        <v>6.5000000000000002E-2</v>
      </c>
      <c r="O29" s="48">
        <v>6.0999999999999999E-2</v>
      </c>
      <c r="P29" s="48">
        <v>4.9000000000000002E-2</v>
      </c>
      <c r="Q29" s="48">
        <v>4.2000000000000003E-2</v>
      </c>
      <c r="R29" s="48">
        <v>4.4999999999999998E-2</v>
      </c>
      <c r="S29" s="48">
        <v>3.6000000000000004E-2</v>
      </c>
      <c r="T29" s="48">
        <v>4.4999999999999998E-2</v>
      </c>
      <c r="U29" s="48">
        <v>3.9E-2</v>
      </c>
      <c r="V29" s="97">
        <v>3.4000000000000002E-2</v>
      </c>
      <c r="W29" s="117" t="s">
        <v>344</v>
      </c>
      <c r="X29" s="117" t="s">
        <v>344</v>
      </c>
    </row>
    <row r="30" spans="1:24" ht="31.5" customHeight="1" x14ac:dyDescent="0.2">
      <c r="A30" s="30" t="s">
        <v>210</v>
      </c>
      <c r="B30" s="17" t="s">
        <v>47</v>
      </c>
      <c r="C30" s="17" t="s">
        <v>22</v>
      </c>
      <c r="D30" s="48">
        <v>6.0999999999999999E-2</v>
      </c>
      <c r="E30" s="48">
        <v>5.5999999999999994E-2</v>
      </c>
      <c r="F30" s="48">
        <v>4.2000000000000003E-2</v>
      </c>
      <c r="G30" s="48">
        <v>4.4000000000000004E-2</v>
      </c>
      <c r="H30" s="48">
        <v>3.7999999999999999E-2</v>
      </c>
      <c r="I30" s="48">
        <v>0.03</v>
      </c>
      <c r="J30" s="48">
        <v>5.7000000000000002E-2</v>
      </c>
      <c r="K30" s="48">
        <v>7.4999999999999997E-2</v>
      </c>
      <c r="L30" s="48">
        <v>5.9000000000000004E-2</v>
      </c>
      <c r="M30" s="48">
        <v>4.8000000000000001E-2</v>
      </c>
      <c r="N30" s="48">
        <v>4.7E-2</v>
      </c>
      <c r="O30" s="48">
        <v>4.2000000000000003E-2</v>
      </c>
      <c r="P30" s="48">
        <v>6.3E-2</v>
      </c>
      <c r="Q30" s="48">
        <v>3.4000000000000002E-2</v>
      </c>
      <c r="R30" s="48">
        <v>7.2000000000000008E-2</v>
      </c>
      <c r="S30" s="48">
        <v>3.2000000000000001E-2</v>
      </c>
      <c r="T30" s="48">
        <v>7.2000000000000008E-2</v>
      </c>
      <c r="U30" s="48">
        <v>4.2000000000000003E-2</v>
      </c>
      <c r="V30" s="97">
        <v>5.2999999999999999E-2</v>
      </c>
      <c r="W30" s="117" t="s">
        <v>344</v>
      </c>
      <c r="X30" s="117" t="s">
        <v>344</v>
      </c>
    </row>
    <row r="31" spans="1:24" ht="15.75" customHeight="1" x14ac:dyDescent="0.2">
      <c r="A31" s="30" t="s">
        <v>210</v>
      </c>
      <c r="B31" s="17" t="s">
        <v>47</v>
      </c>
      <c r="C31" s="17" t="s">
        <v>23</v>
      </c>
      <c r="D31" s="48">
        <v>4.5999999999999999E-2</v>
      </c>
      <c r="E31" s="48">
        <v>4.2000000000000003E-2</v>
      </c>
      <c r="F31" s="48">
        <v>3.3000000000000002E-2</v>
      </c>
      <c r="G31" s="48">
        <v>0.02</v>
      </c>
      <c r="H31" s="48">
        <v>2.7000000000000003E-2</v>
      </c>
      <c r="I31" s="48">
        <v>2.7999999999999997E-2</v>
      </c>
      <c r="J31" s="48">
        <v>0.04</v>
      </c>
      <c r="K31" s="48">
        <v>4.0999999999999995E-2</v>
      </c>
      <c r="L31" s="48">
        <v>3.1E-2</v>
      </c>
      <c r="M31" s="48">
        <v>4.0999999999999995E-2</v>
      </c>
      <c r="N31" s="48">
        <v>3.9E-2</v>
      </c>
      <c r="O31" s="48">
        <v>2.3E-2</v>
      </c>
      <c r="P31" s="48">
        <v>5.2999999999999999E-2</v>
      </c>
      <c r="Q31" s="48">
        <v>3.4000000000000002E-2</v>
      </c>
      <c r="R31" s="48">
        <v>3.7000000000000005E-2</v>
      </c>
      <c r="S31" s="48">
        <v>2.7000000000000003E-2</v>
      </c>
      <c r="T31" s="48">
        <v>2.7000000000000003E-2</v>
      </c>
      <c r="U31" s="48">
        <v>4.4000000000000004E-2</v>
      </c>
      <c r="V31" s="97">
        <v>5.0999999999999997E-2</v>
      </c>
      <c r="W31" s="117" t="s">
        <v>344</v>
      </c>
      <c r="X31" s="117" t="s">
        <v>344</v>
      </c>
    </row>
    <row r="32" spans="1:24" ht="15.75" customHeight="1" x14ac:dyDescent="0.2">
      <c r="A32" s="30" t="s">
        <v>210</v>
      </c>
      <c r="B32" s="17" t="s">
        <v>47</v>
      </c>
      <c r="C32" s="17" t="s">
        <v>29</v>
      </c>
      <c r="D32" s="48">
        <v>4.4000000000000004E-2</v>
      </c>
      <c r="E32" s="48">
        <v>4.8000000000000001E-2</v>
      </c>
      <c r="F32" s="48">
        <v>5.0999999999999997E-2</v>
      </c>
      <c r="G32" s="48">
        <v>5.4000000000000006E-2</v>
      </c>
      <c r="H32" s="48">
        <v>5.0999999999999997E-2</v>
      </c>
      <c r="I32" s="48">
        <v>5.9000000000000004E-2</v>
      </c>
      <c r="J32" s="48">
        <v>7.2000000000000008E-2</v>
      </c>
      <c r="K32" s="48">
        <v>0.08</v>
      </c>
      <c r="L32" s="48">
        <v>6.0999999999999999E-2</v>
      </c>
      <c r="M32" s="48">
        <v>7.0000000000000007E-2</v>
      </c>
      <c r="N32" s="48">
        <v>6.6000000000000003E-2</v>
      </c>
      <c r="O32" s="48">
        <v>6.4000000000000001E-2</v>
      </c>
      <c r="P32" s="48">
        <v>0.03</v>
      </c>
      <c r="Q32" s="48">
        <v>5.7000000000000002E-2</v>
      </c>
      <c r="R32" s="48">
        <v>3.9E-2</v>
      </c>
      <c r="S32" s="48">
        <v>2.3E-2</v>
      </c>
      <c r="T32" s="48">
        <v>3.4000000000000002E-2</v>
      </c>
      <c r="U32" s="48">
        <v>2.7999999999999997E-2</v>
      </c>
      <c r="V32" s="97">
        <v>2.5000000000000001E-2</v>
      </c>
      <c r="W32" s="117" t="s">
        <v>344</v>
      </c>
      <c r="X32" s="117" t="s">
        <v>344</v>
      </c>
    </row>
    <row r="33" spans="1:24" ht="15.75" customHeight="1" x14ac:dyDescent="0.2">
      <c r="A33" s="30" t="s">
        <v>210</v>
      </c>
      <c r="B33" s="17" t="s">
        <v>47</v>
      </c>
      <c r="C33" s="17" t="s">
        <v>24</v>
      </c>
      <c r="D33" s="48">
        <v>4.2999999999999997E-2</v>
      </c>
      <c r="E33" s="48">
        <v>4.4999999999999998E-2</v>
      </c>
      <c r="F33" s="48">
        <v>2.8999999999999998E-2</v>
      </c>
      <c r="G33" s="48">
        <v>4.4000000000000004E-2</v>
      </c>
      <c r="H33" s="48">
        <v>4.4999999999999998E-2</v>
      </c>
      <c r="I33" s="48">
        <v>6.5000000000000002E-2</v>
      </c>
      <c r="J33" s="48">
        <v>5.7999999999999996E-2</v>
      </c>
      <c r="K33" s="48">
        <v>7.2999999999999995E-2</v>
      </c>
      <c r="L33" s="48">
        <v>7.0999999999999994E-2</v>
      </c>
      <c r="M33" s="48">
        <v>4.7E-2</v>
      </c>
      <c r="N33" s="48">
        <v>4.8000000000000001E-2</v>
      </c>
      <c r="O33" s="48">
        <v>4.9000000000000002E-2</v>
      </c>
      <c r="P33" s="48">
        <v>2.8999999999999998E-2</v>
      </c>
      <c r="Q33" s="48">
        <v>2.2000000000000002E-2</v>
      </c>
      <c r="R33" s="48">
        <v>0.03</v>
      </c>
      <c r="S33" s="48">
        <v>0.03</v>
      </c>
      <c r="T33" s="48">
        <v>2.1000000000000001E-2</v>
      </c>
      <c r="U33" s="48">
        <v>1.9E-2</v>
      </c>
      <c r="V33" s="97">
        <v>1.3000000000000001E-2</v>
      </c>
      <c r="W33" s="117" t="s">
        <v>344</v>
      </c>
      <c r="X33" s="117" t="s">
        <v>344</v>
      </c>
    </row>
    <row r="34" spans="1:24" ht="15.75" customHeight="1" x14ac:dyDescent="0.2">
      <c r="A34" s="30" t="s">
        <v>210</v>
      </c>
      <c r="B34" s="17" t="s">
        <v>47</v>
      </c>
      <c r="C34" s="17" t="s">
        <v>25</v>
      </c>
      <c r="D34" s="48">
        <v>5.2000000000000005E-2</v>
      </c>
      <c r="E34" s="48">
        <v>4.9000000000000002E-2</v>
      </c>
      <c r="F34" s="48">
        <v>5.2000000000000005E-2</v>
      </c>
      <c r="G34" s="48">
        <v>3.7999999999999999E-2</v>
      </c>
      <c r="H34" s="48">
        <v>4.4000000000000004E-2</v>
      </c>
      <c r="I34" s="48">
        <v>6.5000000000000002E-2</v>
      </c>
      <c r="J34" s="48">
        <v>5.7999999999999996E-2</v>
      </c>
      <c r="K34" s="48">
        <v>6.7000000000000004E-2</v>
      </c>
      <c r="L34" s="48">
        <v>5.7999999999999996E-2</v>
      </c>
      <c r="M34" s="48">
        <v>6.9000000000000006E-2</v>
      </c>
      <c r="N34" s="48">
        <v>4.0999999999999995E-2</v>
      </c>
      <c r="O34" s="48">
        <v>5.2999999999999999E-2</v>
      </c>
      <c r="P34" s="48">
        <v>0.04</v>
      </c>
      <c r="Q34" s="48">
        <v>2.6000000000000002E-2</v>
      </c>
      <c r="R34" s="48">
        <v>4.8000000000000001E-2</v>
      </c>
      <c r="S34" s="48">
        <v>2.7999999999999997E-2</v>
      </c>
      <c r="T34" s="48">
        <v>4.0999999999999995E-2</v>
      </c>
      <c r="U34" s="48">
        <v>2.3E-2</v>
      </c>
      <c r="V34" s="97">
        <v>1.3000000000000001E-2</v>
      </c>
      <c r="W34" s="117" t="s">
        <v>344</v>
      </c>
      <c r="X34" s="117" t="s">
        <v>344</v>
      </c>
    </row>
    <row r="35" spans="1:24" ht="15.75" customHeight="1" x14ac:dyDescent="0.2">
      <c r="A35" s="30" t="s">
        <v>210</v>
      </c>
      <c r="B35" s="17" t="s">
        <v>47</v>
      </c>
      <c r="C35" s="17" t="s">
        <v>2</v>
      </c>
      <c r="D35" s="48">
        <v>6.8000000000000005E-2</v>
      </c>
      <c r="E35" s="48">
        <v>5.5999999999999994E-2</v>
      </c>
      <c r="F35" s="48">
        <v>6.3E-2</v>
      </c>
      <c r="G35" s="48">
        <v>6.8000000000000005E-2</v>
      </c>
      <c r="H35" s="48">
        <v>4.8000000000000001E-2</v>
      </c>
      <c r="I35" s="48">
        <v>6.6000000000000003E-2</v>
      </c>
      <c r="J35" s="48">
        <v>4.2999999999999997E-2</v>
      </c>
      <c r="K35" s="48">
        <v>0.10199999999999999</v>
      </c>
      <c r="L35" s="48">
        <v>0.10800000000000001</v>
      </c>
      <c r="M35" s="48">
        <v>0.107</v>
      </c>
      <c r="N35" s="48">
        <v>0.1</v>
      </c>
      <c r="O35" s="48">
        <v>4.4000000000000004E-2</v>
      </c>
      <c r="P35" s="48">
        <v>0.08</v>
      </c>
      <c r="Q35" s="48">
        <v>5.5E-2</v>
      </c>
      <c r="R35" s="48">
        <v>3.4000000000000002E-2</v>
      </c>
      <c r="S35" s="48">
        <v>0.01</v>
      </c>
      <c r="T35" s="48">
        <v>6.2E-2</v>
      </c>
      <c r="U35" s="48" t="s">
        <v>208</v>
      </c>
      <c r="V35" s="97">
        <v>3.7999999999999999E-2</v>
      </c>
      <c r="W35" s="117" t="s">
        <v>344</v>
      </c>
      <c r="X35" s="117" t="s">
        <v>344</v>
      </c>
    </row>
    <row r="36" spans="1:24" ht="15.75" customHeight="1" x14ac:dyDescent="0.2">
      <c r="A36" s="30" t="s">
        <v>210</v>
      </c>
      <c r="B36" s="17" t="s">
        <v>47</v>
      </c>
      <c r="C36" s="17" t="s">
        <v>3</v>
      </c>
      <c r="D36" s="48">
        <v>3.9E-2</v>
      </c>
      <c r="E36" s="48">
        <v>3.6000000000000004E-2</v>
      </c>
      <c r="F36" s="48">
        <v>3.9E-2</v>
      </c>
      <c r="G36" s="48">
        <v>4.0999999999999995E-2</v>
      </c>
      <c r="H36" s="48">
        <v>0.05</v>
      </c>
      <c r="I36" s="48">
        <v>5.5E-2</v>
      </c>
      <c r="J36" s="48">
        <v>4.8000000000000001E-2</v>
      </c>
      <c r="K36" s="48">
        <v>9.5000000000000001E-2</v>
      </c>
      <c r="L36" s="48">
        <v>9.8000000000000004E-2</v>
      </c>
      <c r="M36" s="48">
        <v>7.0000000000000007E-2</v>
      </c>
      <c r="N36" s="48">
        <v>5.2000000000000005E-2</v>
      </c>
      <c r="O36" s="48">
        <v>4.9000000000000002E-2</v>
      </c>
      <c r="P36" s="48">
        <v>4.4000000000000004E-2</v>
      </c>
      <c r="Q36" s="48">
        <v>2.1000000000000001E-2</v>
      </c>
      <c r="R36" s="48">
        <v>2.2000000000000002E-2</v>
      </c>
      <c r="S36" s="48">
        <v>2.8999999999999998E-2</v>
      </c>
      <c r="T36" s="48">
        <v>5.7999999999999996E-2</v>
      </c>
      <c r="U36" s="48">
        <v>4.0999999999999995E-2</v>
      </c>
      <c r="V36" s="97">
        <v>4.5999999999999999E-2</v>
      </c>
      <c r="W36" s="117" t="s">
        <v>344</v>
      </c>
      <c r="X36" s="117" t="s">
        <v>344</v>
      </c>
    </row>
    <row r="37" spans="1:24" ht="15.75" customHeight="1" x14ac:dyDescent="0.2">
      <c r="A37" s="30" t="s">
        <v>210</v>
      </c>
      <c r="B37" s="17" t="s">
        <v>47</v>
      </c>
      <c r="C37" s="17" t="s">
        <v>30</v>
      </c>
      <c r="D37" s="48">
        <v>9.4E-2</v>
      </c>
      <c r="E37" s="48">
        <v>6.4000000000000001E-2</v>
      </c>
      <c r="F37" s="48">
        <v>6.4000000000000001E-2</v>
      </c>
      <c r="G37" s="48">
        <v>7.0000000000000007E-2</v>
      </c>
      <c r="H37" s="48">
        <v>5.9000000000000004E-2</v>
      </c>
      <c r="I37" s="48">
        <v>8.199999999999999E-2</v>
      </c>
      <c r="J37" s="48">
        <v>0.09</v>
      </c>
      <c r="K37" s="48">
        <v>0.111</v>
      </c>
      <c r="L37" s="48">
        <v>0.10300000000000001</v>
      </c>
      <c r="M37" s="48">
        <v>0.13200000000000001</v>
      </c>
      <c r="N37" s="48">
        <v>9.6999999999999989E-2</v>
      </c>
      <c r="O37" s="48">
        <v>8.900000000000001E-2</v>
      </c>
      <c r="P37" s="48">
        <v>6.9000000000000006E-2</v>
      </c>
      <c r="Q37" s="48">
        <v>3.4000000000000002E-2</v>
      </c>
      <c r="R37" s="48">
        <v>6.5000000000000002E-2</v>
      </c>
      <c r="S37" s="48">
        <v>5.7000000000000002E-2</v>
      </c>
      <c r="T37" s="48">
        <v>5.7000000000000002E-2</v>
      </c>
      <c r="U37" s="48">
        <v>5.7000000000000002E-2</v>
      </c>
      <c r="V37" s="97">
        <v>8.1000000000000003E-2</v>
      </c>
      <c r="W37" s="117" t="s">
        <v>344</v>
      </c>
      <c r="X37" s="117" t="s">
        <v>344</v>
      </c>
    </row>
    <row r="38" spans="1:24" ht="15.75" customHeight="1" x14ac:dyDescent="0.2">
      <c r="A38" s="30" t="s">
        <v>210</v>
      </c>
      <c r="B38" s="17" t="s">
        <v>47</v>
      </c>
      <c r="C38" s="17" t="s">
        <v>4</v>
      </c>
      <c r="D38" s="48">
        <v>6.3E-2</v>
      </c>
      <c r="E38" s="48">
        <v>7.2000000000000008E-2</v>
      </c>
      <c r="F38" s="48">
        <v>6.4000000000000001E-2</v>
      </c>
      <c r="G38" s="48">
        <v>6.8000000000000005E-2</v>
      </c>
      <c r="H38" s="48">
        <v>0.06</v>
      </c>
      <c r="I38" s="48">
        <v>0.10800000000000001</v>
      </c>
      <c r="J38" s="48">
        <v>8.5000000000000006E-2</v>
      </c>
      <c r="K38" s="48">
        <v>0.107</v>
      </c>
      <c r="L38" s="48">
        <v>0.11599999999999999</v>
      </c>
      <c r="M38" s="48">
        <v>0.11900000000000001</v>
      </c>
      <c r="N38" s="48">
        <v>0.10300000000000001</v>
      </c>
      <c r="O38" s="48">
        <v>7.4999999999999997E-2</v>
      </c>
      <c r="P38" s="48">
        <v>7.4999999999999997E-2</v>
      </c>
      <c r="Q38" s="48">
        <v>7.400000000000001E-2</v>
      </c>
      <c r="R38" s="48">
        <v>6.3E-2</v>
      </c>
      <c r="S38" s="48">
        <v>4.5999999999999999E-2</v>
      </c>
      <c r="T38" s="48">
        <v>3.6000000000000004E-2</v>
      </c>
      <c r="U38" s="48">
        <v>3.5000000000000003E-2</v>
      </c>
      <c r="V38" s="97">
        <v>2.7999999999999997E-2</v>
      </c>
      <c r="W38" s="117" t="s">
        <v>344</v>
      </c>
      <c r="X38" s="117" t="s">
        <v>344</v>
      </c>
    </row>
    <row r="39" spans="1:24" ht="15.75" customHeight="1" x14ac:dyDescent="0.2">
      <c r="A39" s="30" t="s">
        <v>210</v>
      </c>
      <c r="B39" s="17" t="s">
        <v>47</v>
      </c>
      <c r="C39" s="17" t="s">
        <v>32</v>
      </c>
      <c r="D39" s="48">
        <v>2.4E-2</v>
      </c>
      <c r="E39" s="48">
        <v>3.4000000000000002E-2</v>
      </c>
      <c r="F39" s="48">
        <v>0.04</v>
      </c>
      <c r="G39" s="48">
        <v>2.5000000000000001E-2</v>
      </c>
      <c r="H39" s="48">
        <v>4.2999999999999997E-2</v>
      </c>
      <c r="I39" s="48">
        <v>6.2E-2</v>
      </c>
      <c r="J39" s="48">
        <v>6.6000000000000003E-2</v>
      </c>
      <c r="K39" s="48">
        <v>5.7000000000000002E-2</v>
      </c>
      <c r="L39" s="48">
        <v>0.06</v>
      </c>
      <c r="M39" s="48">
        <v>4.0999999999999995E-2</v>
      </c>
      <c r="N39" s="48">
        <v>5.0999999999999997E-2</v>
      </c>
      <c r="O39" s="48">
        <v>4.2000000000000003E-2</v>
      </c>
      <c r="P39" s="48">
        <v>3.2000000000000001E-2</v>
      </c>
      <c r="Q39" s="48">
        <v>3.2000000000000001E-2</v>
      </c>
      <c r="R39" s="48">
        <v>2.7999999999999997E-2</v>
      </c>
      <c r="S39" s="48">
        <v>2.1000000000000001E-2</v>
      </c>
      <c r="T39" s="48">
        <v>2.2000000000000002E-2</v>
      </c>
      <c r="U39" s="48">
        <v>3.9E-2</v>
      </c>
      <c r="V39" s="97">
        <v>2.2000000000000002E-2</v>
      </c>
      <c r="W39" s="117" t="s">
        <v>344</v>
      </c>
      <c r="X39" s="117" t="s">
        <v>344</v>
      </c>
    </row>
    <row r="40" spans="1:24" ht="15.75" customHeight="1" x14ac:dyDescent="0.2">
      <c r="A40" s="30" t="s">
        <v>210</v>
      </c>
      <c r="B40" s="17" t="s">
        <v>47</v>
      </c>
      <c r="C40" s="17" t="s">
        <v>5</v>
      </c>
      <c r="D40" s="48">
        <v>4.7E-2</v>
      </c>
      <c r="E40" s="48">
        <v>3.7000000000000005E-2</v>
      </c>
      <c r="F40" s="48">
        <v>0.03</v>
      </c>
      <c r="G40" s="48">
        <v>3.3000000000000002E-2</v>
      </c>
      <c r="H40" s="48">
        <v>3.3000000000000002E-2</v>
      </c>
      <c r="I40" s="48">
        <v>4.4999999999999998E-2</v>
      </c>
      <c r="J40" s="48">
        <v>8.3000000000000004E-2</v>
      </c>
      <c r="K40" s="48">
        <v>7.400000000000001E-2</v>
      </c>
      <c r="L40" s="48">
        <v>5.5999999999999994E-2</v>
      </c>
      <c r="M40" s="48">
        <v>5.5999999999999994E-2</v>
      </c>
      <c r="N40" s="48">
        <v>5.4000000000000006E-2</v>
      </c>
      <c r="O40" s="48">
        <v>5.4000000000000006E-2</v>
      </c>
      <c r="P40" s="48">
        <v>0.05</v>
      </c>
      <c r="Q40" s="48">
        <v>4.4999999999999998E-2</v>
      </c>
      <c r="R40" s="48">
        <v>2.2000000000000002E-2</v>
      </c>
      <c r="S40" s="48">
        <v>1.9E-2</v>
      </c>
      <c r="T40" s="48">
        <v>3.6000000000000004E-2</v>
      </c>
      <c r="U40" s="48">
        <v>3.6000000000000004E-2</v>
      </c>
      <c r="V40" s="97">
        <v>1.6E-2</v>
      </c>
      <c r="W40" s="117" t="s">
        <v>344</v>
      </c>
      <c r="X40" s="117" t="s">
        <v>344</v>
      </c>
    </row>
    <row r="41" spans="1:24" ht="15.75" customHeight="1" x14ac:dyDescent="0.2">
      <c r="A41" s="30" t="s">
        <v>210</v>
      </c>
      <c r="B41" s="17" t="s">
        <v>47</v>
      </c>
      <c r="C41" s="17" t="s">
        <v>6</v>
      </c>
      <c r="D41" s="48">
        <v>0.04</v>
      </c>
      <c r="E41" s="48">
        <v>3.9E-2</v>
      </c>
      <c r="F41" s="48">
        <v>3.4000000000000002E-2</v>
      </c>
      <c r="G41" s="48">
        <v>4.2999999999999997E-2</v>
      </c>
      <c r="H41" s="48">
        <v>3.5000000000000003E-2</v>
      </c>
      <c r="I41" s="48">
        <v>5.7000000000000002E-2</v>
      </c>
      <c r="J41" s="48">
        <v>7.4999999999999997E-2</v>
      </c>
      <c r="K41" s="48">
        <v>5.5999999999999994E-2</v>
      </c>
      <c r="L41" s="48">
        <v>5.4000000000000006E-2</v>
      </c>
      <c r="M41" s="48">
        <v>7.2999999999999995E-2</v>
      </c>
      <c r="N41" s="48">
        <v>6.0999999999999999E-2</v>
      </c>
      <c r="O41" s="48">
        <v>3.9E-2</v>
      </c>
      <c r="P41" s="48">
        <v>0.03</v>
      </c>
      <c r="Q41" s="48">
        <v>2.3E-2</v>
      </c>
      <c r="R41" s="48">
        <v>3.2000000000000001E-2</v>
      </c>
      <c r="S41" s="48">
        <v>2.6000000000000002E-2</v>
      </c>
      <c r="T41" s="48">
        <v>3.7999999999999999E-2</v>
      </c>
      <c r="U41" s="48">
        <v>3.7999999999999999E-2</v>
      </c>
      <c r="V41" s="97">
        <v>3.2000000000000001E-2</v>
      </c>
      <c r="W41" s="117" t="s">
        <v>344</v>
      </c>
      <c r="X41" s="117" t="s">
        <v>344</v>
      </c>
    </row>
    <row r="42" spans="1:24" ht="15.75" customHeight="1" x14ac:dyDescent="0.2">
      <c r="A42" s="30" t="s">
        <v>210</v>
      </c>
      <c r="B42" s="17" t="s">
        <v>47</v>
      </c>
      <c r="C42" s="17" t="s">
        <v>8</v>
      </c>
      <c r="D42" s="48">
        <v>4.5999999999999999E-2</v>
      </c>
      <c r="E42" s="48">
        <v>5.0999999999999997E-2</v>
      </c>
      <c r="F42" s="48">
        <v>5.9000000000000004E-2</v>
      </c>
      <c r="G42" s="48">
        <v>4.0999999999999995E-2</v>
      </c>
      <c r="H42" s="48">
        <v>3.4000000000000002E-2</v>
      </c>
      <c r="I42" s="48">
        <v>6.6000000000000003E-2</v>
      </c>
      <c r="J42" s="48">
        <v>8.1000000000000003E-2</v>
      </c>
      <c r="K42" s="48">
        <v>0.08</v>
      </c>
      <c r="L42" s="48">
        <v>7.5999999999999998E-2</v>
      </c>
      <c r="M42" s="48">
        <v>6.7000000000000004E-2</v>
      </c>
      <c r="N42" s="48">
        <v>6.8000000000000005E-2</v>
      </c>
      <c r="O42" s="48">
        <v>6.2E-2</v>
      </c>
      <c r="P42" s="48">
        <v>4.2000000000000003E-2</v>
      </c>
      <c r="Q42" s="48">
        <v>0.05</v>
      </c>
      <c r="R42" s="48">
        <v>2.6000000000000002E-2</v>
      </c>
      <c r="S42" s="48">
        <v>4.2999999999999997E-2</v>
      </c>
      <c r="T42" s="48">
        <v>4.5999999999999999E-2</v>
      </c>
      <c r="U42" s="48">
        <v>1.8000000000000002E-2</v>
      </c>
      <c r="V42" s="97">
        <v>5.7000000000000002E-2</v>
      </c>
      <c r="W42" s="117" t="s">
        <v>344</v>
      </c>
      <c r="X42" s="117" t="s">
        <v>344</v>
      </c>
    </row>
    <row r="43" spans="1:24" ht="15.75" customHeight="1" x14ac:dyDescent="0.2">
      <c r="A43" s="30" t="s">
        <v>210</v>
      </c>
      <c r="B43" s="17" t="s">
        <v>47</v>
      </c>
      <c r="C43" s="17" t="s">
        <v>9</v>
      </c>
      <c r="D43" s="48">
        <v>0.05</v>
      </c>
      <c r="E43" s="48">
        <v>0.05</v>
      </c>
      <c r="F43" s="48">
        <v>6.0999999999999999E-2</v>
      </c>
      <c r="G43" s="48">
        <v>6.3E-2</v>
      </c>
      <c r="H43" s="48">
        <v>6.6000000000000003E-2</v>
      </c>
      <c r="I43" s="48">
        <v>0.09</v>
      </c>
      <c r="J43" s="48">
        <v>9.0999999999999998E-2</v>
      </c>
      <c r="K43" s="48">
        <v>8.3000000000000004E-2</v>
      </c>
      <c r="L43" s="48">
        <v>9.1999999999999998E-2</v>
      </c>
      <c r="M43" s="48">
        <v>9.3000000000000013E-2</v>
      </c>
      <c r="N43" s="48">
        <v>0.06</v>
      </c>
      <c r="O43" s="48">
        <v>7.2999999999999995E-2</v>
      </c>
      <c r="P43" s="48">
        <v>4.2999999999999997E-2</v>
      </c>
      <c r="Q43" s="48">
        <v>3.5000000000000003E-2</v>
      </c>
      <c r="R43" s="48">
        <v>3.7999999999999999E-2</v>
      </c>
      <c r="S43" s="48">
        <v>4.2999999999999997E-2</v>
      </c>
      <c r="T43" s="48">
        <v>6.5000000000000002E-2</v>
      </c>
      <c r="U43" s="48">
        <v>7.2999999999999995E-2</v>
      </c>
      <c r="V43" s="97">
        <v>0.04</v>
      </c>
      <c r="W43" s="117" t="s">
        <v>344</v>
      </c>
      <c r="X43" s="117" t="s">
        <v>344</v>
      </c>
    </row>
    <row r="44" spans="1:24" ht="15.75" customHeight="1" x14ac:dyDescent="0.2">
      <c r="A44" s="30" t="s">
        <v>210</v>
      </c>
      <c r="B44" s="17" t="s">
        <v>47</v>
      </c>
      <c r="C44" s="17" t="s">
        <v>33</v>
      </c>
      <c r="D44" s="48">
        <v>7.9000000000000001E-2</v>
      </c>
      <c r="E44" s="48">
        <v>8.5999999999999993E-2</v>
      </c>
      <c r="F44" s="48">
        <v>7.9000000000000001E-2</v>
      </c>
      <c r="G44" s="48">
        <v>7.0000000000000007E-2</v>
      </c>
      <c r="H44" s="48">
        <v>6.6000000000000003E-2</v>
      </c>
      <c r="I44" s="48">
        <v>0.10199999999999999</v>
      </c>
      <c r="J44" s="48">
        <v>0.124</v>
      </c>
      <c r="K44" s="48">
        <v>0.12</v>
      </c>
      <c r="L44" s="48">
        <v>0.121</v>
      </c>
      <c r="M44" s="48">
        <v>0.10199999999999999</v>
      </c>
      <c r="N44" s="48">
        <v>9.9000000000000005E-2</v>
      </c>
      <c r="O44" s="48">
        <v>8.3000000000000004E-2</v>
      </c>
      <c r="P44" s="48">
        <v>5.9000000000000004E-2</v>
      </c>
      <c r="Q44" s="48">
        <v>5.5999999999999994E-2</v>
      </c>
      <c r="R44" s="48">
        <v>6.2E-2</v>
      </c>
      <c r="S44" s="48">
        <v>4.5999999999999999E-2</v>
      </c>
      <c r="T44" s="48">
        <v>4.4000000000000004E-2</v>
      </c>
      <c r="U44" s="48">
        <v>3.9E-2</v>
      </c>
      <c r="V44" s="97">
        <v>3.5000000000000003E-2</v>
      </c>
      <c r="W44" s="117" t="s">
        <v>344</v>
      </c>
      <c r="X44" s="117" t="s">
        <v>344</v>
      </c>
    </row>
    <row r="45" spans="1:24" ht="15.75" customHeight="1" x14ac:dyDescent="0.2">
      <c r="A45" s="30" t="s">
        <v>210</v>
      </c>
      <c r="B45" s="17" t="s">
        <v>47</v>
      </c>
      <c r="C45" s="17" t="s">
        <v>10</v>
      </c>
      <c r="D45" s="48">
        <v>3.7999999999999999E-2</v>
      </c>
      <c r="E45" s="48">
        <v>3.3000000000000002E-2</v>
      </c>
      <c r="F45" s="48">
        <v>2.7999999999999997E-2</v>
      </c>
      <c r="G45" s="48">
        <v>2.4E-2</v>
      </c>
      <c r="H45" s="48">
        <v>2.5000000000000001E-2</v>
      </c>
      <c r="I45" s="48">
        <v>2.7000000000000003E-2</v>
      </c>
      <c r="J45" s="48">
        <v>2.7000000000000003E-2</v>
      </c>
      <c r="K45" s="48">
        <v>4.7E-2</v>
      </c>
      <c r="L45" s="48">
        <v>4.2999999999999997E-2</v>
      </c>
      <c r="M45" s="48">
        <v>0.05</v>
      </c>
      <c r="N45" s="48">
        <v>4.4000000000000004E-2</v>
      </c>
      <c r="O45" s="48">
        <v>3.5000000000000003E-2</v>
      </c>
      <c r="P45" s="48">
        <v>0.04</v>
      </c>
      <c r="Q45" s="48">
        <v>4.0999999999999995E-2</v>
      </c>
      <c r="R45" s="48">
        <v>2.4E-2</v>
      </c>
      <c r="S45" s="48">
        <v>2.8999999999999998E-2</v>
      </c>
      <c r="T45" s="48">
        <v>2.2000000000000002E-2</v>
      </c>
      <c r="U45" s="48">
        <v>3.7000000000000005E-2</v>
      </c>
      <c r="V45" s="97">
        <v>3.5000000000000003E-2</v>
      </c>
      <c r="W45" s="117" t="s">
        <v>344</v>
      </c>
      <c r="X45" s="117" t="s">
        <v>344</v>
      </c>
    </row>
    <row r="46" spans="1:24" ht="15.75" customHeight="1" x14ac:dyDescent="0.2">
      <c r="A46" s="30" t="s">
        <v>210</v>
      </c>
      <c r="B46" s="17" t="s">
        <v>47</v>
      </c>
      <c r="C46" s="17" t="s">
        <v>11</v>
      </c>
      <c r="D46" s="48">
        <v>7.9000000000000001E-2</v>
      </c>
      <c r="E46" s="48">
        <v>6.5000000000000002E-2</v>
      </c>
      <c r="F46" s="48">
        <v>6.8000000000000005E-2</v>
      </c>
      <c r="G46" s="48">
        <v>8.4000000000000005E-2</v>
      </c>
      <c r="H46" s="48">
        <v>5.7000000000000002E-2</v>
      </c>
      <c r="I46" s="48">
        <v>9.4E-2</v>
      </c>
      <c r="J46" s="48">
        <v>7.6999999999999999E-2</v>
      </c>
      <c r="K46" s="48">
        <v>0.125</v>
      </c>
      <c r="L46" s="48">
        <v>0.14199999999999999</v>
      </c>
      <c r="M46" s="48">
        <v>0.06</v>
      </c>
      <c r="N46" s="48">
        <v>7.4999999999999997E-2</v>
      </c>
      <c r="O46" s="48">
        <v>8.4000000000000005E-2</v>
      </c>
      <c r="P46" s="48">
        <v>5.7999999999999996E-2</v>
      </c>
      <c r="Q46" s="48">
        <v>5.9000000000000004E-2</v>
      </c>
      <c r="R46" s="48">
        <v>4.8000000000000001E-2</v>
      </c>
      <c r="S46" s="48">
        <v>5.2999999999999999E-2</v>
      </c>
      <c r="T46" s="48">
        <v>4.7E-2</v>
      </c>
      <c r="U46" s="48">
        <v>4.2000000000000003E-2</v>
      </c>
      <c r="V46" s="97">
        <v>2.5000000000000001E-2</v>
      </c>
      <c r="W46" s="117" t="s">
        <v>344</v>
      </c>
      <c r="X46" s="117" t="s">
        <v>344</v>
      </c>
    </row>
    <row r="47" spans="1:24" ht="15.75" customHeight="1" x14ac:dyDescent="0.2">
      <c r="A47" s="30" t="s">
        <v>210</v>
      </c>
      <c r="B47" s="17" t="s">
        <v>47</v>
      </c>
      <c r="C47" s="17" t="s">
        <v>12</v>
      </c>
      <c r="D47" s="48">
        <v>3.2000000000000001E-2</v>
      </c>
      <c r="E47" s="48">
        <v>4.8000000000000001E-2</v>
      </c>
      <c r="F47" s="48">
        <v>5.5E-2</v>
      </c>
      <c r="G47" s="48">
        <v>4.7E-2</v>
      </c>
      <c r="H47" s="48">
        <v>4.4000000000000004E-2</v>
      </c>
      <c r="I47" s="48">
        <v>8.5000000000000006E-2</v>
      </c>
      <c r="J47" s="48">
        <v>0.08</v>
      </c>
      <c r="K47" s="48">
        <v>6.9000000000000006E-2</v>
      </c>
      <c r="L47" s="48">
        <v>4.4999999999999998E-2</v>
      </c>
      <c r="M47" s="48">
        <v>5.2999999999999999E-2</v>
      </c>
      <c r="N47" s="48">
        <v>0.06</v>
      </c>
      <c r="O47" s="48">
        <v>4.0999999999999995E-2</v>
      </c>
      <c r="P47" s="48">
        <v>2.8999999999999998E-2</v>
      </c>
      <c r="Q47" s="48">
        <v>1.8000000000000002E-2</v>
      </c>
      <c r="R47" s="48">
        <v>0.03</v>
      </c>
      <c r="S47" s="48">
        <v>2.3E-2</v>
      </c>
      <c r="T47" s="48">
        <v>2.2000000000000002E-2</v>
      </c>
      <c r="U47" s="48">
        <v>2.1000000000000001E-2</v>
      </c>
      <c r="V47" s="97">
        <v>1.7000000000000001E-2</v>
      </c>
      <c r="W47" s="117" t="s">
        <v>344</v>
      </c>
      <c r="X47" s="117" t="s">
        <v>344</v>
      </c>
    </row>
    <row r="48" spans="1:24" ht="15.75" customHeight="1" x14ac:dyDescent="0.2">
      <c r="A48" s="30" t="s">
        <v>210</v>
      </c>
      <c r="B48" s="17" t="s">
        <v>47</v>
      </c>
      <c r="C48" s="17" t="s">
        <v>13</v>
      </c>
      <c r="D48" s="48">
        <v>3.5000000000000003E-2</v>
      </c>
      <c r="E48" s="48">
        <v>3.7999999999999999E-2</v>
      </c>
      <c r="F48" s="48">
        <v>3.7000000000000005E-2</v>
      </c>
      <c r="G48" s="48">
        <v>2.7000000000000003E-2</v>
      </c>
      <c r="H48" s="48">
        <v>3.6000000000000004E-2</v>
      </c>
      <c r="I48" s="48">
        <v>5.0999999999999997E-2</v>
      </c>
      <c r="J48" s="48">
        <v>0.03</v>
      </c>
      <c r="K48" s="48">
        <v>0.04</v>
      </c>
      <c r="L48" s="48">
        <v>4.2999999999999997E-2</v>
      </c>
      <c r="M48" s="48">
        <v>0.05</v>
      </c>
      <c r="N48" s="48">
        <v>5.0999999999999997E-2</v>
      </c>
      <c r="O48" s="48">
        <v>4.0999999999999995E-2</v>
      </c>
      <c r="P48" s="48">
        <v>4.5999999999999999E-2</v>
      </c>
      <c r="Q48" s="48">
        <v>5.2000000000000005E-2</v>
      </c>
      <c r="R48" s="48">
        <v>5.2999999999999999E-2</v>
      </c>
      <c r="S48" s="48">
        <v>3.7000000000000005E-2</v>
      </c>
      <c r="T48" s="48">
        <v>3.4000000000000002E-2</v>
      </c>
      <c r="U48" s="48">
        <v>3.2000000000000001E-2</v>
      </c>
      <c r="V48" s="97">
        <v>4.8000000000000001E-2</v>
      </c>
      <c r="W48" s="117" t="s">
        <v>344</v>
      </c>
      <c r="X48" s="117" t="s">
        <v>344</v>
      </c>
    </row>
    <row r="49" spans="1:24" ht="15.75" customHeight="1" x14ac:dyDescent="0.2">
      <c r="A49" s="30" t="s">
        <v>210</v>
      </c>
      <c r="B49" s="17" t="s">
        <v>47</v>
      </c>
      <c r="C49" s="17" t="s">
        <v>7</v>
      </c>
      <c r="D49" s="48">
        <v>0.05</v>
      </c>
      <c r="E49" s="48">
        <v>4.4000000000000004E-2</v>
      </c>
      <c r="F49" s="48">
        <v>6.4000000000000001E-2</v>
      </c>
      <c r="G49" s="48">
        <v>3.3000000000000002E-2</v>
      </c>
      <c r="H49" s="48">
        <v>5.5E-2</v>
      </c>
      <c r="I49" s="48">
        <v>9.1999999999999998E-2</v>
      </c>
      <c r="J49" s="48">
        <v>3.7999999999999999E-2</v>
      </c>
      <c r="K49" s="48">
        <v>8.4000000000000005E-2</v>
      </c>
      <c r="L49" s="48">
        <v>7.9000000000000001E-2</v>
      </c>
      <c r="M49" s="48">
        <v>7.9000000000000001E-2</v>
      </c>
      <c r="N49" s="48">
        <v>5.5E-2</v>
      </c>
      <c r="O49" s="48">
        <v>4.0999999999999995E-2</v>
      </c>
      <c r="P49" s="48">
        <v>3.7999999999999999E-2</v>
      </c>
      <c r="Q49" s="48">
        <v>2.8999999999999998E-2</v>
      </c>
      <c r="R49" s="48">
        <v>1.7000000000000001E-2</v>
      </c>
      <c r="S49" s="48">
        <v>1.1000000000000001E-2</v>
      </c>
      <c r="T49" s="48">
        <v>0.04</v>
      </c>
      <c r="U49" s="48">
        <v>2.2000000000000002E-2</v>
      </c>
      <c r="V49" s="48" t="s">
        <v>208</v>
      </c>
      <c r="W49" s="117" t="s">
        <v>344</v>
      </c>
      <c r="X49" s="117" t="s">
        <v>344</v>
      </c>
    </row>
    <row r="50" spans="1:24" ht="15.75" customHeight="1" x14ac:dyDescent="0.2">
      <c r="A50" s="30" t="s">
        <v>210</v>
      </c>
      <c r="B50" s="17" t="s">
        <v>47</v>
      </c>
      <c r="C50" s="17" t="s">
        <v>14</v>
      </c>
      <c r="D50" s="48">
        <v>9.5000000000000001E-2</v>
      </c>
      <c r="E50" s="48">
        <v>6.6000000000000003E-2</v>
      </c>
      <c r="F50" s="48">
        <v>8.5999999999999993E-2</v>
      </c>
      <c r="G50" s="48">
        <v>6.2E-2</v>
      </c>
      <c r="H50" s="48">
        <v>7.8E-2</v>
      </c>
      <c r="I50" s="48">
        <v>0.11199999999999999</v>
      </c>
      <c r="J50" s="48">
        <v>0.126</v>
      </c>
      <c r="K50" s="48">
        <v>0.13600000000000001</v>
      </c>
      <c r="L50" s="48">
        <v>0.13200000000000001</v>
      </c>
      <c r="M50" s="48">
        <v>0.14699999999999999</v>
      </c>
      <c r="N50" s="48">
        <v>7.0999999999999994E-2</v>
      </c>
      <c r="O50" s="48">
        <v>0.11</v>
      </c>
      <c r="P50" s="48">
        <v>0.105</v>
      </c>
      <c r="Q50" s="48">
        <v>7.6999999999999999E-2</v>
      </c>
      <c r="R50" s="48">
        <v>5.5999999999999994E-2</v>
      </c>
      <c r="S50" s="48">
        <v>5.7999999999999996E-2</v>
      </c>
      <c r="T50" s="48">
        <v>5.0999999999999997E-2</v>
      </c>
      <c r="U50" s="48">
        <v>6.8000000000000005E-2</v>
      </c>
      <c r="V50" s="97">
        <v>1.6E-2</v>
      </c>
      <c r="W50" s="117" t="s">
        <v>344</v>
      </c>
      <c r="X50" s="117" t="s">
        <v>344</v>
      </c>
    </row>
    <row r="51" spans="1:24" ht="15.75" customHeight="1" x14ac:dyDescent="0.2">
      <c r="A51" s="30" t="s">
        <v>210</v>
      </c>
      <c r="B51" s="17" t="s">
        <v>47</v>
      </c>
      <c r="C51" s="17" t="s">
        <v>31</v>
      </c>
      <c r="D51" s="48">
        <v>6.3E-2</v>
      </c>
      <c r="E51" s="48">
        <v>6.8000000000000005E-2</v>
      </c>
      <c r="F51" s="48">
        <v>0.06</v>
      </c>
      <c r="G51" s="48">
        <v>5.4000000000000006E-2</v>
      </c>
      <c r="H51" s="48">
        <v>6.7000000000000004E-2</v>
      </c>
      <c r="I51" s="48">
        <v>8.1000000000000003E-2</v>
      </c>
      <c r="J51" s="48">
        <v>0.11699999999999999</v>
      </c>
      <c r="K51" s="48">
        <v>0.107</v>
      </c>
      <c r="L51" s="48">
        <v>0.124</v>
      </c>
      <c r="M51" s="48">
        <v>0.107</v>
      </c>
      <c r="N51" s="48">
        <v>7.400000000000001E-2</v>
      </c>
      <c r="O51" s="48">
        <v>7.2999999999999995E-2</v>
      </c>
      <c r="P51" s="48">
        <v>3.1E-2</v>
      </c>
      <c r="Q51" s="48">
        <v>4.9000000000000002E-2</v>
      </c>
      <c r="R51" s="48">
        <v>3.7999999999999999E-2</v>
      </c>
      <c r="S51" s="48">
        <v>4.7E-2</v>
      </c>
      <c r="T51" s="48">
        <v>6.2E-2</v>
      </c>
      <c r="U51" s="48">
        <v>3.7000000000000005E-2</v>
      </c>
      <c r="V51" s="97">
        <v>2.8999999999999998E-2</v>
      </c>
      <c r="W51" s="117" t="s">
        <v>344</v>
      </c>
      <c r="X51" s="117" t="s">
        <v>344</v>
      </c>
    </row>
    <row r="52" spans="1:24" ht="15.75" customHeight="1" x14ac:dyDescent="0.2">
      <c r="A52" s="30" t="s">
        <v>210</v>
      </c>
      <c r="B52" s="17" t="s">
        <v>47</v>
      </c>
      <c r="C52" s="17" t="s">
        <v>15</v>
      </c>
      <c r="D52" s="48">
        <v>1.6E-2</v>
      </c>
      <c r="E52" s="48">
        <v>2.4E-2</v>
      </c>
      <c r="F52" s="72" t="s">
        <v>208</v>
      </c>
      <c r="G52" s="48">
        <v>2.6000000000000002E-2</v>
      </c>
      <c r="H52" s="48">
        <v>2.2000000000000002E-2</v>
      </c>
      <c r="I52" s="48">
        <v>2.7999999999999997E-2</v>
      </c>
      <c r="J52" s="48">
        <v>2.2000000000000002E-2</v>
      </c>
      <c r="K52" s="48">
        <v>5.5E-2</v>
      </c>
      <c r="L52" s="48">
        <v>5.2000000000000005E-2</v>
      </c>
      <c r="M52" s="72" t="s">
        <v>208</v>
      </c>
      <c r="N52" s="48">
        <v>2.5000000000000001E-2</v>
      </c>
      <c r="O52" s="72" t="s">
        <v>208</v>
      </c>
      <c r="P52" s="72" t="s">
        <v>208</v>
      </c>
      <c r="Q52" s="72" t="s">
        <v>208</v>
      </c>
      <c r="R52" s="72" t="s">
        <v>208</v>
      </c>
      <c r="S52" s="72" t="s">
        <v>208</v>
      </c>
      <c r="T52" s="72" t="s">
        <v>208</v>
      </c>
      <c r="U52" s="48">
        <v>8.6999999999999994E-2</v>
      </c>
      <c r="V52" s="48" t="s">
        <v>208</v>
      </c>
      <c r="W52" s="117" t="s">
        <v>344</v>
      </c>
      <c r="X52" s="117" t="s">
        <v>344</v>
      </c>
    </row>
    <row r="53" spans="1:24" ht="15.75" customHeight="1" x14ac:dyDescent="0.2">
      <c r="A53" s="30" t="s">
        <v>210</v>
      </c>
      <c r="B53" s="17" t="s">
        <v>47</v>
      </c>
      <c r="C53" s="17" t="s">
        <v>16</v>
      </c>
      <c r="D53" s="48">
        <v>3.4000000000000002E-2</v>
      </c>
      <c r="E53" s="48">
        <v>0.03</v>
      </c>
      <c r="F53" s="48">
        <v>3.5000000000000003E-2</v>
      </c>
      <c r="G53" s="48">
        <v>3.5000000000000003E-2</v>
      </c>
      <c r="H53" s="48">
        <v>3.7999999999999999E-2</v>
      </c>
      <c r="I53" s="48">
        <v>0.04</v>
      </c>
      <c r="J53" s="48">
        <v>5.5E-2</v>
      </c>
      <c r="K53" s="48">
        <v>5.5999999999999994E-2</v>
      </c>
      <c r="L53" s="48">
        <v>7.2999999999999995E-2</v>
      </c>
      <c r="M53" s="48">
        <v>6.2E-2</v>
      </c>
      <c r="N53" s="48">
        <v>4.9000000000000002E-2</v>
      </c>
      <c r="O53" s="48">
        <v>0.05</v>
      </c>
      <c r="P53" s="48">
        <v>0.04</v>
      </c>
      <c r="Q53" s="48">
        <v>3.4000000000000002E-2</v>
      </c>
      <c r="R53" s="48">
        <v>3.6000000000000004E-2</v>
      </c>
      <c r="S53" s="48">
        <v>2.1000000000000001E-2</v>
      </c>
      <c r="T53" s="48">
        <v>4.9000000000000002E-2</v>
      </c>
      <c r="U53" s="48">
        <v>2.7999999999999997E-2</v>
      </c>
      <c r="V53" s="97">
        <v>3.2000000000000001E-2</v>
      </c>
      <c r="W53" s="117" t="s">
        <v>344</v>
      </c>
      <c r="X53" s="117" t="s">
        <v>344</v>
      </c>
    </row>
    <row r="54" spans="1:24" ht="15.75" customHeight="1" x14ac:dyDescent="0.2">
      <c r="A54" s="30" t="s">
        <v>210</v>
      </c>
      <c r="B54" s="17" t="s">
        <v>47</v>
      </c>
      <c r="C54" s="17" t="s">
        <v>26</v>
      </c>
      <c r="D54" s="48">
        <v>4.4000000000000004E-2</v>
      </c>
      <c r="E54" s="48">
        <v>5.2999999999999999E-2</v>
      </c>
      <c r="F54" s="48">
        <v>4.2000000000000003E-2</v>
      </c>
      <c r="G54" s="48">
        <v>5.0999999999999997E-2</v>
      </c>
      <c r="H54" s="48">
        <v>6.0999999999999999E-2</v>
      </c>
      <c r="I54" s="48">
        <v>7.9000000000000001E-2</v>
      </c>
      <c r="J54" s="48">
        <v>0.09</v>
      </c>
      <c r="K54" s="48">
        <v>9.6999999999999989E-2</v>
      </c>
      <c r="L54" s="48">
        <v>8.6999999999999994E-2</v>
      </c>
      <c r="M54" s="48">
        <v>7.0000000000000007E-2</v>
      </c>
      <c r="N54" s="48">
        <v>6.9000000000000006E-2</v>
      </c>
      <c r="O54" s="48">
        <v>5.2999999999999999E-2</v>
      </c>
      <c r="P54" s="48">
        <v>4.4999999999999998E-2</v>
      </c>
      <c r="Q54" s="48">
        <v>4.4999999999999998E-2</v>
      </c>
      <c r="R54" s="48">
        <v>5.2999999999999999E-2</v>
      </c>
      <c r="S54" s="48">
        <v>4.4000000000000004E-2</v>
      </c>
      <c r="T54" s="48">
        <v>4.4000000000000004E-2</v>
      </c>
      <c r="U54" s="48">
        <v>3.9E-2</v>
      </c>
      <c r="V54" s="97">
        <v>3.9E-2</v>
      </c>
      <c r="W54" s="117" t="s">
        <v>344</v>
      </c>
      <c r="X54" s="117" t="s">
        <v>344</v>
      </c>
    </row>
    <row r="55" spans="1:24" ht="15.75" customHeight="1" x14ac:dyDescent="0.2">
      <c r="A55" s="30" t="s">
        <v>210</v>
      </c>
      <c r="B55" s="17" t="s">
        <v>47</v>
      </c>
      <c r="C55" s="17" t="s">
        <v>17</v>
      </c>
      <c r="D55" s="48">
        <v>2.8999999999999998E-2</v>
      </c>
      <c r="E55" s="48">
        <v>4.4999999999999998E-2</v>
      </c>
      <c r="F55" s="48">
        <v>3.7999999999999999E-2</v>
      </c>
      <c r="G55" s="48">
        <v>2.7999999999999997E-2</v>
      </c>
      <c r="H55" s="48">
        <v>4.2999999999999997E-2</v>
      </c>
      <c r="I55" s="48">
        <v>7.0000000000000007E-2</v>
      </c>
      <c r="J55" s="48">
        <v>6.2E-2</v>
      </c>
      <c r="K55" s="48">
        <v>5.4000000000000006E-2</v>
      </c>
      <c r="L55" s="48">
        <v>5.9000000000000004E-2</v>
      </c>
      <c r="M55" s="48">
        <v>3.6000000000000004E-2</v>
      </c>
      <c r="N55" s="48">
        <v>3.3000000000000002E-2</v>
      </c>
      <c r="O55" s="48">
        <v>4.2000000000000003E-2</v>
      </c>
      <c r="P55" s="48">
        <v>5.7000000000000002E-2</v>
      </c>
      <c r="Q55" s="48">
        <v>4.2000000000000003E-2</v>
      </c>
      <c r="R55" s="48">
        <v>3.5000000000000003E-2</v>
      </c>
      <c r="S55" s="48">
        <v>0.03</v>
      </c>
      <c r="T55" s="48">
        <v>0.01</v>
      </c>
      <c r="U55" s="48">
        <v>7.400000000000001E-2</v>
      </c>
      <c r="V55" s="97">
        <v>0.06</v>
      </c>
      <c r="W55" s="117" t="s">
        <v>344</v>
      </c>
      <c r="X55" s="117" t="s">
        <v>344</v>
      </c>
    </row>
    <row r="56" spans="1:24" ht="15.75" customHeight="1" x14ac:dyDescent="0.2">
      <c r="A56" s="30" t="s">
        <v>210</v>
      </c>
      <c r="B56" s="17" t="s">
        <v>47</v>
      </c>
      <c r="C56" s="17" t="s">
        <v>18</v>
      </c>
      <c r="D56" s="48">
        <v>1.7000000000000001E-2</v>
      </c>
      <c r="E56" s="48">
        <v>3.2000000000000001E-2</v>
      </c>
      <c r="F56" s="48">
        <v>5.0999999999999997E-2</v>
      </c>
      <c r="G56" s="48">
        <v>1.6E-2</v>
      </c>
      <c r="H56" s="48">
        <v>1.3000000000000001E-2</v>
      </c>
      <c r="I56" s="48">
        <v>3.6000000000000004E-2</v>
      </c>
      <c r="J56" s="48">
        <v>2.7999999999999997E-2</v>
      </c>
      <c r="K56" s="72" t="s">
        <v>208</v>
      </c>
      <c r="L56" s="72" t="s">
        <v>208</v>
      </c>
      <c r="M56" s="48">
        <v>3.4000000000000002E-2</v>
      </c>
      <c r="N56" s="48">
        <v>7.2000000000000008E-2</v>
      </c>
      <c r="O56" s="72" t="s">
        <v>208</v>
      </c>
      <c r="P56" s="48">
        <v>4.4000000000000004E-2</v>
      </c>
      <c r="Q56" s="72" t="s">
        <v>208</v>
      </c>
      <c r="R56" s="72" t="s">
        <v>208</v>
      </c>
      <c r="S56" s="72" t="s">
        <v>208</v>
      </c>
      <c r="T56" s="72" t="s">
        <v>208</v>
      </c>
      <c r="U56" s="48" t="s">
        <v>208</v>
      </c>
      <c r="V56" s="48" t="s">
        <v>208</v>
      </c>
      <c r="W56" s="117" t="s">
        <v>344</v>
      </c>
      <c r="X56" s="117" t="s">
        <v>344</v>
      </c>
    </row>
    <row r="57" spans="1:24" ht="15.75" customHeight="1" x14ac:dyDescent="0.2">
      <c r="A57" s="30" t="s">
        <v>210</v>
      </c>
      <c r="B57" s="17" t="s">
        <v>47</v>
      </c>
      <c r="C57" s="17" t="s">
        <v>19</v>
      </c>
      <c r="D57" s="48">
        <v>6.6000000000000003E-2</v>
      </c>
      <c r="E57" s="48">
        <v>5.5E-2</v>
      </c>
      <c r="F57" s="48">
        <v>5.7000000000000002E-2</v>
      </c>
      <c r="G57" s="48">
        <v>4.7E-2</v>
      </c>
      <c r="H57" s="48">
        <v>5.2000000000000005E-2</v>
      </c>
      <c r="I57" s="48">
        <v>0.08</v>
      </c>
      <c r="J57" s="48">
        <v>9.9000000000000005E-2</v>
      </c>
      <c r="K57" s="48">
        <v>0.10800000000000001</v>
      </c>
      <c r="L57" s="48">
        <v>0.10300000000000001</v>
      </c>
      <c r="M57" s="48">
        <v>6.9000000000000006E-2</v>
      </c>
      <c r="N57" s="48">
        <v>7.2999999999999995E-2</v>
      </c>
      <c r="O57" s="48">
        <v>5.5999999999999994E-2</v>
      </c>
      <c r="P57" s="48">
        <v>4.4999999999999998E-2</v>
      </c>
      <c r="Q57" s="48">
        <v>4.4000000000000004E-2</v>
      </c>
      <c r="R57" s="48">
        <v>3.3000000000000002E-2</v>
      </c>
      <c r="S57" s="48">
        <v>3.5000000000000003E-2</v>
      </c>
      <c r="T57" s="48">
        <v>4.7E-2</v>
      </c>
      <c r="U57" s="48">
        <v>6.0999999999999999E-2</v>
      </c>
      <c r="V57" s="97">
        <v>6.8000000000000005E-2</v>
      </c>
      <c r="W57" s="117" t="s">
        <v>344</v>
      </c>
      <c r="X57" s="117" t="s">
        <v>344</v>
      </c>
    </row>
    <row r="58" spans="1:24" ht="15.75" customHeight="1" x14ac:dyDescent="0.2">
      <c r="A58" s="30" t="s">
        <v>210</v>
      </c>
      <c r="B58" s="17" t="s">
        <v>47</v>
      </c>
      <c r="C58" s="17" t="s">
        <v>20</v>
      </c>
      <c r="D58" s="48">
        <v>4.4000000000000004E-2</v>
      </c>
      <c r="E58" s="48">
        <v>4.9000000000000002E-2</v>
      </c>
      <c r="F58" s="48">
        <v>4.4000000000000004E-2</v>
      </c>
      <c r="G58" s="48">
        <v>3.1E-2</v>
      </c>
      <c r="H58" s="48">
        <v>3.4000000000000002E-2</v>
      </c>
      <c r="I58" s="48">
        <v>6.7000000000000004E-2</v>
      </c>
      <c r="J58" s="48">
        <v>6.9000000000000006E-2</v>
      </c>
      <c r="K58" s="48">
        <v>6.9000000000000006E-2</v>
      </c>
      <c r="L58" s="48">
        <v>5.2000000000000005E-2</v>
      </c>
      <c r="M58" s="48">
        <v>9.0999999999999998E-2</v>
      </c>
      <c r="N58" s="48">
        <v>5.7000000000000002E-2</v>
      </c>
      <c r="O58" s="48">
        <v>4.4999999999999998E-2</v>
      </c>
      <c r="P58" s="48">
        <v>4.8000000000000001E-2</v>
      </c>
      <c r="Q58" s="48">
        <v>3.6000000000000004E-2</v>
      </c>
      <c r="R58" s="48">
        <v>3.4000000000000002E-2</v>
      </c>
      <c r="S58" s="48">
        <v>1.9E-2</v>
      </c>
      <c r="T58" s="48">
        <v>3.7000000000000005E-2</v>
      </c>
      <c r="U58" s="48">
        <v>3.6000000000000004E-2</v>
      </c>
      <c r="V58" s="97">
        <v>3.1E-2</v>
      </c>
      <c r="W58" s="117" t="s">
        <v>344</v>
      </c>
      <c r="X58" s="117" t="s">
        <v>344</v>
      </c>
    </row>
    <row r="59" spans="1:24" ht="15.75" customHeight="1" x14ac:dyDescent="0.2">
      <c r="A59" s="30" t="s">
        <v>210</v>
      </c>
      <c r="B59" s="17" t="s">
        <v>47</v>
      </c>
      <c r="C59" s="17" t="s">
        <v>21</v>
      </c>
      <c r="D59" s="48">
        <v>4.9000000000000002E-2</v>
      </c>
      <c r="E59" s="48">
        <v>0.04</v>
      </c>
      <c r="F59" s="48">
        <v>4.7E-2</v>
      </c>
      <c r="G59" s="48">
        <v>4.7E-2</v>
      </c>
      <c r="H59" s="48">
        <v>5.2999999999999999E-2</v>
      </c>
      <c r="I59" s="48">
        <v>8.199999999999999E-2</v>
      </c>
      <c r="J59" s="48">
        <v>7.4999999999999997E-2</v>
      </c>
      <c r="K59" s="48">
        <v>5.9000000000000004E-2</v>
      </c>
      <c r="L59" s="48">
        <v>8.8000000000000009E-2</v>
      </c>
      <c r="M59" s="48">
        <v>7.400000000000001E-2</v>
      </c>
      <c r="N59" s="48">
        <v>4.4000000000000004E-2</v>
      </c>
      <c r="O59" s="48">
        <v>4.9000000000000002E-2</v>
      </c>
      <c r="P59" s="48">
        <v>0.04</v>
      </c>
      <c r="Q59" s="48">
        <v>3.3000000000000002E-2</v>
      </c>
      <c r="R59" s="48">
        <v>2.5000000000000001E-2</v>
      </c>
      <c r="S59" s="48">
        <v>4.0999999999999995E-2</v>
      </c>
      <c r="T59" s="48">
        <v>3.1E-2</v>
      </c>
      <c r="U59" s="48">
        <v>3.9E-2</v>
      </c>
      <c r="V59" s="97">
        <v>3.6000000000000004E-2</v>
      </c>
      <c r="W59" s="117" t="s">
        <v>344</v>
      </c>
      <c r="X59" s="117" t="s">
        <v>344</v>
      </c>
    </row>
    <row r="60" spans="1:24" ht="15.75" customHeight="1" x14ac:dyDescent="0.2">
      <c r="A60" s="30" t="s">
        <v>210</v>
      </c>
      <c r="B60" s="17" t="s">
        <v>47</v>
      </c>
      <c r="C60" s="17" t="s">
        <v>27</v>
      </c>
      <c r="D60" s="48">
        <v>7.0999999999999994E-2</v>
      </c>
      <c r="E60" s="48">
        <v>6.7000000000000004E-2</v>
      </c>
      <c r="F60" s="48">
        <v>6.4000000000000001E-2</v>
      </c>
      <c r="G60" s="48">
        <v>6.4000000000000001E-2</v>
      </c>
      <c r="H60" s="48">
        <v>6.9000000000000006E-2</v>
      </c>
      <c r="I60" s="48">
        <v>8.5999999999999993E-2</v>
      </c>
      <c r="J60" s="48">
        <v>0.10400000000000001</v>
      </c>
      <c r="K60" s="48">
        <v>0.10800000000000001</v>
      </c>
      <c r="L60" s="48">
        <v>0.11599999999999999</v>
      </c>
      <c r="M60" s="48">
        <v>0.10099999999999999</v>
      </c>
      <c r="N60" s="48">
        <v>0.08</v>
      </c>
      <c r="O60" s="48">
        <v>6.9000000000000006E-2</v>
      </c>
      <c r="P60" s="48">
        <v>5.5E-2</v>
      </c>
      <c r="Q60" s="48">
        <v>0.05</v>
      </c>
      <c r="R60" s="48">
        <v>4.2999999999999997E-2</v>
      </c>
      <c r="S60" s="48">
        <v>4.4999999999999998E-2</v>
      </c>
      <c r="T60" s="48">
        <v>5.0999999999999997E-2</v>
      </c>
      <c r="U60" s="48">
        <v>4.4000000000000004E-2</v>
      </c>
      <c r="V60" s="97">
        <v>0.03</v>
      </c>
      <c r="W60" s="117" t="s">
        <v>344</v>
      </c>
      <c r="X60" s="117" t="s">
        <v>344</v>
      </c>
    </row>
    <row r="61" spans="1:24" ht="15.75" customHeight="1" x14ac:dyDescent="0.2">
      <c r="A61" s="30" t="s">
        <v>210</v>
      </c>
      <c r="B61" s="17" t="s">
        <v>47</v>
      </c>
      <c r="C61" s="17" t="s">
        <v>28</v>
      </c>
      <c r="D61" s="48">
        <v>3.9E-2</v>
      </c>
      <c r="E61" s="48">
        <v>4.4999999999999998E-2</v>
      </c>
      <c r="F61" s="48">
        <v>5.0999999999999997E-2</v>
      </c>
      <c r="G61" s="48">
        <v>5.2000000000000005E-2</v>
      </c>
      <c r="H61" s="48">
        <v>4.2000000000000003E-2</v>
      </c>
      <c r="I61" s="48">
        <v>6.4000000000000001E-2</v>
      </c>
      <c r="J61" s="48">
        <v>0.06</v>
      </c>
      <c r="K61" s="48">
        <v>7.6999999999999999E-2</v>
      </c>
      <c r="L61" s="48">
        <v>5.2999999999999999E-2</v>
      </c>
      <c r="M61" s="48">
        <v>7.4999999999999997E-2</v>
      </c>
      <c r="N61" s="48">
        <v>5.5E-2</v>
      </c>
      <c r="O61" s="48">
        <v>6.9000000000000006E-2</v>
      </c>
      <c r="P61" s="48">
        <v>3.9E-2</v>
      </c>
      <c r="Q61" s="48">
        <v>3.3000000000000002E-2</v>
      </c>
      <c r="R61" s="48">
        <v>3.9E-2</v>
      </c>
      <c r="S61" s="48">
        <v>2.2000000000000002E-2</v>
      </c>
      <c r="T61" s="48">
        <v>3.1E-2</v>
      </c>
      <c r="U61" s="48">
        <v>2.8999999999999998E-2</v>
      </c>
      <c r="V61" s="97">
        <v>2.2000000000000002E-2</v>
      </c>
      <c r="W61" s="117" t="s">
        <v>344</v>
      </c>
      <c r="X61" s="117" t="s">
        <v>344</v>
      </c>
    </row>
    <row r="62" spans="1:24" ht="31.5" customHeight="1" x14ac:dyDescent="0.2">
      <c r="A62" s="30" t="s">
        <v>210</v>
      </c>
      <c r="B62" s="17" t="s">
        <v>182</v>
      </c>
      <c r="C62" s="17" t="s">
        <v>54</v>
      </c>
      <c r="D62" s="48" t="s">
        <v>190</v>
      </c>
      <c r="E62" s="48" t="s">
        <v>190</v>
      </c>
      <c r="F62" s="48" t="s">
        <v>190</v>
      </c>
      <c r="G62" s="48" t="s">
        <v>190</v>
      </c>
      <c r="H62" s="48" t="s">
        <v>190</v>
      </c>
      <c r="I62" s="48" t="s">
        <v>190</v>
      </c>
      <c r="J62" s="48" t="s">
        <v>190</v>
      </c>
      <c r="K62" s="48" t="s">
        <v>190</v>
      </c>
      <c r="L62" s="74">
        <v>4.2999999999999997E-2</v>
      </c>
      <c r="M62" s="74">
        <v>4.5999999999999999E-2</v>
      </c>
      <c r="N62" s="74">
        <v>4.2000000000000003E-2</v>
      </c>
      <c r="O62" s="74">
        <v>3.3000000000000002E-2</v>
      </c>
      <c r="P62" s="74">
        <v>5.5999999999999994E-2</v>
      </c>
      <c r="Q62" s="74">
        <v>2.7000000000000003E-2</v>
      </c>
      <c r="R62" s="74">
        <v>6.0999999999999999E-2</v>
      </c>
      <c r="S62" s="74">
        <v>2.8999999999999998E-2</v>
      </c>
      <c r="T62" s="74">
        <v>5.4000000000000006E-2</v>
      </c>
      <c r="U62" s="74">
        <v>5.0999999999999997E-2</v>
      </c>
      <c r="V62" s="97">
        <v>0.06</v>
      </c>
      <c r="W62" s="117" t="s">
        <v>344</v>
      </c>
      <c r="X62" s="117" t="s">
        <v>344</v>
      </c>
    </row>
    <row r="63" spans="1:24" x14ac:dyDescent="0.2">
      <c r="A63" s="30" t="s">
        <v>210</v>
      </c>
      <c r="B63" s="17" t="s">
        <v>182</v>
      </c>
      <c r="C63" s="17" t="s">
        <v>55</v>
      </c>
      <c r="D63" s="48" t="s">
        <v>190</v>
      </c>
      <c r="E63" s="48" t="s">
        <v>190</v>
      </c>
      <c r="F63" s="48" t="s">
        <v>190</v>
      </c>
      <c r="G63" s="48" t="s">
        <v>190</v>
      </c>
      <c r="H63" s="48" t="s">
        <v>190</v>
      </c>
      <c r="I63" s="48" t="s">
        <v>190</v>
      </c>
      <c r="J63" s="48" t="s">
        <v>190</v>
      </c>
      <c r="K63" s="48" t="s">
        <v>190</v>
      </c>
      <c r="L63" s="74" t="s">
        <v>208</v>
      </c>
      <c r="M63" s="74">
        <v>0.10099999999999999</v>
      </c>
      <c r="N63" s="74" t="s">
        <v>208</v>
      </c>
      <c r="O63" s="74">
        <v>0.11800000000000001</v>
      </c>
      <c r="P63" s="74">
        <v>0.21</v>
      </c>
      <c r="Q63" s="74" t="s">
        <v>208</v>
      </c>
      <c r="R63" s="74" t="s">
        <v>208</v>
      </c>
      <c r="S63" s="74" t="s">
        <v>208</v>
      </c>
      <c r="T63" s="74" t="s">
        <v>208</v>
      </c>
      <c r="U63" s="74" t="s">
        <v>208</v>
      </c>
      <c r="V63" s="74" t="s">
        <v>208</v>
      </c>
      <c r="W63" s="117" t="s">
        <v>344</v>
      </c>
      <c r="X63" s="117" t="s">
        <v>344</v>
      </c>
    </row>
    <row r="64" spans="1:24" x14ac:dyDescent="0.2">
      <c r="A64" s="30" t="s">
        <v>210</v>
      </c>
      <c r="B64" s="17" t="s">
        <v>182</v>
      </c>
      <c r="C64" s="17" t="s">
        <v>56</v>
      </c>
      <c r="D64" s="48" t="s">
        <v>190</v>
      </c>
      <c r="E64" s="48" t="s">
        <v>190</v>
      </c>
      <c r="F64" s="48" t="s">
        <v>190</v>
      </c>
      <c r="G64" s="48" t="s">
        <v>190</v>
      </c>
      <c r="H64" s="48" t="s">
        <v>190</v>
      </c>
      <c r="I64" s="48" t="s">
        <v>190</v>
      </c>
      <c r="J64" s="48" t="s">
        <v>190</v>
      </c>
      <c r="K64" s="48" t="s">
        <v>190</v>
      </c>
      <c r="L64" s="74">
        <v>8.6999999999999994E-2</v>
      </c>
      <c r="M64" s="74">
        <v>0.13800000000000001</v>
      </c>
      <c r="N64" s="74">
        <v>0.114</v>
      </c>
      <c r="O64" s="74">
        <v>6.7000000000000004E-2</v>
      </c>
      <c r="P64" s="74">
        <v>2.7000000000000003E-2</v>
      </c>
      <c r="Q64" s="74">
        <v>7.2000000000000008E-2</v>
      </c>
      <c r="R64" s="74">
        <v>6.7000000000000004E-2</v>
      </c>
      <c r="S64" s="74">
        <v>3.3000000000000002E-2</v>
      </c>
      <c r="T64" s="74">
        <v>5.0999999999999997E-2</v>
      </c>
      <c r="U64" s="74">
        <v>3.1E-2</v>
      </c>
      <c r="V64" s="74" t="s">
        <v>208</v>
      </c>
      <c r="W64" s="117" t="s">
        <v>344</v>
      </c>
      <c r="X64" s="117" t="s">
        <v>344</v>
      </c>
    </row>
    <row r="65" spans="1:24" x14ac:dyDescent="0.2">
      <c r="A65" s="30" t="s">
        <v>210</v>
      </c>
      <c r="B65" s="17" t="s">
        <v>182</v>
      </c>
      <c r="C65" s="17" t="s">
        <v>57</v>
      </c>
      <c r="D65" s="48" t="s">
        <v>190</v>
      </c>
      <c r="E65" s="48" t="s">
        <v>190</v>
      </c>
      <c r="F65" s="48" t="s">
        <v>190</v>
      </c>
      <c r="G65" s="48" t="s">
        <v>190</v>
      </c>
      <c r="H65" s="48" t="s">
        <v>190</v>
      </c>
      <c r="I65" s="48" t="s">
        <v>190</v>
      </c>
      <c r="J65" s="48" t="s">
        <v>190</v>
      </c>
      <c r="K65" s="48" t="s">
        <v>190</v>
      </c>
      <c r="L65" s="74" t="s">
        <v>208</v>
      </c>
      <c r="M65" s="74" t="s">
        <v>208</v>
      </c>
      <c r="N65" s="74" t="s">
        <v>208</v>
      </c>
      <c r="O65" s="74" t="s">
        <v>208</v>
      </c>
      <c r="P65" s="74" t="s">
        <v>208</v>
      </c>
      <c r="Q65" s="74" t="s">
        <v>208</v>
      </c>
      <c r="R65" s="74" t="s">
        <v>208</v>
      </c>
      <c r="S65" s="74" t="s">
        <v>208</v>
      </c>
      <c r="T65" s="74" t="s">
        <v>208</v>
      </c>
      <c r="U65" s="74" t="s">
        <v>208</v>
      </c>
      <c r="V65" s="74" t="s">
        <v>208</v>
      </c>
      <c r="W65" s="117" t="s">
        <v>344</v>
      </c>
      <c r="X65" s="117" t="s">
        <v>344</v>
      </c>
    </row>
    <row r="66" spans="1:24" x14ac:dyDescent="0.2">
      <c r="A66" s="30" t="s">
        <v>210</v>
      </c>
      <c r="B66" s="17" t="s">
        <v>182</v>
      </c>
      <c r="C66" s="17" t="s">
        <v>58</v>
      </c>
      <c r="D66" s="48" t="s">
        <v>190</v>
      </c>
      <c r="E66" s="48" t="s">
        <v>190</v>
      </c>
      <c r="F66" s="48" t="s">
        <v>190</v>
      </c>
      <c r="G66" s="48" t="s">
        <v>190</v>
      </c>
      <c r="H66" s="48" t="s">
        <v>190</v>
      </c>
      <c r="I66" s="48" t="s">
        <v>190</v>
      </c>
      <c r="J66" s="48" t="s">
        <v>190</v>
      </c>
      <c r="K66" s="48" t="s">
        <v>190</v>
      </c>
      <c r="L66" s="74">
        <v>0.10099999999999999</v>
      </c>
      <c r="M66" s="74">
        <v>8.5000000000000006E-2</v>
      </c>
      <c r="N66" s="74">
        <v>7.6999999999999999E-2</v>
      </c>
      <c r="O66" s="74">
        <v>6.0999999999999999E-2</v>
      </c>
      <c r="P66" s="74">
        <v>5.2000000000000005E-2</v>
      </c>
      <c r="Q66" s="74">
        <v>4.9000000000000002E-2</v>
      </c>
      <c r="R66" s="74">
        <v>5.5E-2</v>
      </c>
      <c r="S66" s="74">
        <v>4.2000000000000003E-2</v>
      </c>
      <c r="T66" s="74">
        <v>4.7E-2</v>
      </c>
      <c r="U66" s="74">
        <v>6.4000000000000001E-2</v>
      </c>
      <c r="V66" s="97">
        <v>5.7999999999999996E-2</v>
      </c>
      <c r="W66" s="117" t="s">
        <v>344</v>
      </c>
      <c r="X66" s="117" t="s">
        <v>344</v>
      </c>
    </row>
    <row r="67" spans="1:24" x14ac:dyDescent="0.2">
      <c r="A67" s="30" t="s">
        <v>210</v>
      </c>
      <c r="B67" s="17" t="s">
        <v>182</v>
      </c>
      <c r="C67" s="17" t="s">
        <v>96</v>
      </c>
      <c r="D67" s="48" t="s">
        <v>190</v>
      </c>
      <c r="E67" s="48" t="s">
        <v>190</v>
      </c>
      <c r="F67" s="48" t="s">
        <v>190</v>
      </c>
      <c r="G67" s="48" t="s">
        <v>190</v>
      </c>
      <c r="H67" s="48" t="s">
        <v>190</v>
      </c>
      <c r="I67" s="48" t="s">
        <v>190</v>
      </c>
      <c r="J67" s="48" t="s">
        <v>190</v>
      </c>
      <c r="K67" s="48" t="s">
        <v>190</v>
      </c>
      <c r="L67" s="74">
        <v>3.1E-2</v>
      </c>
      <c r="M67" s="74">
        <v>2.4E-2</v>
      </c>
      <c r="N67" s="74">
        <v>2.1000000000000001E-2</v>
      </c>
      <c r="O67" s="74" t="s">
        <v>208</v>
      </c>
      <c r="P67" s="74">
        <v>3.7999999999999999E-2</v>
      </c>
      <c r="Q67" s="74">
        <v>4.4999999999999998E-2</v>
      </c>
      <c r="R67" s="74">
        <v>5.5999999999999994E-2</v>
      </c>
      <c r="S67" s="74" t="s">
        <v>208</v>
      </c>
      <c r="T67" s="74" t="s">
        <v>208</v>
      </c>
      <c r="U67" s="74" t="s">
        <v>208</v>
      </c>
      <c r="V67" s="74" t="s">
        <v>208</v>
      </c>
      <c r="W67" s="117" t="s">
        <v>344</v>
      </c>
      <c r="X67" s="117" t="s">
        <v>344</v>
      </c>
    </row>
    <row r="68" spans="1:24" x14ac:dyDescent="0.2">
      <c r="A68" s="30" t="s">
        <v>210</v>
      </c>
      <c r="B68" s="17" t="s">
        <v>182</v>
      </c>
      <c r="C68" s="17" t="s">
        <v>59</v>
      </c>
      <c r="D68" s="48" t="s">
        <v>190</v>
      </c>
      <c r="E68" s="48" t="s">
        <v>190</v>
      </c>
      <c r="F68" s="48" t="s">
        <v>190</v>
      </c>
      <c r="G68" s="48" t="s">
        <v>190</v>
      </c>
      <c r="H68" s="48" t="s">
        <v>190</v>
      </c>
      <c r="I68" s="48" t="s">
        <v>190</v>
      </c>
      <c r="J68" s="48" t="s">
        <v>190</v>
      </c>
      <c r="K68" s="48" t="s">
        <v>190</v>
      </c>
      <c r="L68" s="74" t="s">
        <v>208</v>
      </c>
      <c r="M68" s="74" t="s">
        <v>208</v>
      </c>
      <c r="N68" s="74" t="s">
        <v>208</v>
      </c>
      <c r="O68" s="74" t="s">
        <v>208</v>
      </c>
      <c r="P68" s="74" t="s">
        <v>208</v>
      </c>
      <c r="Q68" s="74" t="s">
        <v>208</v>
      </c>
      <c r="R68" s="74" t="s">
        <v>208</v>
      </c>
      <c r="S68" s="74" t="s">
        <v>208</v>
      </c>
      <c r="T68" s="74" t="s">
        <v>208</v>
      </c>
      <c r="U68" s="74" t="s">
        <v>208</v>
      </c>
      <c r="V68" s="74" t="s">
        <v>208</v>
      </c>
      <c r="W68" s="117" t="s">
        <v>344</v>
      </c>
      <c r="X68" s="117" t="s">
        <v>344</v>
      </c>
    </row>
    <row r="69" spans="1:24" x14ac:dyDescent="0.2">
      <c r="A69" s="30" t="s">
        <v>210</v>
      </c>
      <c r="B69" s="17" t="s">
        <v>182</v>
      </c>
      <c r="C69" s="17" t="s">
        <v>60</v>
      </c>
      <c r="D69" s="48" t="s">
        <v>190</v>
      </c>
      <c r="E69" s="48" t="s">
        <v>190</v>
      </c>
      <c r="F69" s="48" t="s">
        <v>190</v>
      </c>
      <c r="G69" s="48" t="s">
        <v>190</v>
      </c>
      <c r="H69" s="48" t="s">
        <v>190</v>
      </c>
      <c r="I69" s="48" t="s">
        <v>190</v>
      </c>
      <c r="J69" s="48" t="s">
        <v>190</v>
      </c>
      <c r="K69" s="48" t="s">
        <v>190</v>
      </c>
      <c r="L69" s="74">
        <v>8.1000000000000003E-2</v>
      </c>
      <c r="M69" s="74">
        <v>0.125</v>
      </c>
      <c r="N69" s="74" t="s">
        <v>208</v>
      </c>
      <c r="O69" s="74" t="s">
        <v>208</v>
      </c>
      <c r="P69" s="74">
        <v>7.2999999999999995E-2</v>
      </c>
      <c r="Q69" s="74" t="s">
        <v>208</v>
      </c>
      <c r="R69" s="74" t="s">
        <v>208</v>
      </c>
      <c r="S69" s="74" t="s">
        <v>208</v>
      </c>
      <c r="T69" s="74" t="s">
        <v>208</v>
      </c>
      <c r="U69" s="74" t="s">
        <v>208</v>
      </c>
      <c r="V69" s="74" t="s">
        <v>208</v>
      </c>
      <c r="W69" s="117" t="s">
        <v>344</v>
      </c>
      <c r="X69" s="117" t="s">
        <v>344</v>
      </c>
    </row>
    <row r="70" spans="1:24" x14ac:dyDescent="0.2">
      <c r="A70" s="30" t="s">
        <v>210</v>
      </c>
      <c r="B70" s="17" t="s">
        <v>182</v>
      </c>
      <c r="C70" s="17" t="s">
        <v>97</v>
      </c>
      <c r="D70" s="48" t="s">
        <v>190</v>
      </c>
      <c r="E70" s="48" t="s">
        <v>190</v>
      </c>
      <c r="F70" s="48" t="s">
        <v>190</v>
      </c>
      <c r="G70" s="48" t="s">
        <v>190</v>
      </c>
      <c r="H70" s="48" t="s">
        <v>190</v>
      </c>
      <c r="I70" s="48" t="s">
        <v>190</v>
      </c>
      <c r="J70" s="48" t="s">
        <v>190</v>
      </c>
      <c r="K70" s="48" t="s">
        <v>190</v>
      </c>
      <c r="L70" s="74">
        <v>0.10300000000000001</v>
      </c>
      <c r="M70" s="74" t="s">
        <v>208</v>
      </c>
      <c r="N70" s="74">
        <v>6.8000000000000005E-2</v>
      </c>
      <c r="O70" s="74" t="s">
        <v>208</v>
      </c>
      <c r="P70" s="74" t="s">
        <v>208</v>
      </c>
      <c r="Q70" s="74" t="s">
        <v>208</v>
      </c>
      <c r="R70" s="74" t="s">
        <v>208</v>
      </c>
      <c r="S70" s="74" t="s">
        <v>208</v>
      </c>
      <c r="T70" s="74" t="s">
        <v>208</v>
      </c>
      <c r="U70" s="74" t="s">
        <v>208</v>
      </c>
      <c r="V70" s="74" t="s">
        <v>208</v>
      </c>
      <c r="W70" s="117" t="s">
        <v>344</v>
      </c>
      <c r="X70" s="117" t="s">
        <v>344</v>
      </c>
    </row>
    <row r="71" spans="1:24" x14ac:dyDescent="0.2">
      <c r="A71" s="30" t="s">
        <v>210</v>
      </c>
      <c r="B71" s="17" t="s">
        <v>182</v>
      </c>
      <c r="C71" s="17" t="s">
        <v>61</v>
      </c>
      <c r="D71" s="48" t="s">
        <v>190</v>
      </c>
      <c r="E71" s="48" t="s">
        <v>190</v>
      </c>
      <c r="F71" s="48" t="s">
        <v>190</v>
      </c>
      <c r="G71" s="48" t="s">
        <v>190</v>
      </c>
      <c r="H71" s="48" t="s">
        <v>190</v>
      </c>
      <c r="I71" s="48" t="s">
        <v>190</v>
      </c>
      <c r="J71" s="48" t="s">
        <v>190</v>
      </c>
      <c r="K71" s="48" t="s">
        <v>190</v>
      </c>
      <c r="L71" s="74">
        <v>7.8E-2</v>
      </c>
      <c r="M71" s="74">
        <v>7.0000000000000007E-2</v>
      </c>
      <c r="N71" s="74">
        <v>6.7000000000000004E-2</v>
      </c>
      <c r="O71" s="74" t="s">
        <v>208</v>
      </c>
      <c r="P71" s="74" t="s">
        <v>208</v>
      </c>
      <c r="Q71" s="74" t="s">
        <v>208</v>
      </c>
      <c r="R71" s="74" t="s">
        <v>208</v>
      </c>
      <c r="S71" s="74" t="s">
        <v>208</v>
      </c>
      <c r="T71" s="74" t="s">
        <v>208</v>
      </c>
      <c r="U71" s="74" t="s">
        <v>208</v>
      </c>
      <c r="V71" s="74" t="s">
        <v>208</v>
      </c>
      <c r="W71" s="117" t="s">
        <v>344</v>
      </c>
      <c r="X71" s="117" t="s">
        <v>344</v>
      </c>
    </row>
    <row r="72" spans="1:24" x14ac:dyDescent="0.2">
      <c r="A72" s="30" t="s">
        <v>210</v>
      </c>
      <c r="B72" s="17" t="s">
        <v>182</v>
      </c>
      <c r="C72" s="17" t="s">
        <v>62</v>
      </c>
      <c r="D72" s="48" t="s">
        <v>190</v>
      </c>
      <c r="E72" s="48" t="s">
        <v>190</v>
      </c>
      <c r="F72" s="48" t="s">
        <v>190</v>
      </c>
      <c r="G72" s="48" t="s">
        <v>190</v>
      </c>
      <c r="H72" s="48" t="s">
        <v>190</v>
      </c>
      <c r="I72" s="48" t="s">
        <v>190</v>
      </c>
      <c r="J72" s="48" t="s">
        <v>190</v>
      </c>
      <c r="K72" s="48" t="s">
        <v>190</v>
      </c>
      <c r="L72" s="74">
        <v>0.08</v>
      </c>
      <c r="M72" s="74">
        <v>7.0000000000000007E-2</v>
      </c>
      <c r="N72" s="74">
        <v>5.4000000000000006E-2</v>
      </c>
      <c r="O72" s="74">
        <v>4.4999999999999998E-2</v>
      </c>
      <c r="P72" s="74">
        <v>4.2000000000000003E-2</v>
      </c>
      <c r="Q72" s="74">
        <v>4.4000000000000004E-2</v>
      </c>
      <c r="R72" s="74">
        <v>2.7999999999999997E-2</v>
      </c>
      <c r="S72" s="74">
        <v>4.4000000000000004E-2</v>
      </c>
      <c r="T72" s="74">
        <v>3.3000000000000002E-2</v>
      </c>
      <c r="U72" s="74">
        <v>3.1E-2</v>
      </c>
      <c r="V72" s="97">
        <v>1.2E-2</v>
      </c>
      <c r="W72" s="117" t="s">
        <v>344</v>
      </c>
      <c r="X72" s="117" t="s">
        <v>344</v>
      </c>
    </row>
    <row r="73" spans="1:24" x14ac:dyDescent="0.2">
      <c r="A73" s="30" t="s">
        <v>210</v>
      </c>
      <c r="B73" s="17" t="s">
        <v>182</v>
      </c>
      <c r="C73" s="17" t="s">
        <v>63</v>
      </c>
      <c r="D73" s="48" t="s">
        <v>190</v>
      </c>
      <c r="E73" s="48" t="s">
        <v>190</v>
      </c>
      <c r="F73" s="48" t="s">
        <v>190</v>
      </c>
      <c r="G73" s="48" t="s">
        <v>190</v>
      </c>
      <c r="H73" s="48" t="s">
        <v>190</v>
      </c>
      <c r="I73" s="48" t="s">
        <v>190</v>
      </c>
      <c r="J73" s="48" t="s">
        <v>190</v>
      </c>
      <c r="K73" s="48" t="s">
        <v>190</v>
      </c>
      <c r="L73" s="74">
        <v>9.4E-2</v>
      </c>
      <c r="M73" s="74">
        <v>5.9000000000000004E-2</v>
      </c>
      <c r="N73" s="74">
        <v>4.4999999999999998E-2</v>
      </c>
      <c r="O73" s="74">
        <v>4.5999999999999999E-2</v>
      </c>
      <c r="P73" s="74">
        <v>4.5999999999999999E-2</v>
      </c>
      <c r="Q73" s="74">
        <v>2.7999999999999997E-2</v>
      </c>
      <c r="R73" s="74">
        <v>2.3E-2</v>
      </c>
      <c r="S73" s="74">
        <v>2.2000000000000002E-2</v>
      </c>
      <c r="T73" s="74">
        <v>0.05</v>
      </c>
      <c r="U73" s="74">
        <v>1.9E-2</v>
      </c>
      <c r="V73" s="97">
        <v>6.0999999999999999E-2</v>
      </c>
      <c r="W73" s="117" t="s">
        <v>344</v>
      </c>
      <c r="X73" s="117" t="s">
        <v>344</v>
      </c>
    </row>
    <row r="74" spans="1:24" x14ac:dyDescent="0.2">
      <c r="A74" s="30" t="s">
        <v>210</v>
      </c>
      <c r="B74" s="17" t="s">
        <v>182</v>
      </c>
      <c r="C74" s="17" t="s">
        <v>64</v>
      </c>
      <c r="D74" s="48" t="s">
        <v>190</v>
      </c>
      <c r="E74" s="48" t="s">
        <v>190</v>
      </c>
      <c r="F74" s="48" t="s">
        <v>190</v>
      </c>
      <c r="G74" s="48" t="s">
        <v>190</v>
      </c>
      <c r="H74" s="48" t="s">
        <v>190</v>
      </c>
      <c r="I74" s="48" t="s">
        <v>190</v>
      </c>
      <c r="J74" s="48" t="s">
        <v>190</v>
      </c>
      <c r="K74" s="48" t="s">
        <v>190</v>
      </c>
      <c r="L74" s="74">
        <v>0.08</v>
      </c>
      <c r="M74" s="74">
        <v>9.0999999999999998E-2</v>
      </c>
      <c r="N74" s="74">
        <v>7.8E-2</v>
      </c>
      <c r="O74" s="74">
        <v>8.199999999999999E-2</v>
      </c>
      <c r="P74" s="74">
        <v>5.7999999999999996E-2</v>
      </c>
      <c r="Q74" s="74">
        <v>3.6000000000000004E-2</v>
      </c>
      <c r="R74" s="74">
        <v>5.2000000000000005E-2</v>
      </c>
      <c r="S74" s="74">
        <v>0.04</v>
      </c>
      <c r="T74" s="74">
        <v>5.0999999999999997E-2</v>
      </c>
      <c r="U74" s="74">
        <v>4.8000000000000001E-2</v>
      </c>
      <c r="V74" s="97">
        <v>5.9000000000000004E-2</v>
      </c>
      <c r="W74" s="117" t="s">
        <v>344</v>
      </c>
      <c r="X74" s="117" t="s">
        <v>344</v>
      </c>
    </row>
    <row r="75" spans="1:24" x14ac:dyDescent="0.2">
      <c r="A75" s="30" t="s">
        <v>210</v>
      </c>
      <c r="B75" s="17" t="s">
        <v>182</v>
      </c>
      <c r="C75" s="17" t="s">
        <v>65</v>
      </c>
      <c r="D75" s="48" t="s">
        <v>190</v>
      </c>
      <c r="E75" s="48" t="s">
        <v>190</v>
      </c>
      <c r="F75" s="48" t="s">
        <v>190</v>
      </c>
      <c r="G75" s="48" t="s">
        <v>190</v>
      </c>
      <c r="H75" s="48" t="s">
        <v>190</v>
      </c>
      <c r="I75" s="48" t="s">
        <v>190</v>
      </c>
      <c r="J75" s="48" t="s">
        <v>190</v>
      </c>
      <c r="K75" s="48" t="s">
        <v>190</v>
      </c>
      <c r="L75" s="74">
        <v>0.111</v>
      </c>
      <c r="M75" s="74">
        <v>9.9000000000000005E-2</v>
      </c>
      <c r="N75" s="74">
        <v>6.7000000000000004E-2</v>
      </c>
      <c r="O75" s="74">
        <v>7.0000000000000007E-2</v>
      </c>
      <c r="P75" s="74">
        <v>4.4000000000000004E-2</v>
      </c>
      <c r="Q75" s="74">
        <v>3.7999999999999999E-2</v>
      </c>
      <c r="R75" s="74">
        <v>0.04</v>
      </c>
      <c r="S75" s="74">
        <v>4.4000000000000004E-2</v>
      </c>
      <c r="T75" s="74">
        <v>5.2000000000000005E-2</v>
      </c>
      <c r="U75" s="74">
        <v>8.5999999999999993E-2</v>
      </c>
      <c r="V75" s="97">
        <v>0.05</v>
      </c>
      <c r="W75" s="117" t="s">
        <v>344</v>
      </c>
      <c r="X75" s="117" t="s">
        <v>344</v>
      </c>
    </row>
    <row r="76" spans="1:24" x14ac:dyDescent="0.2">
      <c r="A76" s="30" t="s">
        <v>210</v>
      </c>
      <c r="B76" s="17" t="s">
        <v>182</v>
      </c>
      <c r="C76" s="17" t="s">
        <v>66</v>
      </c>
      <c r="D76" s="48" t="s">
        <v>190</v>
      </c>
      <c r="E76" s="48" t="s">
        <v>190</v>
      </c>
      <c r="F76" s="48" t="s">
        <v>190</v>
      </c>
      <c r="G76" s="48" t="s">
        <v>190</v>
      </c>
      <c r="H76" s="48" t="s">
        <v>190</v>
      </c>
      <c r="I76" s="48" t="s">
        <v>190</v>
      </c>
      <c r="J76" s="48" t="s">
        <v>190</v>
      </c>
      <c r="K76" s="48" t="s">
        <v>190</v>
      </c>
      <c r="L76" s="74">
        <v>0.13800000000000001</v>
      </c>
      <c r="M76" s="74">
        <v>6.4000000000000001E-2</v>
      </c>
      <c r="N76" s="74">
        <v>9.3000000000000013E-2</v>
      </c>
      <c r="O76" s="74">
        <v>9.3000000000000013E-2</v>
      </c>
      <c r="P76" s="74" t="s">
        <v>208</v>
      </c>
      <c r="Q76" s="74" t="s">
        <v>208</v>
      </c>
      <c r="R76" s="74" t="s">
        <v>208</v>
      </c>
      <c r="S76" s="74">
        <v>3.3000000000000002E-2</v>
      </c>
      <c r="T76" s="74" t="s">
        <v>208</v>
      </c>
      <c r="U76" s="74" t="s">
        <v>208</v>
      </c>
      <c r="V76" s="74" t="s">
        <v>208</v>
      </c>
      <c r="W76" s="117" t="s">
        <v>344</v>
      </c>
      <c r="X76" s="117" t="s">
        <v>344</v>
      </c>
    </row>
    <row r="77" spans="1:24" x14ac:dyDescent="0.2">
      <c r="A77" s="30" t="s">
        <v>210</v>
      </c>
      <c r="B77" s="17" t="s">
        <v>182</v>
      </c>
      <c r="C77" s="17" t="s">
        <v>67</v>
      </c>
      <c r="D77" s="48" t="s">
        <v>190</v>
      </c>
      <c r="E77" s="48" t="s">
        <v>190</v>
      </c>
      <c r="F77" s="48" t="s">
        <v>190</v>
      </c>
      <c r="G77" s="48" t="s">
        <v>190</v>
      </c>
      <c r="H77" s="48" t="s">
        <v>190</v>
      </c>
      <c r="I77" s="48" t="s">
        <v>190</v>
      </c>
      <c r="J77" s="48" t="s">
        <v>190</v>
      </c>
      <c r="K77" s="48" t="s">
        <v>190</v>
      </c>
      <c r="L77" s="74">
        <v>5.7000000000000002E-2</v>
      </c>
      <c r="M77" s="74">
        <v>6.5000000000000002E-2</v>
      </c>
      <c r="N77" s="74">
        <v>4.4999999999999998E-2</v>
      </c>
      <c r="O77" s="74">
        <v>5.0999999999999997E-2</v>
      </c>
      <c r="P77" s="74">
        <v>0.04</v>
      </c>
      <c r="Q77" s="74">
        <v>2.7000000000000003E-2</v>
      </c>
      <c r="R77" s="74">
        <v>4.2000000000000003E-2</v>
      </c>
      <c r="S77" s="74">
        <v>2.6000000000000002E-2</v>
      </c>
      <c r="T77" s="74">
        <v>3.7999999999999999E-2</v>
      </c>
      <c r="U77" s="74">
        <v>2.5000000000000001E-2</v>
      </c>
      <c r="V77" s="97">
        <v>1.3999999999999999E-2</v>
      </c>
      <c r="W77" s="117" t="s">
        <v>344</v>
      </c>
      <c r="X77" s="117" t="s">
        <v>344</v>
      </c>
    </row>
    <row r="78" spans="1:24" x14ac:dyDescent="0.2">
      <c r="A78" s="30" t="s">
        <v>210</v>
      </c>
      <c r="B78" s="17" t="s">
        <v>182</v>
      </c>
      <c r="C78" s="17" t="s">
        <v>68</v>
      </c>
      <c r="D78" s="48" t="s">
        <v>190</v>
      </c>
      <c r="E78" s="48" t="s">
        <v>190</v>
      </c>
      <c r="F78" s="48" t="s">
        <v>190</v>
      </c>
      <c r="G78" s="48" t="s">
        <v>190</v>
      </c>
      <c r="H78" s="48" t="s">
        <v>190</v>
      </c>
      <c r="I78" s="48" t="s">
        <v>190</v>
      </c>
      <c r="J78" s="48" t="s">
        <v>190</v>
      </c>
      <c r="K78" s="48" t="s">
        <v>190</v>
      </c>
      <c r="L78" s="74">
        <v>0.04</v>
      </c>
      <c r="M78" s="74">
        <v>4.7E-2</v>
      </c>
      <c r="N78" s="74">
        <v>5.4000000000000006E-2</v>
      </c>
      <c r="O78" s="74">
        <v>3.7000000000000005E-2</v>
      </c>
      <c r="P78" s="74">
        <v>4.2000000000000003E-2</v>
      </c>
      <c r="Q78" s="74">
        <v>4.7E-2</v>
      </c>
      <c r="R78" s="74">
        <v>5.0999999999999997E-2</v>
      </c>
      <c r="S78" s="74">
        <v>3.5000000000000003E-2</v>
      </c>
      <c r="T78" s="74">
        <v>3.1E-2</v>
      </c>
      <c r="U78" s="74">
        <v>0.03</v>
      </c>
      <c r="V78" s="97">
        <v>4.9000000000000002E-2</v>
      </c>
      <c r="W78" s="117" t="s">
        <v>344</v>
      </c>
      <c r="X78" s="117" t="s">
        <v>344</v>
      </c>
    </row>
    <row r="79" spans="1:24" x14ac:dyDescent="0.2">
      <c r="A79" s="30" t="s">
        <v>210</v>
      </c>
      <c r="B79" s="17" t="s">
        <v>182</v>
      </c>
      <c r="C79" s="17" t="s">
        <v>69</v>
      </c>
      <c r="D79" s="48" t="s">
        <v>190</v>
      </c>
      <c r="E79" s="48" t="s">
        <v>190</v>
      </c>
      <c r="F79" s="48" t="s">
        <v>190</v>
      </c>
      <c r="G79" s="48" t="s">
        <v>190</v>
      </c>
      <c r="H79" s="48" t="s">
        <v>190</v>
      </c>
      <c r="I79" s="48" t="s">
        <v>190</v>
      </c>
      <c r="J79" s="48" t="s">
        <v>190</v>
      </c>
      <c r="K79" s="48" t="s">
        <v>190</v>
      </c>
      <c r="L79" s="74">
        <v>8.199999999999999E-2</v>
      </c>
      <c r="M79" s="74">
        <v>7.4999999999999997E-2</v>
      </c>
      <c r="N79" s="74">
        <v>6.7000000000000004E-2</v>
      </c>
      <c r="O79" s="74">
        <v>5.5999999999999994E-2</v>
      </c>
      <c r="P79" s="74">
        <v>4.8000000000000001E-2</v>
      </c>
      <c r="Q79" s="74">
        <v>4.4999999999999998E-2</v>
      </c>
      <c r="R79" s="74">
        <v>2.7000000000000003E-2</v>
      </c>
      <c r="S79" s="74">
        <v>3.7000000000000005E-2</v>
      </c>
      <c r="T79" s="74">
        <v>4.4999999999999998E-2</v>
      </c>
      <c r="U79" s="74">
        <v>2.5000000000000001E-2</v>
      </c>
      <c r="V79" s="97">
        <v>0.05</v>
      </c>
      <c r="W79" s="117" t="s">
        <v>344</v>
      </c>
      <c r="X79" s="117" t="s">
        <v>344</v>
      </c>
    </row>
    <row r="80" spans="1:24" x14ac:dyDescent="0.2">
      <c r="A80" s="30" t="s">
        <v>210</v>
      </c>
      <c r="B80" s="17" t="s">
        <v>182</v>
      </c>
      <c r="C80" s="17" t="s">
        <v>70</v>
      </c>
      <c r="D80" s="48" t="s">
        <v>190</v>
      </c>
      <c r="E80" s="48" t="s">
        <v>190</v>
      </c>
      <c r="F80" s="48" t="s">
        <v>190</v>
      </c>
      <c r="G80" s="48" t="s">
        <v>190</v>
      </c>
      <c r="H80" s="48" t="s">
        <v>190</v>
      </c>
      <c r="I80" s="48" t="s">
        <v>190</v>
      </c>
      <c r="J80" s="48" t="s">
        <v>190</v>
      </c>
      <c r="K80" s="48" t="s">
        <v>190</v>
      </c>
      <c r="L80" s="74" t="s">
        <v>208</v>
      </c>
      <c r="M80" s="74" t="s">
        <v>208</v>
      </c>
      <c r="N80" s="74" t="s">
        <v>208</v>
      </c>
      <c r="O80" s="74" t="s">
        <v>208</v>
      </c>
      <c r="P80" s="74" t="s">
        <v>208</v>
      </c>
      <c r="Q80" s="74" t="s">
        <v>208</v>
      </c>
      <c r="R80" s="74" t="s">
        <v>208</v>
      </c>
      <c r="S80" s="74" t="s">
        <v>208</v>
      </c>
      <c r="T80" s="74" t="s">
        <v>208</v>
      </c>
      <c r="U80" s="74" t="s">
        <v>208</v>
      </c>
      <c r="V80" s="74" t="s">
        <v>208</v>
      </c>
      <c r="W80" s="117" t="s">
        <v>344</v>
      </c>
      <c r="X80" s="117" t="s">
        <v>344</v>
      </c>
    </row>
    <row r="81" spans="1:24" x14ac:dyDescent="0.2">
      <c r="A81" s="30" t="s">
        <v>210</v>
      </c>
      <c r="B81" s="17" t="s">
        <v>182</v>
      </c>
      <c r="C81" s="17" t="s">
        <v>71</v>
      </c>
      <c r="D81" s="48" t="s">
        <v>190</v>
      </c>
      <c r="E81" s="48" t="s">
        <v>190</v>
      </c>
      <c r="F81" s="48" t="s">
        <v>190</v>
      </c>
      <c r="G81" s="48" t="s">
        <v>190</v>
      </c>
      <c r="H81" s="48" t="s">
        <v>190</v>
      </c>
      <c r="I81" s="48" t="s">
        <v>190</v>
      </c>
      <c r="J81" s="48" t="s">
        <v>190</v>
      </c>
      <c r="K81" s="48" t="s">
        <v>190</v>
      </c>
      <c r="L81" s="74" t="s">
        <v>208</v>
      </c>
      <c r="M81" s="74">
        <v>7.0000000000000007E-2</v>
      </c>
      <c r="N81" s="74">
        <v>5.0999999999999997E-2</v>
      </c>
      <c r="O81" s="74" t="s">
        <v>208</v>
      </c>
      <c r="P81" s="74" t="s">
        <v>208</v>
      </c>
      <c r="Q81" s="74">
        <v>0.127</v>
      </c>
      <c r="R81" s="74" t="s">
        <v>208</v>
      </c>
      <c r="S81" s="74" t="s">
        <v>208</v>
      </c>
      <c r="T81" s="74" t="s">
        <v>208</v>
      </c>
      <c r="U81" s="74" t="s">
        <v>208</v>
      </c>
      <c r="V81" s="74" t="s">
        <v>208</v>
      </c>
      <c r="W81" s="117" t="s">
        <v>344</v>
      </c>
      <c r="X81" s="117" t="s">
        <v>344</v>
      </c>
    </row>
    <row r="82" spans="1:24" x14ac:dyDescent="0.2">
      <c r="A82" s="30" t="s">
        <v>210</v>
      </c>
      <c r="B82" s="17" t="s">
        <v>182</v>
      </c>
      <c r="C82" s="17" t="s">
        <v>72</v>
      </c>
      <c r="D82" s="48" t="s">
        <v>190</v>
      </c>
      <c r="E82" s="48" t="s">
        <v>190</v>
      </c>
      <c r="F82" s="48" t="s">
        <v>190</v>
      </c>
      <c r="G82" s="48" t="s">
        <v>190</v>
      </c>
      <c r="H82" s="48" t="s">
        <v>190</v>
      </c>
      <c r="I82" s="48" t="s">
        <v>190</v>
      </c>
      <c r="J82" s="48" t="s">
        <v>190</v>
      </c>
      <c r="K82" s="48" t="s">
        <v>190</v>
      </c>
      <c r="L82" s="74">
        <v>7.2000000000000008E-2</v>
      </c>
      <c r="M82" s="74">
        <v>3.1E-2</v>
      </c>
      <c r="N82" s="74">
        <v>3.4000000000000002E-2</v>
      </c>
      <c r="O82" s="74">
        <v>4.7E-2</v>
      </c>
      <c r="P82" s="74">
        <v>5.5999999999999994E-2</v>
      </c>
      <c r="Q82" s="74">
        <v>4.4000000000000004E-2</v>
      </c>
      <c r="R82" s="74">
        <v>3.5000000000000003E-2</v>
      </c>
      <c r="S82" s="74">
        <v>3.3000000000000002E-2</v>
      </c>
      <c r="T82" s="74">
        <v>9.0000000000000011E-3</v>
      </c>
      <c r="U82" s="74">
        <v>8.5999999999999993E-2</v>
      </c>
      <c r="V82" s="97">
        <v>3.7999999999999999E-2</v>
      </c>
      <c r="W82" s="117" t="s">
        <v>344</v>
      </c>
      <c r="X82" s="117" t="s">
        <v>344</v>
      </c>
    </row>
    <row r="83" spans="1:24" x14ac:dyDescent="0.2">
      <c r="A83" s="30" t="s">
        <v>210</v>
      </c>
      <c r="B83" s="17" t="s">
        <v>182</v>
      </c>
      <c r="C83" s="17" t="s">
        <v>73</v>
      </c>
      <c r="D83" s="48" t="s">
        <v>190</v>
      </c>
      <c r="E83" s="48" t="s">
        <v>190</v>
      </c>
      <c r="F83" s="48" t="s">
        <v>190</v>
      </c>
      <c r="G83" s="48" t="s">
        <v>190</v>
      </c>
      <c r="H83" s="48" t="s">
        <v>190</v>
      </c>
      <c r="I83" s="48" t="s">
        <v>190</v>
      </c>
      <c r="J83" s="48" t="s">
        <v>190</v>
      </c>
      <c r="K83" s="48" t="s">
        <v>190</v>
      </c>
      <c r="L83" s="74">
        <v>0.13900000000000001</v>
      </c>
      <c r="M83" s="74" t="s">
        <v>208</v>
      </c>
      <c r="N83" s="74" t="s">
        <v>208</v>
      </c>
      <c r="O83" s="74">
        <v>5.2000000000000005E-2</v>
      </c>
      <c r="P83" s="74" t="s">
        <v>208</v>
      </c>
      <c r="Q83" s="74">
        <v>9.0999999999999998E-2</v>
      </c>
      <c r="R83" s="74" t="s">
        <v>208</v>
      </c>
      <c r="S83" s="74" t="s">
        <v>208</v>
      </c>
      <c r="T83" s="74">
        <v>5.2999999999999999E-2</v>
      </c>
      <c r="U83" s="74" t="s">
        <v>208</v>
      </c>
      <c r="V83" s="74" t="s">
        <v>208</v>
      </c>
      <c r="W83" s="117" t="s">
        <v>344</v>
      </c>
      <c r="X83" s="117" t="s">
        <v>344</v>
      </c>
    </row>
    <row r="84" spans="1:24" x14ac:dyDescent="0.2">
      <c r="A84" s="30" t="s">
        <v>210</v>
      </c>
      <c r="B84" s="17" t="s">
        <v>182</v>
      </c>
      <c r="C84" s="17" t="s">
        <v>53</v>
      </c>
      <c r="D84" s="48" t="s">
        <v>190</v>
      </c>
      <c r="E84" s="48" t="s">
        <v>190</v>
      </c>
      <c r="F84" s="48" t="s">
        <v>190</v>
      </c>
      <c r="G84" s="48" t="s">
        <v>190</v>
      </c>
      <c r="H84" s="48" t="s">
        <v>190</v>
      </c>
      <c r="I84" s="48" t="s">
        <v>190</v>
      </c>
      <c r="J84" s="48" t="s">
        <v>190</v>
      </c>
      <c r="K84" s="48" t="s">
        <v>190</v>
      </c>
      <c r="L84" s="74">
        <v>9.5000000000000001E-2</v>
      </c>
      <c r="M84" s="74">
        <v>8.199999999999999E-2</v>
      </c>
      <c r="N84" s="74">
        <v>7.8E-2</v>
      </c>
      <c r="O84" s="74">
        <v>6.8000000000000005E-2</v>
      </c>
      <c r="P84" s="74">
        <v>4.9000000000000002E-2</v>
      </c>
      <c r="Q84" s="74">
        <v>4.7E-2</v>
      </c>
      <c r="R84" s="74">
        <v>4.9000000000000002E-2</v>
      </c>
      <c r="S84" s="74">
        <v>4.2999999999999997E-2</v>
      </c>
      <c r="T84" s="74">
        <v>4.8000000000000001E-2</v>
      </c>
      <c r="U84" s="74">
        <v>3.9E-2</v>
      </c>
      <c r="V84" s="97">
        <v>3.4000000000000002E-2</v>
      </c>
      <c r="W84" s="117" t="s">
        <v>344</v>
      </c>
      <c r="X84" s="117" t="s">
        <v>344</v>
      </c>
    </row>
    <row r="85" spans="1:24" x14ac:dyDescent="0.2">
      <c r="A85" s="30" t="s">
        <v>210</v>
      </c>
      <c r="B85" s="17" t="s">
        <v>182</v>
      </c>
      <c r="C85" s="17" t="s">
        <v>74</v>
      </c>
      <c r="D85" s="48" t="s">
        <v>190</v>
      </c>
      <c r="E85" s="48" t="s">
        <v>190</v>
      </c>
      <c r="F85" s="48" t="s">
        <v>190</v>
      </c>
      <c r="G85" s="48" t="s">
        <v>190</v>
      </c>
      <c r="H85" s="48" t="s">
        <v>190</v>
      </c>
      <c r="I85" s="48" t="s">
        <v>190</v>
      </c>
      <c r="J85" s="48" t="s">
        <v>190</v>
      </c>
      <c r="K85" s="48" t="s">
        <v>190</v>
      </c>
      <c r="L85" s="74" t="s">
        <v>208</v>
      </c>
      <c r="M85" s="74" t="s">
        <v>208</v>
      </c>
      <c r="N85" s="74" t="s">
        <v>208</v>
      </c>
      <c r="O85" s="74" t="s">
        <v>208</v>
      </c>
      <c r="P85" s="74" t="s">
        <v>208</v>
      </c>
      <c r="Q85" s="74" t="s">
        <v>208</v>
      </c>
      <c r="R85" s="74" t="s">
        <v>208</v>
      </c>
      <c r="S85" s="74" t="s">
        <v>208</v>
      </c>
      <c r="T85" s="74" t="s">
        <v>208</v>
      </c>
      <c r="U85" s="74" t="s">
        <v>208</v>
      </c>
      <c r="V85" s="74" t="s">
        <v>208</v>
      </c>
      <c r="W85" s="117" t="s">
        <v>344</v>
      </c>
      <c r="X85" s="117" t="s">
        <v>344</v>
      </c>
    </row>
    <row r="86" spans="1:24" x14ac:dyDescent="0.2">
      <c r="A86" s="30" t="s">
        <v>210</v>
      </c>
      <c r="B86" s="17" t="s">
        <v>182</v>
      </c>
      <c r="C86" s="17" t="s">
        <v>75</v>
      </c>
      <c r="D86" s="48" t="s">
        <v>190</v>
      </c>
      <c r="E86" s="48" t="s">
        <v>190</v>
      </c>
      <c r="F86" s="48" t="s">
        <v>190</v>
      </c>
      <c r="G86" s="48" t="s">
        <v>190</v>
      </c>
      <c r="H86" s="48" t="s">
        <v>190</v>
      </c>
      <c r="I86" s="48" t="s">
        <v>190</v>
      </c>
      <c r="J86" s="48" t="s">
        <v>190</v>
      </c>
      <c r="K86" s="48" t="s">
        <v>190</v>
      </c>
      <c r="L86" s="74">
        <v>0.13900000000000001</v>
      </c>
      <c r="M86" s="74">
        <v>5.7999999999999996E-2</v>
      </c>
      <c r="N86" s="74">
        <v>7.400000000000001E-2</v>
      </c>
      <c r="O86" s="74">
        <v>8.1000000000000003E-2</v>
      </c>
      <c r="P86" s="74">
        <v>5.7000000000000002E-2</v>
      </c>
      <c r="Q86" s="74">
        <v>5.7000000000000002E-2</v>
      </c>
      <c r="R86" s="74">
        <v>4.7E-2</v>
      </c>
      <c r="S86" s="74">
        <v>5.5E-2</v>
      </c>
      <c r="T86" s="74">
        <v>4.4999999999999998E-2</v>
      </c>
      <c r="U86" s="74">
        <v>4.7E-2</v>
      </c>
      <c r="V86" s="97">
        <v>2.7000000000000003E-2</v>
      </c>
      <c r="W86" s="117" t="s">
        <v>344</v>
      </c>
      <c r="X86" s="117" t="s">
        <v>344</v>
      </c>
    </row>
    <row r="87" spans="1:24" x14ac:dyDescent="0.2">
      <c r="A87" s="30" t="s">
        <v>210</v>
      </c>
      <c r="B87" s="17" t="s">
        <v>182</v>
      </c>
      <c r="C87" s="17" t="s">
        <v>76</v>
      </c>
      <c r="D87" s="48" t="s">
        <v>190</v>
      </c>
      <c r="E87" s="48" t="s">
        <v>190</v>
      </c>
      <c r="F87" s="48" t="s">
        <v>190</v>
      </c>
      <c r="G87" s="48" t="s">
        <v>190</v>
      </c>
      <c r="H87" s="48" t="s">
        <v>190</v>
      </c>
      <c r="I87" s="48" t="s">
        <v>190</v>
      </c>
      <c r="J87" s="48" t="s">
        <v>190</v>
      </c>
      <c r="K87" s="48" t="s">
        <v>190</v>
      </c>
      <c r="L87" s="74">
        <v>4.7E-2</v>
      </c>
      <c r="M87" s="74">
        <v>5.0999999999999997E-2</v>
      </c>
      <c r="N87" s="74">
        <v>3.9E-2</v>
      </c>
      <c r="O87" s="74">
        <v>0.05</v>
      </c>
      <c r="P87" s="74">
        <v>7.9000000000000001E-2</v>
      </c>
      <c r="Q87" s="74">
        <v>4.4000000000000004E-2</v>
      </c>
      <c r="R87" s="74">
        <v>2.4E-2</v>
      </c>
      <c r="S87" s="74">
        <v>2.2000000000000002E-2</v>
      </c>
      <c r="T87" s="74" t="s">
        <v>208</v>
      </c>
      <c r="U87" s="74">
        <v>0.10099999999999999</v>
      </c>
      <c r="V87" s="97">
        <v>0.128</v>
      </c>
      <c r="W87" s="117" t="s">
        <v>344</v>
      </c>
      <c r="X87" s="117" t="s">
        <v>344</v>
      </c>
    </row>
    <row r="88" spans="1:24" x14ac:dyDescent="0.2">
      <c r="A88" s="30" t="s">
        <v>210</v>
      </c>
      <c r="B88" s="17" t="s">
        <v>182</v>
      </c>
      <c r="C88" s="17" t="s">
        <v>77</v>
      </c>
      <c r="D88" s="48" t="s">
        <v>190</v>
      </c>
      <c r="E88" s="48" t="s">
        <v>190</v>
      </c>
      <c r="F88" s="48" t="s">
        <v>190</v>
      </c>
      <c r="G88" s="48" t="s">
        <v>190</v>
      </c>
      <c r="H88" s="48" t="s">
        <v>190</v>
      </c>
      <c r="I88" s="48" t="s">
        <v>190</v>
      </c>
      <c r="J88" s="48" t="s">
        <v>190</v>
      </c>
      <c r="K88" s="48" t="s">
        <v>190</v>
      </c>
      <c r="L88" s="74">
        <v>5.2999999999999999E-2</v>
      </c>
      <c r="M88" s="74">
        <v>5.5999999999999994E-2</v>
      </c>
      <c r="N88" s="74">
        <v>3.9E-2</v>
      </c>
      <c r="O88" s="74">
        <v>2.7000000000000003E-2</v>
      </c>
      <c r="P88" s="74">
        <v>2.6000000000000002E-2</v>
      </c>
      <c r="Q88" s="74">
        <v>5.7999999999999996E-2</v>
      </c>
      <c r="R88" s="74">
        <v>1.7000000000000001E-2</v>
      </c>
      <c r="S88" s="74">
        <v>3.9E-2</v>
      </c>
      <c r="T88" s="74" t="s">
        <v>208</v>
      </c>
      <c r="U88" s="74">
        <v>5.2000000000000005E-2</v>
      </c>
      <c r="V88" s="97">
        <v>0.04</v>
      </c>
      <c r="W88" s="117" t="s">
        <v>344</v>
      </c>
      <c r="X88" s="117" t="s">
        <v>344</v>
      </c>
    </row>
    <row r="89" spans="1:24" x14ac:dyDescent="0.2">
      <c r="A89" s="30" t="s">
        <v>210</v>
      </c>
      <c r="B89" s="17" t="s">
        <v>182</v>
      </c>
      <c r="C89" s="17" t="s">
        <v>78</v>
      </c>
      <c r="D89" s="48" t="s">
        <v>190</v>
      </c>
      <c r="E89" s="48" t="s">
        <v>190</v>
      </c>
      <c r="F89" s="48" t="s">
        <v>190</v>
      </c>
      <c r="G89" s="48" t="s">
        <v>190</v>
      </c>
      <c r="H89" s="48" t="s">
        <v>190</v>
      </c>
      <c r="I89" s="48" t="s">
        <v>190</v>
      </c>
      <c r="J89" s="48" t="s">
        <v>190</v>
      </c>
      <c r="K89" s="48" t="s">
        <v>190</v>
      </c>
      <c r="L89" s="74">
        <v>0.13200000000000001</v>
      </c>
      <c r="M89" s="74">
        <v>0.13800000000000001</v>
      </c>
      <c r="N89" s="74">
        <v>0.09</v>
      </c>
      <c r="O89" s="74">
        <v>0.1</v>
      </c>
      <c r="P89" s="74">
        <v>0.1</v>
      </c>
      <c r="Q89" s="74">
        <v>7.4999999999999997E-2</v>
      </c>
      <c r="R89" s="74">
        <v>4.9000000000000002E-2</v>
      </c>
      <c r="S89" s="74">
        <v>0.05</v>
      </c>
      <c r="T89" s="74">
        <v>4.5999999999999999E-2</v>
      </c>
      <c r="U89" s="74">
        <v>4.9000000000000002E-2</v>
      </c>
      <c r="V89" s="97">
        <v>0.02</v>
      </c>
      <c r="W89" s="117" t="s">
        <v>344</v>
      </c>
      <c r="X89" s="117" t="s">
        <v>344</v>
      </c>
    </row>
    <row r="90" spans="1:24" x14ac:dyDescent="0.2">
      <c r="A90" s="30" t="s">
        <v>210</v>
      </c>
      <c r="B90" s="17" t="s">
        <v>182</v>
      </c>
      <c r="C90" s="17" t="s">
        <v>79</v>
      </c>
      <c r="D90" s="48" t="s">
        <v>190</v>
      </c>
      <c r="E90" s="48" t="s">
        <v>190</v>
      </c>
      <c r="F90" s="48" t="s">
        <v>190</v>
      </c>
      <c r="G90" s="48" t="s">
        <v>190</v>
      </c>
      <c r="H90" s="48" t="s">
        <v>190</v>
      </c>
      <c r="I90" s="48" t="s">
        <v>190</v>
      </c>
      <c r="J90" s="48" t="s">
        <v>190</v>
      </c>
      <c r="K90" s="48" t="s">
        <v>190</v>
      </c>
      <c r="L90" s="74">
        <v>5.5999999999999994E-2</v>
      </c>
      <c r="M90" s="74">
        <v>7.400000000000001E-2</v>
      </c>
      <c r="N90" s="74">
        <v>5.2000000000000005E-2</v>
      </c>
      <c r="O90" s="74">
        <v>6.6000000000000003E-2</v>
      </c>
      <c r="P90" s="74">
        <v>3.9E-2</v>
      </c>
      <c r="Q90" s="74">
        <v>3.4000000000000002E-2</v>
      </c>
      <c r="R90" s="74">
        <v>3.7000000000000005E-2</v>
      </c>
      <c r="S90" s="74">
        <v>2.4E-2</v>
      </c>
      <c r="T90" s="74">
        <v>2.7999999999999997E-2</v>
      </c>
      <c r="U90" s="74">
        <v>2.6000000000000002E-2</v>
      </c>
      <c r="V90" s="97">
        <v>0.02</v>
      </c>
      <c r="W90" s="117" t="s">
        <v>344</v>
      </c>
      <c r="X90" s="117" t="s">
        <v>344</v>
      </c>
    </row>
    <row r="91" spans="1:24" x14ac:dyDescent="0.2">
      <c r="A91" s="30" t="s">
        <v>210</v>
      </c>
      <c r="B91" s="17" t="s">
        <v>182</v>
      </c>
      <c r="C91" s="17" t="s">
        <v>80</v>
      </c>
      <c r="D91" s="48" t="s">
        <v>190</v>
      </c>
      <c r="E91" s="48" t="s">
        <v>190</v>
      </c>
      <c r="F91" s="48" t="s">
        <v>190</v>
      </c>
      <c r="G91" s="48" t="s">
        <v>190</v>
      </c>
      <c r="H91" s="48" t="s">
        <v>190</v>
      </c>
      <c r="I91" s="48" t="s">
        <v>190</v>
      </c>
      <c r="J91" s="48" t="s">
        <v>190</v>
      </c>
      <c r="K91" s="48" t="s">
        <v>190</v>
      </c>
      <c r="L91" s="74">
        <v>3.4000000000000002E-2</v>
      </c>
      <c r="M91" s="74">
        <v>5.7000000000000002E-2</v>
      </c>
      <c r="N91" s="74">
        <v>3.5000000000000003E-2</v>
      </c>
      <c r="O91" s="74">
        <v>0.03</v>
      </c>
      <c r="P91" s="74" t="s">
        <v>208</v>
      </c>
      <c r="Q91" s="74" t="s">
        <v>208</v>
      </c>
      <c r="R91" s="74" t="s">
        <v>208</v>
      </c>
      <c r="S91" s="74" t="s">
        <v>208</v>
      </c>
      <c r="T91" s="74" t="s">
        <v>208</v>
      </c>
      <c r="U91" s="74" t="s">
        <v>208</v>
      </c>
      <c r="V91" s="74" t="s">
        <v>208</v>
      </c>
      <c r="W91" s="117" t="s">
        <v>344</v>
      </c>
      <c r="X91" s="117" t="s">
        <v>344</v>
      </c>
    </row>
    <row r="92" spans="1:24" x14ac:dyDescent="0.2">
      <c r="A92" s="30" t="s">
        <v>210</v>
      </c>
      <c r="B92" s="17" t="s">
        <v>182</v>
      </c>
      <c r="C92" s="17" t="s">
        <v>81</v>
      </c>
      <c r="D92" s="48" t="s">
        <v>190</v>
      </c>
      <c r="E92" s="48" t="s">
        <v>190</v>
      </c>
      <c r="F92" s="48" t="s">
        <v>190</v>
      </c>
      <c r="G92" s="48" t="s">
        <v>190</v>
      </c>
      <c r="H92" s="48" t="s">
        <v>190</v>
      </c>
      <c r="I92" s="48" t="s">
        <v>190</v>
      </c>
      <c r="J92" s="48" t="s">
        <v>190</v>
      </c>
      <c r="K92" s="48" t="s">
        <v>190</v>
      </c>
      <c r="L92" s="74">
        <v>0.105</v>
      </c>
      <c r="M92" s="74">
        <v>0.124</v>
      </c>
      <c r="N92" s="74">
        <v>7.400000000000001E-2</v>
      </c>
      <c r="O92" s="74">
        <v>5.9000000000000004E-2</v>
      </c>
      <c r="P92" s="74">
        <v>0.04</v>
      </c>
      <c r="Q92" s="74">
        <v>4.5999999999999999E-2</v>
      </c>
      <c r="R92" s="74">
        <v>0.04</v>
      </c>
      <c r="S92" s="74">
        <v>2.5000000000000001E-2</v>
      </c>
      <c r="T92" s="74">
        <v>3.7000000000000005E-2</v>
      </c>
      <c r="U92" s="74">
        <v>3.5000000000000003E-2</v>
      </c>
      <c r="V92" s="97">
        <v>2.7999999999999997E-2</v>
      </c>
      <c r="W92" s="117" t="s">
        <v>344</v>
      </c>
      <c r="X92" s="117" t="s">
        <v>344</v>
      </c>
    </row>
    <row r="93" spans="1:24" x14ac:dyDescent="0.2">
      <c r="A93" s="30" t="s">
        <v>210</v>
      </c>
      <c r="B93" s="17" t="s">
        <v>182</v>
      </c>
      <c r="C93" s="17" t="s">
        <v>82</v>
      </c>
      <c r="D93" s="48" t="s">
        <v>190</v>
      </c>
      <c r="E93" s="48" t="s">
        <v>190</v>
      </c>
      <c r="F93" s="48" t="s">
        <v>190</v>
      </c>
      <c r="G93" s="48" t="s">
        <v>190</v>
      </c>
      <c r="H93" s="48" t="s">
        <v>190</v>
      </c>
      <c r="I93" s="48" t="s">
        <v>190</v>
      </c>
      <c r="J93" s="48" t="s">
        <v>190</v>
      </c>
      <c r="K93" s="48" t="s">
        <v>190</v>
      </c>
      <c r="L93" s="74" t="s">
        <v>208</v>
      </c>
      <c r="M93" s="74" t="s">
        <v>208</v>
      </c>
      <c r="N93" s="74" t="s">
        <v>208</v>
      </c>
      <c r="O93" s="74" t="s">
        <v>208</v>
      </c>
      <c r="P93" s="74" t="s">
        <v>208</v>
      </c>
      <c r="Q93" s="74" t="s">
        <v>208</v>
      </c>
      <c r="R93" s="74" t="s">
        <v>208</v>
      </c>
      <c r="S93" s="74" t="s">
        <v>208</v>
      </c>
      <c r="T93" s="74" t="s">
        <v>208</v>
      </c>
      <c r="U93" s="74" t="s">
        <v>208</v>
      </c>
      <c r="V93" s="74" t="s">
        <v>208</v>
      </c>
      <c r="W93" s="117" t="s">
        <v>344</v>
      </c>
      <c r="X93" s="117" t="s">
        <v>344</v>
      </c>
    </row>
    <row r="94" spans="1:24" x14ac:dyDescent="0.2">
      <c r="A94" s="30" t="s">
        <v>210</v>
      </c>
      <c r="B94" s="17" t="s">
        <v>182</v>
      </c>
      <c r="C94" s="17" t="s">
        <v>83</v>
      </c>
      <c r="D94" s="48" t="s">
        <v>190</v>
      </c>
      <c r="E94" s="48" t="s">
        <v>190</v>
      </c>
      <c r="F94" s="48" t="s">
        <v>190</v>
      </c>
      <c r="G94" s="48" t="s">
        <v>190</v>
      </c>
      <c r="H94" s="48" t="s">
        <v>190</v>
      </c>
      <c r="I94" s="48" t="s">
        <v>190</v>
      </c>
      <c r="J94" s="48" t="s">
        <v>190</v>
      </c>
      <c r="K94" s="48" t="s">
        <v>190</v>
      </c>
      <c r="L94" s="74">
        <v>0.12300000000000001</v>
      </c>
      <c r="M94" s="74">
        <v>7.5999999999999998E-2</v>
      </c>
      <c r="N94" s="74" t="s">
        <v>208</v>
      </c>
      <c r="O94" s="74">
        <v>6.6000000000000003E-2</v>
      </c>
      <c r="P94" s="74" t="s">
        <v>208</v>
      </c>
      <c r="Q94" s="74" t="s">
        <v>208</v>
      </c>
      <c r="R94" s="74" t="s">
        <v>208</v>
      </c>
      <c r="S94" s="74" t="s">
        <v>208</v>
      </c>
      <c r="T94" s="74" t="s">
        <v>208</v>
      </c>
      <c r="U94" s="74">
        <v>0.21299999999999999</v>
      </c>
      <c r="V94" s="74" t="s">
        <v>208</v>
      </c>
      <c r="W94" s="117" t="s">
        <v>344</v>
      </c>
      <c r="X94" s="117" t="s">
        <v>344</v>
      </c>
    </row>
    <row r="95" spans="1:24" x14ac:dyDescent="0.2">
      <c r="A95" s="30" t="s">
        <v>210</v>
      </c>
      <c r="B95" s="17" t="s">
        <v>182</v>
      </c>
      <c r="C95" s="17" t="s">
        <v>84</v>
      </c>
      <c r="D95" s="48" t="s">
        <v>190</v>
      </c>
      <c r="E95" s="48" t="s">
        <v>190</v>
      </c>
      <c r="F95" s="48" t="s">
        <v>190</v>
      </c>
      <c r="G95" s="48" t="s">
        <v>190</v>
      </c>
      <c r="H95" s="48" t="s">
        <v>190</v>
      </c>
      <c r="I95" s="48" t="s">
        <v>190</v>
      </c>
      <c r="J95" s="48" t="s">
        <v>190</v>
      </c>
      <c r="K95" s="48" t="s">
        <v>190</v>
      </c>
      <c r="L95" s="74" t="s">
        <v>208</v>
      </c>
      <c r="M95" s="74" t="s">
        <v>208</v>
      </c>
      <c r="N95" s="74">
        <v>2.5000000000000001E-2</v>
      </c>
      <c r="O95" s="74" t="s">
        <v>208</v>
      </c>
      <c r="P95" s="74" t="s">
        <v>208</v>
      </c>
      <c r="Q95" s="74" t="s">
        <v>208</v>
      </c>
      <c r="R95" s="74" t="s">
        <v>208</v>
      </c>
      <c r="S95" s="74" t="s">
        <v>208</v>
      </c>
      <c r="T95" s="74" t="s">
        <v>208</v>
      </c>
      <c r="U95" s="74" t="s">
        <v>208</v>
      </c>
      <c r="V95" s="74" t="s">
        <v>208</v>
      </c>
      <c r="W95" s="117" t="s">
        <v>344</v>
      </c>
      <c r="X95" s="117" t="s">
        <v>344</v>
      </c>
    </row>
    <row r="96" spans="1:24" x14ac:dyDescent="0.2">
      <c r="A96" s="30" t="s">
        <v>210</v>
      </c>
      <c r="B96" s="17" t="s">
        <v>182</v>
      </c>
      <c r="C96" s="17" t="s">
        <v>15</v>
      </c>
      <c r="D96" s="48" t="s">
        <v>190</v>
      </c>
      <c r="E96" s="48" t="s">
        <v>190</v>
      </c>
      <c r="F96" s="48" t="s">
        <v>190</v>
      </c>
      <c r="G96" s="48" t="s">
        <v>190</v>
      </c>
      <c r="H96" s="48" t="s">
        <v>190</v>
      </c>
      <c r="I96" s="48" t="s">
        <v>190</v>
      </c>
      <c r="J96" s="48" t="s">
        <v>190</v>
      </c>
      <c r="K96" s="48" t="s">
        <v>190</v>
      </c>
      <c r="L96" s="74">
        <v>5.2000000000000005E-2</v>
      </c>
      <c r="M96" s="74" t="s">
        <v>208</v>
      </c>
      <c r="N96" s="74">
        <v>2.5000000000000001E-2</v>
      </c>
      <c r="O96" s="74" t="s">
        <v>208</v>
      </c>
      <c r="P96" s="74" t="s">
        <v>208</v>
      </c>
      <c r="Q96" s="74" t="s">
        <v>208</v>
      </c>
      <c r="R96" s="74" t="s">
        <v>208</v>
      </c>
      <c r="S96" s="74" t="s">
        <v>208</v>
      </c>
      <c r="T96" s="74" t="s">
        <v>208</v>
      </c>
      <c r="U96" s="74">
        <v>8.6999999999999994E-2</v>
      </c>
      <c r="V96" s="74" t="s">
        <v>208</v>
      </c>
      <c r="W96" s="117" t="s">
        <v>344</v>
      </c>
      <c r="X96" s="117" t="s">
        <v>344</v>
      </c>
    </row>
    <row r="97" spans="1:24" x14ac:dyDescent="0.2">
      <c r="A97" s="30" t="s">
        <v>210</v>
      </c>
      <c r="B97" s="17" t="s">
        <v>182</v>
      </c>
      <c r="C97" s="17" t="s">
        <v>85</v>
      </c>
      <c r="D97" s="48" t="s">
        <v>190</v>
      </c>
      <c r="E97" s="48" t="s">
        <v>190</v>
      </c>
      <c r="F97" s="48" t="s">
        <v>190</v>
      </c>
      <c r="G97" s="48" t="s">
        <v>190</v>
      </c>
      <c r="H97" s="48" t="s">
        <v>190</v>
      </c>
      <c r="I97" s="48" t="s">
        <v>190</v>
      </c>
      <c r="J97" s="48" t="s">
        <v>190</v>
      </c>
      <c r="K97" s="48" t="s">
        <v>190</v>
      </c>
      <c r="L97" s="74">
        <v>7.4999999999999997E-2</v>
      </c>
      <c r="M97" s="74">
        <v>6.8000000000000005E-2</v>
      </c>
      <c r="N97" s="74">
        <v>0.04</v>
      </c>
      <c r="O97" s="74">
        <v>4.5999999999999999E-2</v>
      </c>
      <c r="P97" s="74">
        <v>3.5000000000000003E-2</v>
      </c>
      <c r="Q97" s="74">
        <v>3.3000000000000002E-2</v>
      </c>
      <c r="R97" s="74">
        <v>3.7000000000000005E-2</v>
      </c>
      <c r="S97" s="74">
        <v>2.6000000000000002E-2</v>
      </c>
      <c r="T97" s="74">
        <v>5.0999999999999997E-2</v>
      </c>
      <c r="U97" s="74">
        <v>0.02</v>
      </c>
      <c r="V97" s="97">
        <v>2.5000000000000001E-2</v>
      </c>
      <c r="W97" s="117" t="s">
        <v>344</v>
      </c>
      <c r="X97" s="117" t="s">
        <v>344</v>
      </c>
    </row>
    <row r="98" spans="1:24" x14ac:dyDescent="0.2">
      <c r="A98" s="30" t="s">
        <v>210</v>
      </c>
      <c r="B98" s="17" t="s">
        <v>182</v>
      </c>
      <c r="C98" s="17" t="s">
        <v>86</v>
      </c>
      <c r="D98" s="48" t="s">
        <v>190</v>
      </c>
      <c r="E98" s="48" t="s">
        <v>190</v>
      </c>
      <c r="F98" s="48" t="s">
        <v>190</v>
      </c>
      <c r="G98" s="48" t="s">
        <v>190</v>
      </c>
      <c r="H98" s="48" t="s">
        <v>190</v>
      </c>
      <c r="I98" s="48" t="s">
        <v>190</v>
      </c>
      <c r="J98" s="48" t="s">
        <v>190</v>
      </c>
      <c r="K98" s="48" t="s">
        <v>190</v>
      </c>
      <c r="L98" s="74">
        <v>7.8E-2</v>
      </c>
      <c r="M98" s="74">
        <v>3.9E-2</v>
      </c>
      <c r="N98" s="74">
        <v>4.4999999999999998E-2</v>
      </c>
      <c r="O98" s="74" t="s">
        <v>208</v>
      </c>
      <c r="P98" s="74">
        <v>7.9000000000000001E-2</v>
      </c>
      <c r="Q98" s="74">
        <v>0.06</v>
      </c>
      <c r="R98" s="74" t="s">
        <v>208</v>
      </c>
      <c r="S98" s="74">
        <v>5.2000000000000005E-2</v>
      </c>
      <c r="T98" s="74" t="s">
        <v>208</v>
      </c>
      <c r="U98" s="74" t="s">
        <v>208</v>
      </c>
      <c r="V98" s="74" t="s">
        <v>208</v>
      </c>
      <c r="W98" s="117" t="s">
        <v>344</v>
      </c>
      <c r="X98" s="117" t="s">
        <v>344</v>
      </c>
    </row>
    <row r="99" spans="1:24" x14ac:dyDescent="0.2">
      <c r="A99" s="30" t="s">
        <v>210</v>
      </c>
      <c r="B99" s="17" t="s">
        <v>182</v>
      </c>
      <c r="C99" s="17" t="s">
        <v>87</v>
      </c>
      <c r="D99" s="48" t="s">
        <v>190</v>
      </c>
      <c r="E99" s="48" t="s">
        <v>190</v>
      </c>
      <c r="F99" s="48" t="s">
        <v>190</v>
      </c>
      <c r="G99" s="48" t="s">
        <v>190</v>
      </c>
      <c r="H99" s="48" t="s">
        <v>190</v>
      </c>
      <c r="I99" s="48" t="s">
        <v>190</v>
      </c>
      <c r="J99" s="48" t="s">
        <v>190</v>
      </c>
      <c r="K99" s="48" t="s">
        <v>190</v>
      </c>
      <c r="L99" s="74">
        <v>5.5999999999999994E-2</v>
      </c>
      <c r="M99" s="74">
        <v>4.4000000000000004E-2</v>
      </c>
      <c r="N99" s="74">
        <v>7.6999999999999999E-2</v>
      </c>
      <c r="O99" s="74" t="s">
        <v>208</v>
      </c>
      <c r="P99" s="74" t="s">
        <v>208</v>
      </c>
      <c r="Q99" s="74" t="s">
        <v>208</v>
      </c>
      <c r="R99" s="74" t="s">
        <v>208</v>
      </c>
      <c r="S99" s="74" t="s">
        <v>208</v>
      </c>
      <c r="T99" s="74" t="s">
        <v>208</v>
      </c>
      <c r="U99" s="74" t="s">
        <v>208</v>
      </c>
      <c r="V99" s="74" t="s">
        <v>208</v>
      </c>
      <c r="W99" s="117" t="s">
        <v>344</v>
      </c>
      <c r="X99" s="117" t="s">
        <v>344</v>
      </c>
    </row>
    <row r="100" spans="1:24" x14ac:dyDescent="0.2">
      <c r="A100" s="30" t="s">
        <v>210</v>
      </c>
      <c r="B100" s="17" t="s">
        <v>182</v>
      </c>
      <c r="C100" s="17" t="s">
        <v>88</v>
      </c>
      <c r="D100" s="48" t="s">
        <v>190</v>
      </c>
      <c r="E100" s="48" t="s">
        <v>190</v>
      </c>
      <c r="F100" s="48" t="s">
        <v>190</v>
      </c>
      <c r="G100" s="48" t="s">
        <v>190</v>
      </c>
      <c r="H100" s="48" t="s">
        <v>190</v>
      </c>
      <c r="I100" s="48" t="s">
        <v>190</v>
      </c>
      <c r="J100" s="48" t="s">
        <v>190</v>
      </c>
      <c r="K100" s="48" t="s">
        <v>190</v>
      </c>
      <c r="L100" s="74" t="s">
        <v>208</v>
      </c>
      <c r="M100" s="74" t="s">
        <v>208</v>
      </c>
      <c r="N100" s="74" t="s">
        <v>208</v>
      </c>
      <c r="O100" s="74" t="s">
        <v>208</v>
      </c>
      <c r="P100" s="74" t="s">
        <v>208</v>
      </c>
      <c r="Q100" s="74" t="s">
        <v>208</v>
      </c>
      <c r="R100" s="74" t="s">
        <v>208</v>
      </c>
      <c r="S100" s="74" t="s">
        <v>208</v>
      </c>
      <c r="T100" s="74" t="s">
        <v>208</v>
      </c>
      <c r="U100" s="74" t="s">
        <v>208</v>
      </c>
      <c r="V100" s="74" t="s">
        <v>208</v>
      </c>
      <c r="W100" s="117" t="s">
        <v>344</v>
      </c>
      <c r="X100" s="117" t="s">
        <v>344</v>
      </c>
    </row>
    <row r="101" spans="1:24" x14ac:dyDescent="0.2">
      <c r="A101" s="30" t="s">
        <v>210</v>
      </c>
      <c r="B101" s="17" t="s">
        <v>182</v>
      </c>
      <c r="C101" s="17" t="s">
        <v>18</v>
      </c>
      <c r="D101" s="48" t="s">
        <v>190</v>
      </c>
      <c r="E101" s="48" t="s">
        <v>190</v>
      </c>
      <c r="F101" s="48" t="s">
        <v>190</v>
      </c>
      <c r="G101" s="48" t="s">
        <v>190</v>
      </c>
      <c r="H101" s="48" t="s">
        <v>190</v>
      </c>
      <c r="I101" s="48" t="s">
        <v>190</v>
      </c>
      <c r="J101" s="48" t="s">
        <v>190</v>
      </c>
      <c r="K101" s="48" t="s">
        <v>190</v>
      </c>
      <c r="L101" s="74" t="s">
        <v>208</v>
      </c>
      <c r="M101" s="74">
        <v>3.4000000000000002E-2</v>
      </c>
      <c r="N101" s="74">
        <v>7.2000000000000008E-2</v>
      </c>
      <c r="O101" s="74" t="s">
        <v>208</v>
      </c>
      <c r="P101" s="74">
        <v>4.4000000000000004E-2</v>
      </c>
      <c r="Q101" s="74" t="s">
        <v>208</v>
      </c>
      <c r="R101" s="74" t="s">
        <v>208</v>
      </c>
      <c r="S101" s="74" t="s">
        <v>208</v>
      </c>
      <c r="T101" s="74" t="s">
        <v>208</v>
      </c>
      <c r="U101" s="74" t="s">
        <v>208</v>
      </c>
      <c r="V101" s="74" t="s">
        <v>208</v>
      </c>
      <c r="W101" s="117" t="s">
        <v>344</v>
      </c>
      <c r="X101" s="117" t="s">
        <v>344</v>
      </c>
    </row>
    <row r="102" spans="1:24" x14ac:dyDescent="0.2">
      <c r="A102" s="30" t="s">
        <v>210</v>
      </c>
      <c r="B102" s="17" t="s">
        <v>182</v>
      </c>
      <c r="C102" s="17" t="s">
        <v>89</v>
      </c>
      <c r="D102" s="48" t="s">
        <v>190</v>
      </c>
      <c r="E102" s="48" t="s">
        <v>190</v>
      </c>
      <c r="F102" s="48" t="s">
        <v>190</v>
      </c>
      <c r="G102" s="48" t="s">
        <v>190</v>
      </c>
      <c r="H102" s="48" t="s">
        <v>190</v>
      </c>
      <c r="I102" s="48" t="s">
        <v>190</v>
      </c>
      <c r="J102" s="48" t="s">
        <v>190</v>
      </c>
      <c r="K102" s="48" t="s">
        <v>190</v>
      </c>
      <c r="L102" s="74" t="s">
        <v>208</v>
      </c>
      <c r="M102" s="74">
        <v>7.400000000000001E-2</v>
      </c>
      <c r="N102" s="74" t="s">
        <v>208</v>
      </c>
      <c r="O102" s="74">
        <v>0.1</v>
      </c>
      <c r="P102" s="74" t="s">
        <v>208</v>
      </c>
      <c r="Q102" s="74" t="s">
        <v>208</v>
      </c>
      <c r="R102" s="74" t="s">
        <v>208</v>
      </c>
      <c r="S102" s="74" t="s">
        <v>208</v>
      </c>
      <c r="T102" s="74">
        <v>0.11</v>
      </c>
      <c r="U102" s="74" t="s">
        <v>208</v>
      </c>
      <c r="V102" s="74" t="s">
        <v>208</v>
      </c>
      <c r="W102" s="117" t="s">
        <v>344</v>
      </c>
      <c r="X102" s="117" t="s">
        <v>344</v>
      </c>
    </row>
    <row r="103" spans="1:24" x14ac:dyDescent="0.2">
      <c r="A103" s="30" t="s">
        <v>210</v>
      </c>
      <c r="B103" s="17" t="s">
        <v>182</v>
      </c>
      <c r="C103" s="17" t="s">
        <v>90</v>
      </c>
      <c r="D103" s="48" t="s">
        <v>190</v>
      </c>
      <c r="E103" s="48" t="s">
        <v>190</v>
      </c>
      <c r="F103" s="48" t="s">
        <v>190</v>
      </c>
      <c r="G103" s="48" t="s">
        <v>190</v>
      </c>
      <c r="H103" s="48" t="s">
        <v>190</v>
      </c>
      <c r="I103" s="48" t="s">
        <v>190</v>
      </c>
      <c r="J103" s="48" t="s">
        <v>190</v>
      </c>
      <c r="K103" s="48" t="s">
        <v>190</v>
      </c>
      <c r="L103" s="74">
        <v>0.1</v>
      </c>
      <c r="M103" s="74">
        <v>0.126</v>
      </c>
      <c r="N103" s="74">
        <v>7.400000000000001E-2</v>
      </c>
      <c r="O103" s="74">
        <v>8.5000000000000006E-2</v>
      </c>
      <c r="P103" s="74">
        <v>5.7999999999999996E-2</v>
      </c>
      <c r="Q103" s="74" t="s">
        <v>208</v>
      </c>
      <c r="R103" s="74" t="s">
        <v>208</v>
      </c>
      <c r="S103" s="74" t="s">
        <v>208</v>
      </c>
      <c r="T103" s="74" t="s">
        <v>208</v>
      </c>
      <c r="U103" s="74" t="s">
        <v>208</v>
      </c>
      <c r="V103" s="74" t="s">
        <v>208</v>
      </c>
      <c r="W103" s="117" t="s">
        <v>344</v>
      </c>
      <c r="X103" s="117" t="s">
        <v>344</v>
      </c>
    </row>
    <row r="104" spans="1:24" x14ac:dyDescent="0.2">
      <c r="A104" s="30" t="s">
        <v>210</v>
      </c>
      <c r="B104" s="17" t="s">
        <v>182</v>
      </c>
      <c r="C104" s="17" t="s">
        <v>91</v>
      </c>
      <c r="D104" s="48" t="s">
        <v>190</v>
      </c>
      <c r="E104" s="48" t="s">
        <v>190</v>
      </c>
      <c r="F104" s="48" t="s">
        <v>190</v>
      </c>
      <c r="G104" s="48" t="s">
        <v>190</v>
      </c>
      <c r="H104" s="48" t="s">
        <v>190</v>
      </c>
      <c r="I104" s="48" t="s">
        <v>190</v>
      </c>
      <c r="J104" s="48" t="s">
        <v>190</v>
      </c>
      <c r="K104" s="48" t="s">
        <v>190</v>
      </c>
      <c r="L104" s="74" t="s">
        <v>208</v>
      </c>
      <c r="M104" s="74" t="s">
        <v>208</v>
      </c>
      <c r="N104" s="74">
        <v>0.122</v>
      </c>
      <c r="O104" s="74" t="s">
        <v>208</v>
      </c>
      <c r="P104" s="74" t="s">
        <v>208</v>
      </c>
      <c r="Q104" s="74" t="s">
        <v>208</v>
      </c>
      <c r="R104" s="74" t="s">
        <v>208</v>
      </c>
      <c r="S104" s="74" t="s">
        <v>208</v>
      </c>
      <c r="T104" s="74" t="s">
        <v>208</v>
      </c>
      <c r="U104" s="74" t="s">
        <v>208</v>
      </c>
      <c r="V104" s="74" t="s">
        <v>208</v>
      </c>
      <c r="W104" s="117" t="s">
        <v>344</v>
      </c>
      <c r="X104" s="117" t="s">
        <v>344</v>
      </c>
    </row>
    <row r="105" spans="1:24" x14ac:dyDescent="0.2">
      <c r="A105" s="30" t="s">
        <v>210</v>
      </c>
      <c r="B105" s="17" t="s">
        <v>182</v>
      </c>
      <c r="C105" s="17" t="s">
        <v>92</v>
      </c>
      <c r="D105" s="48" t="s">
        <v>190</v>
      </c>
      <c r="E105" s="48" t="s">
        <v>190</v>
      </c>
      <c r="F105" s="48" t="s">
        <v>190</v>
      </c>
      <c r="G105" s="48" t="s">
        <v>190</v>
      </c>
      <c r="H105" s="48" t="s">
        <v>190</v>
      </c>
      <c r="I105" s="48" t="s">
        <v>190</v>
      </c>
      <c r="J105" s="48" t="s">
        <v>190</v>
      </c>
      <c r="K105" s="48" t="s">
        <v>190</v>
      </c>
      <c r="L105" s="74" t="s">
        <v>208</v>
      </c>
      <c r="M105" s="74" t="s">
        <v>208</v>
      </c>
      <c r="N105" s="74">
        <v>4.4999999999999998E-2</v>
      </c>
      <c r="O105" s="74">
        <v>6.8000000000000005E-2</v>
      </c>
      <c r="P105" s="74">
        <v>8.3000000000000004E-2</v>
      </c>
      <c r="Q105" s="74">
        <v>5.2000000000000005E-2</v>
      </c>
      <c r="R105" s="74" t="s">
        <v>208</v>
      </c>
      <c r="S105" s="74" t="s">
        <v>208</v>
      </c>
      <c r="T105" s="74" t="s">
        <v>208</v>
      </c>
      <c r="U105" s="74" t="s">
        <v>208</v>
      </c>
      <c r="V105" s="74" t="s">
        <v>208</v>
      </c>
      <c r="W105" s="117" t="s">
        <v>344</v>
      </c>
      <c r="X105" s="117" t="s">
        <v>344</v>
      </c>
    </row>
    <row r="106" spans="1:24" x14ac:dyDescent="0.2">
      <c r="A106" s="30" t="s">
        <v>210</v>
      </c>
      <c r="B106" s="17" t="s">
        <v>182</v>
      </c>
      <c r="C106" s="17" t="s">
        <v>93</v>
      </c>
      <c r="D106" s="48" t="s">
        <v>190</v>
      </c>
      <c r="E106" s="48" t="s">
        <v>190</v>
      </c>
      <c r="F106" s="48" t="s">
        <v>190</v>
      </c>
      <c r="G106" s="48" t="s">
        <v>190</v>
      </c>
      <c r="H106" s="48" t="s">
        <v>190</v>
      </c>
      <c r="I106" s="48" t="s">
        <v>190</v>
      </c>
      <c r="J106" s="48" t="s">
        <v>190</v>
      </c>
      <c r="K106" s="48" t="s">
        <v>190</v>
      </c>
      <c r="L106" s="74" t="s">
        <v>208</v>
      </c>
      <c r="M106" s="74" t="s">
        <v>208</v>
      </c>
      <c r="N106" s="74" t="s">
        <v>208</v>
      </c>
      <c r="O106" s="74" t="s">
        <v>208</v>
      </c>
      <c r="P106" s="74" t="s">
        <v>208</v>
      </c>
      <c r="Q106" s="74" t="s">
        <v>208</v>
      </c>
      <c r="R106" s="74" t="s">
        <v>208</v>
      </c>
      <c r="S106" s="74" t="s">
        <v>208</v>
      </c>
      <c r="T106" s="74" t="s">
        <v>208</v>
      </c>
      <c r="U106" s="74" t="s">
        <v>208</v>
      </c>
      <c r="V106" s="74" t="s">
        <v>208</v>
      </c>
      <c r="W106" s="117" t="s">
        <v>344</v>
      </c>
      <c r="X106" s="117" t="s">
        <v>344</v>
      </c>
    </row>
    <row r="107" spans="1:24" x14ac:dyDescent="0.2">
      <c r="A107" s="30" t="s">
        <v>210</v>
      </c>
      <c r="B107" s="17" t="s">
        <v>182</v>
      </c>
      <c r="C107" s="17" t="s">
        <v>94</v>
      </c>
      <c r="D107" s="48" t="s">
        <v>190</v>
      </c>
      <c r="E107" s="48" t="s">
        <v>190</v>
      </c>
      <c r="F107" s="48" t="s">
        <v>190</v>
      </c>
      <c r="G107" s="48" t="s">
        <v>190</v>
      </c>
      <c r="H107" s="48" t="s">
        <v>190</v>
      </c>
      <c r="I107" s="48" t="s">
        <v>190</v>
      </c>
      <c r="J107" s="48" t="s">
        <v>190</v>
      </c>
      <c r="K107" s="48" t="s">
        <v>190</v>
      </c>
      <c r="L107" s="74">
        <v>7.9000000000000001E-2</v>
      </c>
      <c r="M107" s="74">
        <v>7.9000000000000001E-2</v>
      </c>
      <c r="N107" s="74">
        <v>5.5E-2</v>
      </c>
      <c r="O107" s="74">
        <v>4.0999999999999995E-2</v>
      </c>
      <c r="P107" s="74">
        <v>3.7999999999999999E-2</v>
      </c>
      <c r="Q107" s="74">
        <v>2.8999999999999998E-2</v>
      </c>
      <c r="R107" s="74">
        <v>1.7000000000000001E-2</v>
      </c>
      <c r="S107" s="74">
        <v>1.1000000000000001E-2</v>
      </c>
      <c r="T107" s="74">
        <v>0.04</v>
      </c>
      <c r="U107" s="74">
        <v>2.2000000000000002E-2</v>
      </c>
      <c r="V107" s="74" t="s">
        <v>208</v>
      </c>
      <c r="W107" s="117" t="s">
        <v>344</v>
      </c>
      <c r="X107" s="117" t="s">
        <v>344</v>
      </c>
    </row>
    <row r="108" spans="1:24" x14ac:dyDescent="0.2">
      <c r="A108" s="30" t="s">
        <v>210</v>
      </c>
      <c r="B108" s="17" t="s">
        <v>182</v>
      </c>
      <c r="C108" s="17" t="s">
        <v>95</v>
      </c>
      <c r="D108" s="48" t="s">
        <v>190</v>
      </c>
      <c r="E108" s="48" t="s">
        <v>190</v>
      </c>
      <c r="F108" s="48" t="s">
        <v>190</v>
      </c>
      <c r="G108" s="48" t="s">
        <v>190</v>
      </c>
      <c r="H108" s="48" t="s">
        <v>190</v>
      </c>
      <c r="I108" s="48" t="s">
        <v>190</v>
      </c>
      <c r="J108" s="48" t="s">
        <v>190</v>
      </c>
      <c r="K108" s="48" t="s">
        <v>190</v>
      </c>
      <c r="L108" s="74">
        <v>7.2000000000000008E-2</v>
      </c>
      <c r="M108" s="74" t="s">
        <v>208</v>
      </c>
      <c r="N108" s="74" t="s">
        <v>208</v>
      </c>
      <c r="O108" s="74" t="s">
        <v>208</v>
      </c>
      <c r="P108" s="74" t="s">
        <v>208</v>
      </c>
      <c r="Q108" s="74" t="s">
        <v>208</v>
      </c>
      <c r="R108" s="74" t="s">
        <v>208</v>
      </c>
      <c r="S108" s="74" t="s">
        <v>208</v>
      </c>
      <c r="T108" s="74" t="s">
        <v>208</v>
      </c>
      <c r="U108" s="74" t="s">
        <v>208</v>
      </c>
      <c r="V108" s="74" t="s">
        <v>208</v>
      </c>
      <c r="W108" s="117" t="s">
        <v>344</v>
      </c>
      <c r="X108" s="117" t="s">
        <v>344</v>
      </c>
    </row>
    <row r="109" spans="1:24" ht="31.5" customHeight="1" x14ac:dyDescent="0.2">
      <c r="A109" s="30" t="s">
        <v>210</v>
      </c>
      <c r="B109" s="17" t="s">
        <v>183</v>
      </c>
      <c r="C109" s="17" t="s">
        <v>112</v>
      </c>
      <c r="D109" s="48" t="s">
        <v>190</v>
      </c>
      <c r="E109" s="48" t="s">
        <v>190</v>
      </c>
      <c r="F109" s="48" t="s">
        <v>190</v>
      </c>
      <c r="G109" s="48" t="s">
        <v>190</v>
      </c>
      <c r="H109" s="48" t="s">
        <v>190</v>
      </c>
      <c r="I109" s="48" t="s">
        <v>190</v>
      </c>
      <c r="J109" s="48" t="s">
        <v>190</v>
      </c>
      <c r="K109" s="48" t="s">
        <v>190</v>
      </c>
      <c r="L109" s="29">
        <v>0.08</v>
      </c>
      <c r="M109" s="29">
        <v>5.5E-2</v>
      </c>
      <c r="N109" s="29">
        <v>4.9000000000000002E-2</v>
      </c>
      <c r="O109" s="29">
        <v>5.5999999999999994E-2</v>
      </c>
      <c r="P109" s="29">
        <v>2.4E-2</v>
      </c>
      <c r="Q109" s="29">
        <v>1.3000000000000001E-2</v>
      </c>
      <c r="R109" s="29">
        <v>3.1E-2</v>
      </c>
      <c r="S109" s="29">
        <v>2.3E-2</v>
      </c>
      <c r="T109" s="29">
        <v>2.1000000000000001E-2</v>
      </c>
      <c r="U109" s="29" t="s">
        <v>208</v>
      </c>
      <c r="V109" s="48" t="s">
        <v>208</v>
      </c>
      <c r="W109" s="117" t="s">
        <v>344</v>
      </c>
      <c r="X109" s="117" t="s">
        <v>344</v>
      </c>
    </row>
    <row r="110" spans="1:24" x14ac:dyDescent="0.2">
      <c r="A110" s="30" t="s">
        <v>210</v>
      </c>
      <c r="B110" s="17" t="s">
        <v>183</v>
      </c>
      <c r="C110" s="9" t="s">
        <v>113</v>
      </c>
      <c r="D110" s="48" t="s">
        <v>190</v>
      </c>
      <c r="E110" s="48" t="s">
        <v>190</v>
      </c>
      <c r="F110" s="48" t="s">
        <v>190</v>
      </c>
      <c r="G110" s="48" t="s">
        <v>190</v>
      </c>
      <c r="H110" s="48" t="s">
        <v>190</v>
      </c>
      <c r="I110" s="48" t="s">
        <v>190</v>
      </c>
      <c r="J110" s="48" t="s">
        <v>190</v>
      </c>
      <c r="K110" s="48" t="s">
        <v>190</v>
      </c>
      <c r="L110" s="29">
        <v>4.4000000000000004E-2</v>
      </c>
      <c r="M110" s="29">
        <v>4.0999999999999995E-2</v>
      </c>
      <c r="N110" s="29">
        <v>6.6000000000000003E-2</v>
      </c>
      <c r="O110" s="29" t="s">
        <v>208</v>
      </c>
      <c r="P110" s="29">
        <v>0.04</v>
      </c>
      <c r="Q110" s="29">
        <v>3.3000000000000002E-2</v>
      </c>
      <c r="R110" s="29">
        <v>3.3000000000000002E-2</v>
      </c>
      <c r="S110" s="29" t="s">
        <v>208</v>
      </c>
      <c r="T110" s="29" t="s">
        <v>208</v>
      </c>
      <c r="U110" s="29" t="s">
        <v>208</v>
      </c>
      <c r="V110" s="48" t="s">
        <v>208</v>
      </c>
      <c r="W110" s="117" t="s">
        <v>344</v>
      </c>
      <c r="X110" s="117" t="s">
        <v>344</v>
      </c>
    </row>
    <row r="111" spans="1:24" x14ac:dyDescent="0.2">
      <c r="A111" s="30" t="s">
        <v>210</v>
      </c>
      <c r="B111" s="17" t="s">
        <v>183</v>
      </c>
      <c r="C111" s="9" t="s">
        <v>114</v>
      </c>
      <c r="D111" s="49" t="s">
        <v>190</v>
      </c>
      <c r="E111" s="49" t="s">
        <v>190</v>
      </c>
      <c r="F111" s="49" t="s">
        <v>190</v>
      </c>
      <c r="G111" s="49" t="s">
        <v>190</v>
      </c>
      <c r="H111" s="49" t="s">
        <v>190</v>
      </c>
      <c r="I111" s="49" t="s">
        <v>190</v>
      </c>
      <c r="J111" s="50" t="s">
        <v>190</v>
      </c>
      <c r="K111" s="50" t="s">
        <v>190</v>
      </c>
      <c r="L111" s="75">
        <v>4.8000000000000001E-2</v>
      </c>
      <c r="M111" s="75">
        <v>0.06</v>
      </c>
      <c r="N111" s="75">
        <v>4.0999999999999995E-2</v>
      </c>
      <c r="O111" s="75">
        <v>4.2999999999999997E-2</v>
      </c>
      <c r="P111" s="75">
        <v>4.9000000000000002E-2</v>
      </c>
      <c r="Q111" s="75">
        <v>4.5999999999999999E-2</v>
      </c>
      <c r="R111" s="76">
        <v>1.9E-2</v>
      </c>
      <c r="S111" s="75">
        <v>3.4000000000000002E-2</v>
      </c>
      <c r="T111" s="75">
        <v>1.4999999999999999E-2</v>
      </c>
      <c r="U111" s="29">
        <v>4.2000000000000003E-2</v>
      </c>
      <c r="V111" s="48">
        <v>3.4000000000000002E-2</v>
      </c>
      <c r="W111" s="117" t="s">
        <v>344</v>
      </c>
      <c r="X111" s="117" t="s">
        <v>344</v>
      </c>
    </row>
    <row r="112" spans="1:24" x14ac:dyDescent="0.2">
      <c r="A112" s="30" t="s">
        <v>210</v>
      </c>
      <c r="B112" s="17" t="s">
        <v>183</v>
      </c>
      <c r="C112" s="9" t="s">
        <v>115</v>
      </c>
      <c r="D112" s="49" t="s">
        <v>190</v>
      </c>
      <c r="E112" s="49" t="s">
        <v>190</v>
      </c>
      <c r="F112" s="49" t="s">
        <v>190</v>
      </c>
      <c r="G112" s="49" t="s">
        <v>190</v>
      </c>
      <c r="H112" s="49" t="s">
        <v>190</v>
      </c>
      <c r="I112" s="49" t="s">
        <v>190</v>
      </c>
      <c r="J112" s="50" t="s">
        <v>190</v>
      </c>
      <c r="K112" s="50" t="s">
        <v>190</v>
      </c>
      <c r="L112" s="75" t="s">
        <v>208</v>
      </c>
      <c r="M112" s="75" t="s">
        <v>208</v>
      </c>
      <c r="N112" s="75" t="s">
        <v>208</v>
      </c>
      <c r="O112" s="75" t="s">
        <v>208</v>
      </c>
      <c r="P112" s="75" t="s">
        <v>208</v>
      </c>
      <c r="Q112" s="75" t="s">
        <v>208</v>
      </c>
      <c r="R112" s="76" t="s">
        <v>208</v>
      </c>
      <c r="S112" s="75" t="s">
        <v>208</v>
      </c>
      <c r="T112" s="75" t="s">
        <v>208</v>
      </c>
      <c r="U112" s="29" t="s">
        <v>208</v>
      </c>
      <c r="V112" s="48" t="s">
        <v>208</v>
      </c>
      <c r="W112" s="117" t="s">
        <v>344</v>
      </c>
      <c r="X112" s="117" t="s">
        <v>344</v>
      </c>
    </row>
    <row r="113" spans="1:24" x14ac:dyDescent="0.2">
      <c r="A113" s="30" t="s">
        <v>210</v>
      </c>
      <c r="B113" s="17" t="s">
        <v>183</v>
      </c>
      <c r="C113" s="9" t="s">
        <v>13</v>
      </c>
      <c r="D113" s="49" t="s">
        <v>190</v>
      </c>
      <c r="E113" s="49" t="s">
        <v>190</v>
      </c>
      <c r="F113" s="49" t="s">
        <v>190</v>
      </c>
      <c r="G113" s="49" t="s">
        <v>190</v>
      </c>
      <c r="H113" s="49" t="s">
        <v>190</v>
      </c>
      <c r="I113" s="49" t="s">
        <v>190</v>
      </c>
      <c r="J113" s="50" t="s">
        <v>190</v>
      </c>
      <c r="K113" s="50" t="s">
        <v>190</v>
      </c>
      <c r="L113" s="75">
        <v>4.2999999999999997E-2</v>
      </c>
      <c r="M113" s="75">
        <v>0.05</v>
      </c>
      <c r="N113" s="75">
        <v>5.0999999999999997E-2</v>
      </c>
      <c r="O113" s="75">
        <v>4.0999999999999995E-2</v>
      </c>
      <c r="P113" s="75">
        <v>4.5999999999999999E-2</v>
      </c>
      <c r="Q113" s="75">
        <v>5.2000000000000005E-2</v>
      </c>
      <c r="R113" s="76">
        <v>5.2999999999999999E-2</v>
      </c>
      <c r="S113" s="75">
        <v>3.7000000000000005E-2</v>
      </c>
      <c r="T113" s="75">
        <v>3.4000000000000002E-2</v>
      </c>
      <c r="U113" s="29">
        <v>3.2000000000000001E-2</v>
      </c>
      <c r="V113" s="48">
        <v>4.8000000000000001E-2</v>
      </c>
      <c r="W113" s="117" t="s">
        <v>344</v>
      </c>
      <c r="X113" s="117" t="s">
        <v>344</v>
      </c>
    </row>
    <row r="114" spans="1:24" x14ac:dyDescent="0.2">
      <c r="A114" s="30" t="s">
        <v>210</v>
      </c>
      <c r="B114" s="17" t="s">
        <v>183</v>
      </c>
      <c r="C114" s="9" t="s">
        <v>116</v>
      </c>
      <c r="D114" s="49" t="s">
        <v>190</v>
      </c>
      <c r="E114" s="49" t="s">
        <v>190</v>
      </c>
      <c r="F114" s="49" t="s">
        <v>190</v>
      </c>
      <c r="G114" s="49" t="s">
        <v>190</v>
      </c>
      <c r="H114" s="49" t="s">
        <v>190</v>
      </c>
      <c r="I114" s="49" t="s">
        <v>190</v>
      </c>
      <c r="J114" s="50" t="s">
        <v>190</v>
      </c>
      <c r="K114" s="50" t="s">
        <v>190</v>
      </c>
      <c r="L114" s="75">
        <v>5.2000000000000005E-2</v>
      </c>
      <c r="M114" s="75" t="s">
        <v>208</v>
      </c>
      <c r="N114" s="75">
        <v>2.5000000000000001E-2</v>
      </c>
      <c r="O114" s="75" t="s">
        <v>208</v>
      </c>
      <c r="P114" s="75" t="s">
        <v>208</v>
      </c>
      <c r="Q114" s="75" t="s">
        <v>208</v>
      </c>
      <c r="R114" s="76" t="s">
        <v>208</v>
      </c>
      <c r="S114" s="75" t="s">
        <v>208</v>
      </c>
      <c r="T114" s="75" t="s">
        <v>208</v>
      </c>
      <c r="U114" s="29">
        <v>8.6999999999999994E-2</v>
      </c>
      <c r="V114" s="48" t="s">
        <v>208</v>
      </c>
      <c r="W114" s="117" t="s">
        <v>344</v>
      </c>
      <c r="X114" s="117" t="s">
        <v>344</v>
      </c>
    </row>
    <row r="115" spans="1:24" x14ac:dyDescent="0.2">
      <c r="A115" s="30" t="s">
        <v>210</v>
      </c>
      <c r="B115" s="17" t="s">
        <v>183</v>
      </c>
      <c r="C115" s="9" t="s">
        <v>117</v>
      </c>
      <c r="D115" s="49" t="s">
        <v>190</v>
      </c>
      <c r="E115" s="49" t="s">
        <v>190</v>
      </c>
      <c r="F115" s="49" t="s">
        <v>190</v>
      </c>
      <c r="G115" s="49" t="s">
        <v>190</v>
      </c>
      <c r="H115" s="49" t="s">
        <v>190</v>
      </c>
      <c r="I115" s="49" t="s">
        <v>190</v>
      </c>
      <c r="J115" s="50" t="s">
        <v>190</v>
      </c>
      <c r="K115" s="50" t="s">
        <v>190</v>
      </c>
      <c r="L115" s="75">
        <v>7.9000000000000001E-2</v>
      </c>
      <c r="M115" s="75">
        <v>7.9000000000000001E-2</v>
      </c>
      <c r="N115" s="75">
        <v>5.5E-2</v>
      </c>
      <c r="O115" s="75">
        <v>4.0999999999999995E-2</v>
      </c>
      <c r="P115" s="75">
        <v>3.7999999999999999E-2</v>
      </c>
      <c r="Q115" s="75">
        <v>2.8999999999999998E-2</v>
      </c>
      <c r="R115" s="76">
        <v>1.7000000000000001E-2</v>
      </c>
      <c r="S115" s="75">
        <v>1.1000000000000001E-2</v>
      </c>
      <c r="T115" s="75">
        <v>0.04</v>
      </c>
      <c r="U115" s="29">
        <v>2.2000000000000002E-2</v>
      </c>
      <c r="V115" s="48" t="s">
        <v>208</v>
      </c>
      <c r="W115" s="117" t="s">
        <v>344</v>
      </c>
      <c r="X115" s="117" t="s">
        <v>344</v>
      </c>
    </row>
    <row r="116" spans="1:24" x14ac:dyDescent="0.2">
      <c r="A116" s="30" t="s">
        <v>210</v>
      </c>
      <c r="B116" s="17" t="s">
        <v>183</v>
      </c>
      <c r="C116" s="9" t="s">
        <v>118</v>
      </c>
      <c r="D116" s="49" t="s">
        <v>190</v>
      </c>
      <c r="E116" s="49" t="s">
        <v>190</v>
      </c>
      <c r="F116" s="49" t="s">
        <v>190</v>
      </c>
      <c r="G116" s="49" t="s">
        <v>190</v>
      </c>
      <c r="H116" s="49" t="s">
        <v>190</v>
      </c>
      <c r="I116" s="49" t="s">
        <v>190</v>
      </c>
      <c r="J116" s="50" t="s">
        <v>190</v>
      </c>
      <c r="K116" s="50" t="s">
        <v>190</v>
      </c>
      <c r="L116" s="75" t="s">
        <v>208</v>
      </c>
      <c r="M116" s="75">
        <v>3.4000000000000002E-2</v>
      </c>
      <c r="N116" s="75">
        <v>7.2000000000000008E-2</v>
      </c>
      <c r="O116" s="75" t="s">
        <v>208</v>
      </c>
      <c r="P116" s="75">
        <v>4.4000000000000004E-2</v>
      </c>
      <c r="Q116" s="75" t="s">
        <v>208</v>
      </c>
      <c r="R116" s="76" t="s">
        <v>208</v>
      </c>
      <c r="S116" s="75" t="s">
        <v>208</v>
      </c>
      <c r="T116" s="75" t="s">
        <v>208</v>
      </c>
      <c r="U116" s="29" t="s">
        <v>208</v>
      </c>
      <c r="V116" s="48" t="s">
        <v>208</v>
      </c>
      <c r="W116" s="117" t="s">
        <v>344</v>
      </c>
      <c r="X116" s="117" t="s">
        <v>344</v>
      </c>
    </row>
    <row r="117" spans="1:24" x14ac:dyDescent="0.2">
      <c r="A117" s="30" t="s">
        <v>210</v>
      </c>
      <c r="B117" s="17" t="s">
        <v>183</v>
      </c>
      <c r="C117" s="9" t="s">
        <v>184</v>
      </c>
      <c r="D117" s="49" t="s">
        <v>190</v>
      </c>
      <c r="E117" s="49" t="s">
        <v>190</v>
      </c>
      <c r="F117" s="49" t="s">
        <v>190</v>
      </c>
      <c r="G117" s="49" t="s">
        <v>190</v>
      </c>
      <c r="H117" s="49" t="s">
        <v>190</v>
      </c>
      <c r="I117" s="49" t="s">
        <v>190</v>
      </c>
      <c r="J117" s="50" t="s">
        <v>190</v>
      </c>
      <c r="K117" s="50" t="s">
        <v>190</v>
      </c>
      <c r="L117" s="75">
        <v>4.8000000000000001E-2</v>
      </c>
      <c r="M117" s="75">
        <v>0.05</v>
      </c>
      <c r="N117" s="75">
        <v>4.7E-2</v>
      </c>
      <c r="O117" s="75">
        <v>3.6000000000000004E-2</v>
      </c>
      <c r="P117" s="75">
        <v>3.9E-2</v>
      </c>
      <c r="Q117" s="75">
        <v>3.7000000000000005E-2</v>
      </c>
      <c r="R117" s="76">
        <v>2.7999999999999997E-2</v>
      </c>
      <c r="S117" s="75">
        <v>2.8999999999999998E-2</v>
      </c>
      <c r="T117" s="75">
        <v>2.5000000000000001E-2</v>
      </c>
      <c r="U117" s="29">
        <v>3.3000000000000002E-2</v>
      </c>
      <c r="V117" s="48">
        <v>0.03</v>
      </c>
      <c r="W117" s="117" t="s">
        <v>344</v>
      </c>
      <c r="X117" s="117" t="s">
        <v>344</v>
      </c>
    </row>
    <row r="118" spans="1:24" ht="31.5" customHeight="1" x14ac:dyDescent="0.2">
      <c r="A118" s="30" t="s">
        <v>210</v>
      </c>
      <c r="B118" s="17" t="s">
        <v>185</v>
      </c>
      <c r="C118" s="17" t="s">
        <v>111</v>
      </c>
      <c r="D118" s="50" t="s">
        <v>190</v>
      </c>
      <c r="E118" s="50" t="s">
        <v>190</v>
      </c>
      <c r="F118" s="50" t="s">
        <v>190</v>
      </c>
      <c r="G118" s="50" t="s">
        <v>190</v>
      </c>
      <c r="H118" s="50" t="s">
        <v>190</v>
      </c>
      <c r="I118" s="50" t="s">
        <v>190</v>
      </c>
      <c r="J118" s="50" t="s">
        <v>190</v>
      </c>
      <c r="K118" s="50" t="s">
        <v>190</v>
      </c>
      <c r="L118" s="50">
        <v>0.17499999999999999</v>
      </c>
      <c r="M118" s="73" t="s">
        <v>208</v>
      </c>
      <c r="N118" s="73" t="s">
        <v>208</v>
      </c>
      <c r="O118" s="50">
        <v>0.217</v>
      </c>
      <c r="P118" s="73" t="s">
        <v>208</v>
      </c>
      <c r="Q118" s="50">
        <v>0.10400000000000001</v>
      </c>
      <c r="R118" s="73" t="s">
        <v>208</v>
      </c>
      <c r="S118" s="73" t="s">
        <v>208</v>
      </c>
      <c r="T118" s="73" t="s">
        <v>208</v>
      </c>
      <c r="U118" s="73" t="s">
        <v>208</v>
      </c>
      <c r="V118" s="48" t="s">
        <v>208</v>
      </c>
      <c r="W118" s="117" t="s">
        <v>344</v>
      </c>
      <c r="X118" s="117" t="s">
        <v>344</v>
      </c>
    </row>
    <row r="119" spans="1:24" x14ac:dyDescent="0.2">
      <c r="A119" s="30" t="s">
        <v>210</v>
      </c>
      <c r="B119" s="17" t="s">
        <v>185</v>
      </c>
      <c r="C119" s="9" t="s">
        <v>186</v>
      </c>
      <c r="D119" s="49" t="s">
        <v>190</v>
      </c>
      <c r="E119" s="49" t="s">
        <v>190</v>
      </c>
      <c r="F119" s="49" t="s">
        <v>190</v>
      </c>
      <c r="G119" s="49" t="s">
        <v>190</v>
      </c>
      <c r="H119" s="49" t="s">
        <v>190</v>
      </c>
      <c r="I119" s="49" t="s">
        <v>190</v>
      </c>
      <c r="J119" s="50" t="s">
        <v>190</v>
      </c>
      <c r="K119" s="50" t="s">
        <v>190</v>
      </c>
      <c r="L119" s="50">
        <v>9.1999999999999998E-2</v>
      </c>
      <c r="M119" s="50">
        <v>7.4999999999999997E-2</v>
      </c>
      <c r="N119" s="50">
        <v>7.5999999999999998E-2</v>
      </c>
      <c r="O119" s="50">
        <v>6.4000000000000001E-2</v>
      </c>
      <c r="P119" s="50">
        <v>3.5000000000000003E-2</v>
      </c>
      <c r="Q119" s="50">
        <v>4.2999999999999997E-2</v>
      </c>
      <c r="R119" s="51">
        <v>4.2000000000000003E-2</v>
      </c>
      <c r="S119" s="50">
        <v>4.5999999999999999E-2</v>
      </c>
      <c r="T119" s="50">
        <v>3.7000000000000005E-2</v>
      </c>
      <c r="U119" s="48">
        <v>2.8000000000000001E-2</v>
      </c>
      <c r="V119" s="48">
        <v>2.2000000000000002E-2</v>
      </c>
      <c r="W119" s="117" t="s">
        <v>344</v>
      </c>
      <c r="X119" s="117" t="s">
        <v>344</v>
      </c>
    </row>
    <row r="120" spans="1:24" x14ac:dyDescent="0.2">
      <c r="A120" s="30" t="s">
        <v>210</v>
      </c>
      <c r="B120" s="17" t="s">
        <v>185</v>
      </c>
      <c r="C120" s="9" t="s">
        <v>151</v>
      </c>
      <c r="D120" s="49" t="s">
        <v>190</v>
      </c>
      <c r="E120" s="49" t="s">
        <v>190</v>
      </c>
      <c r="F120" s="49" t="s">
        <v>190</v>
      </c>
      <c r="G120" s="49" t="s">
        <v>190</v>
      </c>
      <c r="H120" s="49" t="s">
        <v>190</v>
      </c>
      <c r="I120" s="49" t="s">
        <v>190</v>
      </c>
      <c r="J120" s="50" t="s">
        <v>190</v>
      </c>
      <c r="K120" s="50" t="s">
        <v>190</v>
      </c>
      <c r="L120" s="50">
        <v>9.4E-2</v>
      </c>
      <c r="M120" s="50">
        <v>8.5000000000000006E-2</v>
      </c>
      <c r="N120" s="50">
        <v>8.3000000000000004E-2</v>
      </c>
      <c r="O120" s="50">
        <v>7.2999999999999995E-2</v>
      </c>
      <c r="P120" s="50">
        <v>0.05</v>
      </c>
      <c r="Q120" s="50">
        <v>5.5999999999999994E-2</v>
      </c>
      <c r="R120" s="51">
        <v>0.05</v>
      </c>
      <c r="S120" s="50">
        <v>3.7000000000000005E-2</v>
      </c>
      <c r="T120" s="50">
        <v>3.7000000000000005E-2</v>
      </c>
      <c r="U120" s="48">
        <v>3.4000000000000002E-2</v>
      </c>
      <c r="V120" s="48">
        <v>2.8999999999999998E-2</v>
      </c>
      <c r="W120" s="117" t="s">
        <v>344</v>
      </c>
      <c r="X120" s="117" t="s">
        <v>344</v>
      </c>
    </row>
    <row r="121" spans="1:24" ht="36" customHeight="1" x14ac:dyDescent="0.2">
      <c r="A121" s="30" t="s">
        <v>210</v>
      </c>
      <c r="B121" s="91" t="s">
        <v>270</v>
      </c>
      <c r="C121" s="92" t="s">
        <v>271</v>
      </c>
      <c r="D121" s="48" t="s">
        <v>190</v>
      </c>
      <c r="E121" s="48" t="s">
        <v>190</v>
      </c>
      <c r="F121" s="48" t="s">
        <v>190</v>
      </c>
      <c r="G121" s="48" t="s">
        <v>190</v>
      </c>
      <c r="H121" s="48" t="s">
        <v>190</v>
      </c>
      <c r="I121" s="48" t="s">
        <v>190</v>
      </c>
      <c r="J121" s="48" t="s">
        <v>190</v>
      </c>
      <c r="K121" s="48" t="s">
        <v>190</v>
      </c>
      <c r="L121" s="48" t="s">
        <v>208</v>
      </c>
      <c r="M121" s="48" t="s">
        <v>208</v>
      </c>
      <c r="N121" s="48" t="s">
        <v>208</v>
      </c>
      <c r="O121" s="48" t="s">
        <v>208</v>
      </c>
      <c r="P121" s="48" t="s">
        <v>208</v>
      </c>
      <c r="Q121" s="48" t="s">
        <v>208</v>
      </c>
      <c r="R121" s="48" t="s">
        <v>208</v>
      </c>
      <c r="S121" s="48" t="s">
        <v>208</v>
      </c>
      <c r="T121" s="48" t="s">
        <v>208</v>
      </c>
      <c r="U121" s="48" t="s">
        <v>208</v>
      </c>
      <c r="V121" s="48" t="s">
        <v>208</v>
      </c>
      <c r="W121" s="117" t="s">
        <v>344</v>
      </c>
      <c r="X121" s="117" t="s">
        <v>344</v>
      </c>
    </row>
    <row r="122" spans="1:24" x14ac:dyDescent="0.2">
      <c r="A122" s="30" t="s">
        <v>210</v>
      </c>
      <c r="B122" s="91" t="s">
        <v>270</v>
      </c>
      <c r="C122" s="92" t="s">
        <v>272</v>
      </c>
      <c r="D122" s="48" t="s">
        <v>190</v>
      </c>
      <c r="E122" s="48" t="s">
        <v>190</v>
      </c>
      <c r="F122" s="48" t="s">
        <v>190</v>
      </c>
      <c r="G122" s="48" t="s">
        <v>190</v>
      </c>
      <c r="H122" s="48" t="s">
        <v>190</v>
      </c>
      <c r="I122" s="48" t="s">
        <v>190</v>
      </c>
      <c r="J122" s="48" t="s">
        <v>190</v>
      </c>
      <c r="K122" s="48" t="s">
        <v>190</v>
      </c>
      <c r="L122" s="48">
        <v>0.18</v>
      </c>
      <c r="M122" s="48" t="s">
        <v>208</v>
      </c>
      <c r="N122" s="48" t="s">
        <v>208</v>
      </c>
      <c r="O122" s="48" t="s">
        <v>208</v>
      </c>
      <c r="P122" s="48" t="s">
        <v>208</v>
      </c>
      <c r="Q122" s="48" t="s">
        <v>208</v>
      </c>
      <c r="R122" s="48" t="s">
        <v>208</v>
      </c>
      <c r="S122" s="48" t="s">
        <v>208</v>
      </c>
      <c r="T122" s="48" t="s">
        <v>208</v>
      </c>
      <c r="U122" s="48" t="s">
        <v>208</v>
      </c>
      <c r="V122" s="48" t="s">
        <v>208</v>
      </c>
      <c r="W122" s="117" t="s">
        <v>344</v>
      </c>
      <c r="X122" s="117" t="s">
        <v>344</v>
      </c>
    </row>
    <row r="123" spans="1:24" x14ac:dyDescent="0.2">
      <c r="A123" s="30" t="s">
        <v>210</v>
      </c>
      <c r="B123" s="91" t="s">
        <v>270</v>
      </c>
      <c r="C123" s="92" t="s">
        <v>273</v>
      </c>
      <c r="D123" s="49" t="s">
        <v>190</v>
      </c>
      <c r="E123" s="49" t="s">
        <v>190</v>
      </c>
      <c r="F123" s="49" t="s">
        <v>190</v>
      </c>
      <c r="G123" s="49" t="s">
        <v>190</v>
      </c>
      <c r="H123" s="49" t="s">
        <v>190</v>
      </c>
      <c r="I123" s="49" t="s">
        <v>190</v>
      </c>
      <c r="J123" s="50" t="s">
        <v>190</v>
      </c>
      <c r="K123" s="50" t="s">
        <v>190</v>
      </c>
      <c r="L123" s="48" t="s">
        <v>208</v>
      </c>
      <c r="M123" s="48" t="s">
        <v>208</v>
      </c>
      <c r="N123" s="48" t="s">
        <v>208</v>
      </c>
      <c r="O123" s="48" t="s">
        <v>208</v>
      </c>
      <c r="P123" s="48" t="s">
        <v>208</v>
      </c>
      <c r="Q123" s="48" t="s">
        <v>208</v>
      </c>
      <c r="R123" s="48" t="s">
        <v>208</v>
      </c>
      <c r="S123" s="48" t="s">
        <v>208</v>
      </c>
      <c r="T123" s="48" t="s">
        <v>208</v>
      </c>
      <c r="U123" s="48" t="s">
        <v>208</v>
      </c>
      <c r="V123" s="48" t="s">
        <v>208</v>
      </c>
      <c r="W123" s="117" t="s">
        <v>344</v>
      </c>
      <c r="X123" s="117" t="s">
        <v>344</v>
      </c>
    </row>
    <row r="124" spans="1:24" x14ac:dyDescent="0.2">
      <c r="A124" s="30" t="s">
        <v>210</v>
      </c>
      <c r="B124" s="91" t="s">
        <v>270</v>
      </c>
      <c r="C124" s="92" t="s">
        <v>274</v>
      </c>
      <c r="D124" s="49" t="s">
        <v>190</v>
      </c>
      <c r="E124" s="49" t="s">
        <v>190</v>
      </c>
      <c r="F124" s="49" t="s">
        <v>190</v>
      </c>
      <c r="G124" s="49" t="s">
        <v>190</v>
      </c>
      <c r="H124" s="49" t="s">
        <v>190</v>
      </c>
      <c r="I124" s="49" t="s">
        <v>190</v>
      </c>
      <c r="J124" s="50" t="s">
        <v>190</v>
      </c>
      <c r="K124" s="50" t="s">
        <v>190</v>
      </c>
      <c r="L124" s="48">
        <v>9.7000000000000003E-2</v>
      </c>
      <c r="M124" s="48">
        <v>9.0999999999999998E-2</v>
      </c>
      <c r="N124" s="48">
        <v>5.8000000000000003E-2</v>
      </c>
      <c r="O124" s="48">
        <v>3.4000000000000002E-2</v>
      </c>
      <c r="P124" s="48">
        <v>3.9E-2</v>
      </c>
      <c r="Q124" s="48">
        <v>3.1E-2</v>
      </c>
      <c r="R124" s="48">
        <v>1.7000000000000001E-2</v>
      </c>
      <c r="S124" s="48">
        <v>1.4999999999999999E-2</v>
      </c>
      <c r="T124" s="48">
        <v>4.2999999999999997E-2</v>
      </c>
      <c r="U124" s="48">
        <v>2.5999999999999999E-2</v>
      </c>
      <c r="V124" s="48" t="s">
        <v>208</v>
      </c>
      <c r="W124" s="117" t="s">
        <v>344</v>
      </c>
      <c r="X124" s="117" t="s">
        <v>344</v>
      </c>
    </row>
    <row r="125" spans="1:24" x14ac:dyDescent="0.2">
      <c r="A125" s="30" t="s">
        <v>210</v>
      </c>
      <c r="B125" s="91" t="s">
        <v>270</v>
      </c>
      <c r="C125" s="92" t="s">
        <v>275</v>
      </c>
      <c r="D125" s="49" t="s">
        <v>190</v>
      </c>
      <c r="E125" s="49" t="s">
        <v>190</v>
      </c>
      <c r="F125" s="49" t="s">
        <v>190</v>
      </c>
      <c r="G125" s="49" t="s">
        <v>190</v>
      </c>
      <c r="H125" s="49" t="s">
        <v>190</v>
      </c>
      <c r="I125" s="49" t="s">
        <v>190</v>
      </c>
      <c r="J125" s="50" t="s">
        <v>190</v>
      </c>
      <c r="K125" s="50" t="s">
        <v>190</v>
      </c>
      <c r="L125" s="48">
        <v>0.04</v>
      </c>
      <c r="M125" s="48" t="s">
        <v>208</v>
      </c>
      <c r="N125" s="48">
        <v>2.8000000000000001E-2</v>
      </c>
      <c r="O125" s="48" t="s">
        <v>208</v>
      </c>
      <c r="P125" s="48" t="s">
        <v>208</v>
      </c>
      <c r="Q125" s="48" t="s">
        <v>208</v>
      </c>
      <c r="R125" s="48" t="s">
        <v>208</v>
      </c>
      <c r="S125" s="48" t="s">
        <v>208</v>
      </c>
      <c r="T125" s="48" t="s">
        <v>208</v>
      </c>
      <c r="U125" s="48">
        <v>9.4E-2</v>
      </c>
      <c r="V125" s="48" t="s">
        <v>208</v>
      </c>
      <c r="W125" s="117" t="s">
        <v>344</v>
      </c>
      <c r="X125" s="117" t="s">
        <v>344</v>
      </c>
    </row>
    <row r="126" spans="1:24" x14ac:dyDescent="0.2">
      <c r="A126" s="30" t="s">
        <v>210</v>
      </c>
      <c r="B126" s="91" t="s">
        <v>270</v>
      </c>
      <c r="C126" s="92" t="s">
        <v>276</v>
      </c>
      <c r="D126" s="49" t="s">
        <v>190</v>
      </c>
      <c r="E126" s="49" t="s">
        <v>190</v>
      </c>
      <c r="F126" s="49" t="s">
        <v>190</v>
      </c>
      <c r="G126" s="49" t="s">
        <v>190</v>
      </c>
      <c r="H126" s="49" t="s">
        <v>190</v>
      </c>
      <c r="I126" s="49" t="s">
        <v>190</v>
      </c>
      <c r="J126" s="50" t="s">
        <v>190</v>
      </c>
      <c r="K126" s="50" t="s">
        <v>190</v>
      </c>
      <c r="L126" s="48" t="s">
        <v>208</v>
      </c>
      <c r="M126" s="48" t="s">
        <v>208</v>
      </c>
      <c r="N126" s="48" t="s">
        <v>208</v>
      </c>
      <c r="O126" s="48" t="s">
        <v>208</v>
      </c>
      <c r="P126" s="48" t="s">
        <v>208</v>
      </c>
      <c r="Q126" s="48" t="s">
        <v>208</v>
      </c>
      <c r="R126" s="48" t="s">
        <v>208</v>
      </c>
      <c r="S126" s="48" t="s">
        <v>208</v>
      </c>
      <c r="T126" s="48" t="s">
        <v>208</v>
      </c>
      <c r="U126" s="48" t="s">
        <v>208</v>
      </c>
      <c r="V126" s="48" t="s">
        <v>208</v>
      </c>
      <c r="W126" s="117" t="s">
        <v>344</v>
      </c>
      <c r="X126" s="117" t="s">
        <v>344</v>
      </c>
    </row>
    <row r="127" spans="1:24" x14ac:dyDescent="0.2">
      <c r="A127" s="30" t="s">
        <v>210</v>
      </c>
      <c r="B127" s="91" t="s">
        <v>270</v>
      </c>
      <c r="C127" s="92" t="s">
        <v>277</v>
      </c>
      <c r="D127" s="49" t="s">
        <v>190</v>
      </c>
      <c r="E127" s="49" t="s">
        <v>190</v>
      </c>
      <c r="F127" s="49" t="s">
        <v>190</v>
      </c>
      <c r="G127" s="49" t="s">
        <v>190</v>
      </c>
      <c r="H127" s="49" t="s">
        <v>190</v>
      </c>
      <c r="I127" s="49" t="s">
        <v>190</v>
      </c>
      <c r="J127" s="50" t="s">
        <v>190</v>
      </c>
      <c r="K127" s="50" t="s">
        <v>190</v>
      </c>
      <c r="L127" s="48" t="s">
        <v>208</v>
      </c>
      <c r="M127" s="48" t="s">
        <v>208</v>
      </c>
      <c r="N127" s="48">
        <v>7.3999999999999996E-2</v>
      </c>
      <c r="O127" s="48" t="s">
        <v>208</v>
      </c>
      <c r="P127" s="48">
        <v>4.9000000000000002E-2</v>
      </c>
      <c r="Q127" s="48" t="s">
        <v>208</v>
      </c>
      <c r="R127" s="48" t="s">
        <v>208</v>
      </c>
      <c r="S127" s="48" t="s">
        <v>208</v>
      </c>
      <c r="T127" s="48" t="s">
        <v>208</v>
      </c>
      <c r="U127" s="48" t="s">
        <v>208</v>
      </c>
      <c r="V127" s="48" t="s">
        <v>208</v>
      </c>
      <c r="W127" s="117" t="s">
        <v>344</v>
      </c>
      <c r="X127" s="117" t="s">
        <v>344</v>
      </c>
    </row>
    <row r="128" spans="1:24" x14ac:dyDescent="0.2">
      <c r="A128" s="30" t="s">
        <v>210</v>
      </c>
      <c r="B128" s="91" t="s">
        <v>270</v>
      </c>
      <c r="C128" s="92" t="s">
        <v>278</v>
      </c>
      <c r="D128" s="49" t="s">
        <v>190</v>
      </c>
      <c r="E128" s="49" t="s">
        <v>190</v>
      </c>
      <c r="F128" s="49" t="s">
        <v>190</v>
      </c>
      <c r="G128" s="49" t="s">
        <v>190</v>
      </c>
      <c r="H128" s="49" t="s">
        <v>190</v>
      </c>
      <c r="I128" s="49" t="s">
        <v>190</v>
      </c>
      <c r="J128" s="50" t="s">
        <v>190</v>
      </c>
      <c r="K128" s="50" t="s">
        <v>190</v>
      </c>
      <c r="L128" s="48" t="s">
        <v>208</v>
      </c>
      <c r="M128" s="48" t="s">
        <v>208</v>
      </c>
      <c r="N128" s="48" t="s">
        <v>208</v>
      </c>
      <c r="O128" s="48" t="s">
        <v>208</v>
      </c>
      <c r="P128" s="48" t="s">
        <v>208</v>
      </c>
      <c r="Q128" s="48" t="s">
        <v>208</v>
      </c>
      <c r="R128" s="48" t="s">
        <v>208</v>
      </c>
      <c r="S128" s="48" t="s">
        <v>208</v>
      </c>
      <c r="T128" s="48" t="s">
        <v>208</v>
      </c>
      <c r="U128" s="48" t="s">
        <v>208</v>
      </c>
      <c r="V128" s="48" t="s">
        <v>208</v>
      </c>
      <c r="W128" s="117" t="s">
        <v>344</v>
      </c>
      <c r="X128" s="117" t="s">
        <v>344</v>
      </c>
    </row>
    <row r="129" spans="1:24" x14ac:dyDescent="0.2">
      <c r="A129" s="30" t="s">
        <v>210</v>
      </c>
      <c r="B129" s="91" t="s">
        <v>270</v>
      </c>
      <c r="C129" s="92" t="s">
        <v>279</v>
      </c>
      <c r="D129" s="49" t="s">
        <v>190</v>
      </c>
      <c r="E129" s="49" t="s">
        <v>190</v>
      </c>
      <c r="F129" s="49" t="s">
        <v>190</v>
      </c>
      <c r="G129" s="49" t="s">
        <v>190</v>
      </c>
      <c r="H129" s="49" t="s">
        <v>190</v>
      </c>
      <c r="I129" s="49" t="s">
        <v>190</v>
      </c>
      <c r="J129" s="50" t="s">
        <v>190</v>
      </c>
      <c r="K129" s="50" t="s">
        <v>190</v>
      </c>
      <c r="L129" s="48" t="s">
        <v>208</v>
      </c>
      <c r="M129" s="48" t="s">
        <v>208</v>
      </c>
      <c r="N129" s="48" t="s">
        <v>208</v>
      </c>
      <c r="O129" s="48" t="s">
        <v>208</v>
      </c>
      <c r="P129" s="48" t="s">
        <v>208</v>
      </c>
      <c r="Q129" s="48" t="s">
        <v>208</v>
      </c>
      <c r="R129" s="48" t="s">
        <v>208</v>
      </c>
      <c r="S129" s="48" t="s">
        <v>208</v>
      </c>
      <c r="T129" s="48" t="s">
        <v>208</v>
      </c>
      <c r="U129" s="48" t="s">
        <v>208</v>
      </c>
      <c r="V129" s="48" t="s">
        <v>208</v>
      </c>
      <c r="W129" s="117" t="s">
        <v>344</v>
      </c>
      <c r="X129" s="117" t="s">
        <v>344</v>
      </c>
    </row>
    <row r="130" spans="1:24" ht="33.6" customHeight="1" x14ac:dyDescent="0.2">
      <c r="A130" s="30" t="s">
        <v>210</v>
      </c>
      <c r="B130" s="17" t="s">
        <v>263</v>
      </c>
      <c r="C130" s="9" t="s">
        <v>280</v>
      </c>
      <c r="D130" s="48" t="s">
        <v>190</v>
      </c>
      <c r="E130" s="48" t="s">
        <v>190</v>
      </c>
      <c r="F130" s="48" t="s">
        <v>190</v>
      </c>
      <c r="G130" s="48" t="s">
        <v>190</v>
      </c>
      <c r="H130" s="48" t="s">
        <v>190</v>
      </c>
      <c r="I130" s="48" t="s">
        <v>190</v>
      </c>
      <c r="J130" s="89" t="s">
        <v>190</v>
      </c>
      <c r="K130" s="89" t="s">
        <v>190</v>
      </c>
      <c r="L130" s="50">
        <v>0.18100000000000002</v>
      </c>
      <c r="M130" s="50">
        <v>0.16500000000000001</v>
      </c>
      <c r="N130" s="50">
        <v>0.14000000000000001</v>
      </c>
      <c r="O130" s="50">
        <v>0.127</v>
      </c>
      <c r="P130" s="50">
        <v>9.6999999999999989E-2</v>
      </c>
      <c r="Q130" s="50">
        <v>7.6999999999999999E-2</v>
      </c>
      <c r="R130" s="50">
        <v>8.6999999999999994E-2</v>
      </c>
      <c r="S130" s="50">
        <v>6.4000000000000001E-2</v>
      </c>
      <c r="T130" s="50">
        <v>6.6000000000000003E-2</v>
      </c>
      <c r="U130" s="50">
        <v>7.0999999999999994E-2</v>
      </c>
      <c r="V130" s="50">
        <v>5.4000000000000006E-2</v>
      </c>
      <c r="W130" s="117" t="s">
        <v>344</v>
      </c>
      <c r="X130" s="117" t="s">
        <v>344</v>
      </c>
    </row>
    <row r="131" spans="1:24" x14ac:dyDescent="0.2">
      <c r="A131" s="30" t="s">
        <v>210</v>
      </c>
      <c r="B131" s="17" t="s">
        <v>263</v>
      </c>
      <c r="C131" s="92" t="s">
        <v>264</v>
      </c>
      <c r="D131" s="88" t="s">
        <v>190</v>
      </c>
      <c r="E131" s="88" t="s">
        <v>190</v>
      </c>
      <c r="F131" s="88" t="s">
        <v>190</v>
      </c>
      <c r="G131" s="88" t="s">
        <v>190</v>
      </c>
      <c r="H131" s="88" t="s">
        <v>190</v>
      </c>
      <c r="I131" s="88" t="s">
        <v>190</v>
      </c>
      <c r="J131" s="89" t="s">
        <v>190</v>
      </c>
      <c r="K131" s="89" t="s">
        <v>190</v>
      </c>
      <c r="L131" s="50">
        <v>9.3000000000000013E-2</v>
      </c>
      <c r="M131" s="50">
        <v>9.0999999999999998E-2</v>
      </c>
      <c r="N131" s="50">
        <v>7.0999999999999994E-2</v>
      </c>
      <c r="O131" s="50">
        <v>6.4000000000000001E-2</v>
      </c>
      <c r="P131" s="50">
        <v>5.7999999999999996E-2</v>
      </c>
      <c r="Q131" s="50">
        <v>4.7E-2</v>
      </c>
      <c r="R131" s="50">
        <v>4.5999999999999999E-2</v>
      </c>
      <c r="S131" s="50">
        <v>0.04</v>
      </c>
      <c r="T131" s="50">
        <v>5.2000000000000005E-2</v>
      </c>
      <c r="U131" s="50">
        <v>3.9E-2</v>
      </c>
      <c r="V131" s="50">
        <v>4.2999999999999997E-2</v>
      </c>
      <c r="W131" s="117" t="s">
        <v>344</v>
      </c>
      <c r="X131" s="117" t="s">
        <v>344</v>
      </c>
    </row>
    <row r="132" spans="1:24" x14ac:dyDescent="0.2">
      <c r="A132" s="30" t="s">
        <v>210</v>
      </c>
      <c r="B132" s="17" t="s">
        <v>263</v>
      </c>
      <c r="C132" s="92" t="s">
        <v>265</v>
      </c>
      <c r="D132" s="88" t="s">
        <v>190</v>
      </c>
      <c r="E132" s="88" t="s">
        <v>190</v>
      </c>
      <c r="F132" s="88" t="s">
        <v>190</v>
      </c>
      <c r="G132" s="88" t="s">
        <v>190</v>
      </c>
      <c r="H132" s="88" t="s">
        <v>190</v>
      </c>
      <c r="I132" s="88" t="s">
        <v>190</v>
      </c>
      <c r="J132" s="89" t="s">
        <v>190</v>
      </c>
      <c r="K132" s="89" t="s">
        <v>190</v>
      </c>
      <c r="L132" s="50">
        <v>6.4000000000000001E-2</v>
      </c>
      <c r="M132" s="50">
        <v>5.7999999999999996E-2</v>
      </c>
      <c r="N132" s="50">
        <v>4.8000000000000001E-2</v>
      </c>
      <c r="O132" s="50">
        <v>4.8000000000000001E-2</v>
      </c>
      <c r="P132" s="50">
        <v>4.0999999999999995E-2</v>
      </c>
      <c r="Q132" s="50">
        <v>3.4000000000000002E-2</v>
      </c>
      <c r="R132" s="50">
        <v>3.5000000000000003E-2</v>
      </c>
      <c r="S132" s="50">
        <v>0.03</v>
      </c>
      <c r="T132" s="50">
        <v>3.7000000000000005E-2</v>
      </c>
      <c r="U132" s="50">
        <v>3.3000000000000002E-2</v>
      </c>
      <c r="V132" s="50">
        <v>3.2000000000000001E-2</v>
      </c>
      <c r="W132" s="117" t="s">
        <v>344</v>
      </c>
      <c r="X132" s="117" t="s">
        <v>344</v>
      </c>
    </row>
    <row r="133" spans="1:24" x14ac:dyDescent="0.2">
      <c r="A133" s="30" t="s">
        <v>210</v>
      </c>
      <c r="B133" s="17" t="s">
        <v>263</v>
      </c>
      <c r="C133" s="92" t="s">
        <v>266</v>
      </c>
      <c r="D133" s="88" t="s">
        <v>190</v>
      </c>
      <c r="E133" s="88" t="s">
        <v>190</v>
      </c>
      <c r="F133" s="88" t="s">
        <v>190</v>
      </c>
      <c r="G133" s="88" t="s">
        <v>190</v>
      </c>
      <c r="H133" s="88" t="s">
        <v>190</v>
      </c>
      <c r="I133" s="88" t="s">
        <v>190</v>
      </c>
      <c r="J133" s="89" t="s">
        <v>190</v>
      </c>
      <c r="K133" s="89" t="s">
        <v>190</v>
      </c>
      <c r="L133" s="50">
        <v>4.4999999999999998E-2</v>
      </c>
      <c r="M133" s="50">
        <v>5.0999999999999997E-2</v>
      </c>
      <c r="N133" s="50">
        <v>3.7000000000000005E-2</v>
      </c>
      <c r="O133" s="50">
        <v>3.7999999999999999E-2</v>
      </c>
      <c r="P133" s="50">
        <v>2.3E-2</v>
      </c>
      <c r="Q133" s="50">
        <v>0.03</v>
      </c>
      <c r="R133" s="50">
        <v>2.8999999999999998E-2</v>
      </c>
      <c r="S133" s="50">
        <v>2.5000000000000001E-2</v>
      </c>
      <c r="T133" s="50">
        <v>3.1E-2</v>
      </c>
      <c r="U133" s="50">
        <v>2.5000000000000001E-2</v>
      </c>
      <c r="V133" s="50">
        <v>2.8999999999999998E-2</v>
      </c>
      <c r="W133" s="117" t="s">
        <v>344</v>
      </c>
      <c r="X133" s="117" t="s">
        <v>344</v>
      </c>
    </row>
    <row r="134" spans="1:24" x14ac:dyDescent="0.2">
      <c r="A134" s="30" t="s">
        <v>210</v>
      </c>
      <c r="B134" s="17" t="s">
        <v>263</v>
      </c>
      <c r="C134" s="92" t="s">
        <v>281</v>
      </c>
      <c r="D134" s="88" t="s">
        <v>190</v>
      </c>
      <c r="E134" s="88" t="s">
        <v>190</v>
      </c>
      <c r="F134" s="88" t="s">
        <v>190</v>
      </c>
      <c r="G134" s="88" t="s">
        <v>190</v>
      </c>
      <c r="H134" s="88" t="s">
        <v>190</v>
      </c>
      <c r="I134" s="88" t="s">
        <v>190</v>
      </c>
      <c r="J134" s="89" t="s">
        <v>190</v>
      </c>
      <c r="K134" s="89" t="s">
        <v>190</v>
      </c>
      <c r="L134" s="50">
        <v>3.6000000000000004E-2</v>
      </c>
      <c r="M134" s="50">
        <v>4.0999999999999995E-2</v>
      </c>
      <c r="N134" s="50">
        <v>3.4000000000000002E-2</v>
      </c>
      <c r="O134" s="50">
        <v>3.3000000000000002E-2</v>
      </c>
      <c r="P134" s="50">
        <v>3.5000000000000003E-2</v>
      </c>
      <c r="Q134" s="50">
        <v>2.6000000000000002E-2</v>
      </c>
      <c r="R134" s="50">
        <v>2.6000000000000002E-2</v>
      </c>
      <c r="S134" s="50">
        <v>2.3E-2</v>
      </c>
      <c r="T134" s="50">
        <v>3.7999999999999999E-2</v>
      </c>
      <c r="U134" s="50">
        <v>3.1E-2</v>
      </c>
      <c r="V134" s="50">
        <v>1.8000000000000002E-2</v>
      </c>
      <c r="W134" s="117" t="s">
        <v>344</v>
      </c>
      <c r="X134" s="117" t="s">
        <v>344</v>
      </c>
    </row>
    <row r="135" spans="1:24" ht="31.5" customHeight="1" x14ac:dyDescent="0.2">
      <c r="A135" s="30" t="s">
        <v>207</v>
      </c>
      <c r="B135" s="17" t="s">
        <v>178</v>
      </c>
      <c r="C135" s="17" t="s">
        <v>48</v>
      </c>
      <c r="D135" s="50">
        <v>1E-3</v>
      </c>
      <c r="E135" s="50">
        <v>1E-3</v>
      </c>
      <c r="F135" s="50">
        <v>1E-3</v>
      </c>
      <c r="G135" s="50">
        <v>1E-3</v>
      </c>
      <c r="H135" s="50">
        <v>1E-3</v>
      </c>
      <c r="I135" s="50">
        <v>1E-3</v>
      </c>
      <c r="J135" s="50">
        <v>1E-3</v>
      </c>
      <c r="K135" s="50">
        <v>1E-3</v>
      </c>
      <c r="L135" s="50">
        <v>1E-3</v>
      </c>
      <c r="M135" s="50">
        <v>1E-3</v>
      </c>
      <c r="N135" s="50">
        <v>1E-3</v>
      </c>
      <c r="O135" s="50">
        <v>1E-3</v>
      </c>
      <c r="P135" s="50">
        <v>1E-3</v>
      </c>
      <c r="Q135" s="50">
        <v>1E-3</v>
      </c>
      <c r="R135" s="51">
        <v>1E-3</v>
      </c>
      <c r="S135" s="50">
        <v>1E-3</v>
      </c>
      <c r="T135" s="50">
        <v>1E-3</v>
      </c>
      <c r="U135" s="48">
        <v>1E-3</v>
      </c>
      <c r="V135" s="97">
        <v>1E-3</v>
      </c>
      <c r="W135" s="98">
        <v>1E-3</v>
      </c>
      <c r="X135" s="98">
        <v>1E-3</v>
      </c>
    </row>
    <row r="136" spans="1:24" x14ac:dyDescent="0.2">
      <c r="A136" s="30" t="s">
        <v>207</v>
      </c>
      <c r="B136" s="16" t="s">
        <v>178</v>
      </c>
      <c r="C136" s="17" t="s">
        <v>1</v>
      </c>
      <c r="D136" s="49">
        <v>3.0000000000000001E-3</v>
      </c>
      <c r="E136" s="49">
        <v>3.0000000000000001E-3</v>
      </c>
      <c r="F136" s="49">
        <v>3.0000000000000001E-3</v>
      </c>
      <c r="G136" s="49">
        <v>3.0000000000000001E-3</v>
      </c>
      <c r="H136" s="49">
        <v>3.0000000000000001E-3</v>
      </c>
      <c r="I136" s="49">
        <v>3.0000000000000001E-3</v>
      </c>
      <c r="J136" s="50">
        <v>3.0000000000000001E-3</v>
      </c>
      <c r="K136" s="50">
        <v>4.0000000000000001E-3</v>
      </c>
      <c r="L136" s="50">
        <v>4.0000000000000001E-3</v>
      </c>
      <c r="M136" s="50">
        <v>4.0000000000000001E-3</v>
      </c>
      <c r="N136" s="50">
        <v>3.0000000000000001E-3</v>
      </c>
      <c r="O136" s="50">
        <v>3.0000000000000001E-3</v>
      </c>
      <c r="P136" s="50">
        <v>3.0000000000000001E-3</v>
      </c>
      <c r="Q136" s="50">
        <v>3.0000000000000001E-3</v>
      </c>
      <c r="R136" s="51">
        <v>3.0000000000000001E-3</v>
      </c>
      <c r="S136" s="50">
        <v>3.0000000000000001E-3</v>
      </c>
      <c r="T136" s="50">
        <v>4.0000000000000001E-3</v>
      </c>
      <c r="U136" s="48">
        <v>4.0000000000000001E-3</v>
      </c>
      <c r="V136" s="97">
        <v>4.0000000000000001E-3</v>
      </c>
      <c r="W136" s="98">
        <v>4.0000000000000001E-3</v>
      </c>
      <c r="X136" s="98">
        <v>4.0000000000000001E-3</v>
      </c>
    </row>
    <row r="137" spans="1:24" ht="31.5" customHeight="1" x14ac:dyDescent="0.2">
      <c r="A137" s="30" t="s">
        <v>207</v>
      </c>
      <c r="B137" s="17" t="s">
        <v>179</v>
      </c>
      <c r="C137" s="17" t="s">
        <v>35</v>
      </c>
      <c r="D137" s="50">
        <v>1.1000000000000001E-2</v>
      </c>
      <c r="E137" s="50">
        <v>0.01</v>
      </c>
      <c r="F137" s="50">
        <v>9.0000000000000011E-3</v>
      </c>
      <c r="G137" s="50">
        <v>8.0000000000000002E-3</v>
      </c>
      <c r="H137" s="50">
        <v>8.0000000000000002E-3</v>
      </c>
      <c r="I137" s="50">
        <v>8.0000000000000002E-3</v>
      </c>
      <c r="J137" s="50">
        <v>1.1000000000000001E-2</v>
      </c>
      <c r="K137" s="50">
        <v>1.2E-2</v>
      </c>
      <c r="L137" s="50">
        <v>1.1000000000000001E-2</v>
      </c>
      <c r="M137" s="50">
        <v>1.1000000000000001E-2</v>
      </c>
      <c r="N137" s="50">
        <v>1.1000000000000001E-2</v>
      </c>
      <c r="O137" s="50">
        <v>0.01</v>
      </c>
      <c r="P137" s="50">
        <v>1.3999999999999999E-2</v>
      </c>
      <c r="Q137" s="50">
        <v>1.1000000000000001E-2</v>
      </c>
      <c r="R137" s="51">
        <v>1.3999999999999999E-2</v>
      </c>
      <c r="S137" s="50">
        <v>0.01</v>
      </c>
      <c r="T137" s="50">
        <v>1.4999999999999999E-2</v>
      </c>
      <c r="U137" s="48">
        <v>1.3999999999999999E-2</v>
      </c>
      <c r="V137" s="48">
        <v>1.7000000000000001E-2</v>
      </c>
      <c r="W137" s="117" t="s">
        <v>344</v>
      </c>
      <c r="X137" s="117" t="s">
        <v>344</v>
      </c>
    </row>
    <row r="138" spans="1:24" x14ac:dyDescent="0.2">
      <c r="A138" s="30" t="s">
        <v>207</v>
      </c>
      <c r="B138" s="16" t="s">
        <v>179</v>
      </c>
      <c r="C138" s="17" t="s">
        <v>36</v>
      </c>
      <c r="D138" s="49">
        <v>5.0000000000000001E-3</v>
      </c>
      <c r="E138" s="49">
        <v>6.0000000000000001E-3</v>
      </c>
      <c r="F138" s="49">
        <v>5.0000000000000001E-3</v>
      </c>
      <c r="G138" s="49">
        <v>5.0000000000000001E-3</v>
      </c>
      <c r="H138" s="49">
        <v>6.0000000000000001E-3</v>
      </c>
      <c r="I138" s="49">
        <v>6.9999999999999993E-3</v>
      </c>
      <c r="J138" s="50">
        <v>6.9999999999999993E-3</v>
      </c>
      <c r="K138" s="50">
        <v>8.0000000000000002E-3</v>
      </c>
      <c r="L138" s="50">
        <v>8.0000000000000002E-3</v>
      </c>
      <c r="M138" s="50">
        <v>8.0000000000000002E-3</v>
      </c>
      <c r="N138" s="50">
        <v>6.9999999999999993E-3</v>
      </c>
      <c r="O138" s="50">
        <v>6.9999999999999993E-3</v>
      </c>
      <c r="P138" s="50">
        <v>6.0000000000000001E-3</v>
      </c>
      <c r="Q138" s="50">
        <v>6.0000000000000001E-3</v>
      </c>
      <c r="R138" s="51">
        <v>6.0000000000000001E-3</v>
      </c>
      <c r="S138" s="50">
        <v>6.0000000000000001E-3</v>
      </c>
      <c r="T138" s="50">
        <v>6.9999999999999993E-3</v>
      </c>
      <c r="U138" s="48">
        <v>6.9999999999999993E-3</v>
      </c>
      <c r="V138" s="48">
        <v>6.9999999999999993E-3</v>
      </c>
      <c r="W138" s="117" t="s">
        <v>344</v>
      </c>
      <c r="X138" s="117" t="s">
        <v>344</v>
      </c>
    </row>
    <row r="139" spans="1:24" x14ac:dyDescent="0.2">
      <c r="A139" s="30" t="s">
        <v>207</v>
      </c>
      <c r="B139" s="16" t="s">
        <v>179</v>
      </c>
      <c r="C139" s="17" t="s">
        <v>37</v>
      </c>
      <c r="D139" s="49">
        <v>6.0000000000000001E-3</v>
      </c>
      <c r="E139" s="49">
        <v>6.0000000000000001E-3</v>
      </c>
      <c r="F139" s="49">
        <v>6.0000000000000001E-3</v>
      </c>
      <c r="G139" s="49">
        <v>6.0000000000000001E-3</v>
      </c>
      <c r="H139" s="49">
        <v>6.0000000000000001E-3</v>
      </c>
      <c r="I139" s="49">
        <v>8.0000000000000002E-3</v>
      </c>
      <c r="J139" s="50">
        <v>8.0000000000000002E-3</v>
      </c>
      <c r="K139" s="50">
        <v>8.0000000000000002E-3</v>
      </c>
      <c r="L139" s="50">
        <v>8.0000000000000002E-3</v>
      </c>
      <c r="M139" s="50">
        <v>8.0000000000000002E-3</v>
      </c>
      <c r="N139" s="50">
        <v>6.9999999999999993E-3</v>
      </c>
      <c r="O139" s="50">
        <v>8.0000000000000002E-3</v>
      </c>
      <c r="P139" s="50">
        <v>6.9999999999999993E-3</v>
      </c>
      <c r="Q139" s="50">
        <v>6.0000000000000001E-3</v>
      </c>
      <c r="R139" s="51">
        <v>6.9999999999999993E-3</v>
      </c>
      <c r="S139" s="50">
        <v>6.0000000000000001E-3</v>
      </c>
      <c r="T139" s="50">
        <v>8.0000000000000002E-3</v>
      </c>
      <c r="U139" s="48">
        <v>9.0000000000000011E-3</v>
      </c>
      <c r="V139" s="48">
        <v>6.9999999999999993E-3</v>
      </c>
      <c r="W139" s="117" t="s">
        <v>344</v>
      </c>
      <c r="X139" s="117" t="s">
        <v>344</v>
      </c>
    </row>
    <row r="140" spans="1:24" x14ac:dyDescent="0.2">
      <c r="A140" s="30" t="s">
        <v>207</v>
      </c>
      <c r="B140" s="16" t="s">
        <v>179</v>
      </c>
      <c r="C140" s="17" t="s">
        <v>236</v>
      </c>
      <c r="D140" s="49">
        <v>0.01</v>
      </c>
      <c r="E140" s="49">
        <v>9.0000000000000011E-3</v>
      </c>
      <c r="F140" s="49">
        <v>0.01</v>
      </c>
      <c r="G140" s="49">
        <v>0.01</v>
      </c>
      <c r="H140" s="49">
        <v>0.01</v>
      </c>
      <c r="I140" s="49">
        <v>1.3000000000000001E-2</v>
      </c>
      <c r="J140" s="50">
        <v>1.2E-2</v>
      </c>
      <c r="K140" s="50">
        <v>1.3999999999999999E-2</v>
      </c>
      <c r="L140" s="50">
        <v>1.3999999999999999E-2</v>
      </c>
      <c r="M140" s="50">
        <v>1.3000000000000001E-2</v>
      </c>
      <c r="N140" s="50">
        <v>1.2E-2</v>
      </c>
      <c r="O140" s="50">
        <v>1.1000000000000001E-2</v>
      </c>
      <c r="P140" s="50">
        <v>1.1000000000000001E-2</v>
      </c>
      <c r="Q140" s="50">
        <v>1.1000000000000001E-2</v>
      </c>
      <c r="R140" s="51">
        <v>8.0000000000000002E-3</v>
      </c>
      <c r="S140" s="50">
        <v>0.01</v>
      </c>
      <c r="T140" s="50">
        <v>1.3000000000000001E-2</v>
      </c>
      <c r="U140" s="48">
        <v>1.1000000000000001E-2</v>
      </c>
      <c r="V140" s="48">
        <v>1.3999999999999999E-2</v>
      </c>
      <c r="W140" s="117" t="s">
        <v>344</v>
      </c>
      <c r="X140" s="117" t="s">
        <v>344</v>
      </c>
    </row>
    <row r="141" spans="1:24" x14ac:dyDescent="0.2">
      <c r="A141" s="30" t="s">
        <v>207</v>
      </c>
      <c r="B141" s="16" t="s">
        <v>179</v>
      </c>
      <c r="C141" s="17" t="s">
        <v>38</v>
      </c>
      <c r="D141" s="49">
        <v>6.9999999999999993E-3</v>
      </c>
      <c r="E141" s="49">
        <v>6.9999999999999993E-3</v>
      </c>
      <c r="F141" s="49">
        <v>6.9999999999999993E-3</v>
      </c>
      <c r="G141" s="49">
        <v>6.9999999999999993E-3</v>
      </c>
      <c r="H141" s="49">
        <v>8.0000000000000002E-3</v>
      </c>
      <c r="I141" s="49">
        <v>9.0000000000000011E-3</v>
      </c>
      <c r="J141" s="50">
        <v>9.0000000000000011E-3</v>
      </c>
      <c r="K141" s="50">
        <v>0.01</v>
      </c>
      <c r="L141" s="50">
        <v>0.01</v>
      </c>
      <c r="M141" s="50">
        <v>0.01</v>
      </c>
      <c r="N141" s="50">
        <v>9.0000000000000011E-3</v>
      </c>
      <c r="O141" s="50">
        <v>0.01</v>
      </c>
      <c r="P141" s="50">
        <v>9.0000000000000011E-3</v>
      </c>
      <c r="Q141" s="50">
        <v>8.0000000000000002E-3</v>
      </c>
      <c r="R141" s="51">
        <v>8.0000000000000002E-3</v>
      </c>
      <c r="S141" s="50">
        <v>8.0000000000000002E-3</v>
      </c>
      <c r="T141" s="50">
        <v>1.1000000000000001E-2</v>
      </c>
      <c r="U141" s="48">
        <v>1.1000000000000001E-2</v>
      </c>
      <c r="V141" s="48">
        <v>1.1000000000000001E-2</v>
      </c>
      <c r="W141" s="117" t="s">
        <v>344</v>
      </c>
      <c r="X141" s="117" t="s">
        <v>344</v>
      </c>
    </row>
    <row r="142" spans="1:24" x14ac:dyDescent="0.2">
      <c r="A142" s="30" t="s">
        <v>207</v>
      </c>
      <c r="B142" s="16" t="s">
        <v>179</v>
      </c>
      <c r="C142" s="17" t="s">
        <v>121</v>
      </c>
      <c r="D142" s="49">
        <v>6.9999999999999993E-3</v>
      </c>
      <c r="E142" s="49">
        <v>6.0000000000000001E-3</v>
      </c>
      <c r="F142" s="49">
        <v>6.0000000000000001E-3</v>
      </c>
      <c r="G142" s="49">
        <v>6.0000000000000001E-3</v>
      </c>
      <c r="H142" s="49">
        <v>6.0000000000000001E-3</v>
      </c>
      <c r="I142" s="49">
        <v>6.9999999999999993E-3</v>
      </c>
      <c r="J142" s="50">
        <v>6.0000000000000001E-3</v>
      </c>
      <c r="K142" s="50">
        <v>8.0000000000000002E-3</v>
      </c>
      <c r="L142" s="50">
        <v>8.0000000000000002E-3</v>
      </c>
      <c r="M142" s="50">
        <v>8.0000000000000002E-3</v>
      </c>
      <c r="N142" s="50">
        <v>8.0000000000000002E-3</v>
      </c>
      <c r="O142" s="50">
        <v>6.9999999999999993E-3</v>
      </c>
      <c r="P142" s="50">
        <v>8.0000000000000002E-3</v>
      </c>
      <c r="Q142" s="50">
        <v>6.9999999999999993E-3</v>
      </c>
      <c r="R142" s="51">
        <v>6.9999999999999993E-3</v>
      </c>
      <c r="S142" s="50">
        <v>8.0000000000000002E-3</v>
      </c>
      <c r="T142" s="50">
        <v>8.0000000000000002E-3</v>
      </c>
      <c r="U142" s="48">
        <v>1.1000000000000001E-2</v>
      </c>
      <c r="V142" s="48">
        <v>1.1000000000000001E-2</v>
      </c>
      <c r="W142" s="117" t="s">
        <v>344</v>
      </c>
      <c r="X142" s="117" t="s">
        <v>344</v>
      </c>
    </row>
    <row r="143" spans="1:24" x14ac:dyDescent="0.2">
      <c r="A143" s="30" t="s">
        <v>207</v>
      </c>
      <c r="B143" s="16" t="s">
        <v>179</v>
      </c>
      <c r="C143" s="17" t="s">
        <v>39</v>
      </c>
      <c r="D143" s="49">
        <v>0.01</v>
      </c>
      <c r="E143" s="49">
        <v>9.0000000000000011E-3</v>
      </c>
      <c r="F143" s="49">
        <v>0.01</v>
      </c>
      <c r="G143" s="49">
        <v>9.0000000000000011E-3</v>
      </c>
      <c r="H143" s="49">
        <v>9.0000000000000011E-3</v>
      </c>
      <c r="I143" s="49">
        <v>1.2E-2</v>
      </c>
      <c r="J143" s="50">
        <v>1.2E-2</v>
      </c>
      <c r="K143" s="50">
        <v>1.3999999999999999E-2</v>
      </c>
      <c r="L143" s="50">
        <v>1.3999999999999999E-2</v>
      </c>
      <c r="M143" s="50">
        <v>1.3999999999999999E-2</v>
      </c>
      <c r="N143" s="50">
        <v>1.2E-2</v>
      </c>
      <c r="O143" s="50">
        <v>1.2E-2</v>
      </c>
      <c r="P143" s="50">
        <v>1.3000000000000001E-2</v>
      </c>
      <c r="Q143" s="50">
        <v>1.2E-2</v>
      </c>
      <c r="R143" s="51">
        <v>1.1000000000000001E-2</v>
      </c>
      <c r="S143" s="50">
        <v>1.1000000000000001E-2</v>
      </c>
      <c r="T143" s="50">
        <v>1.3000000000000001E-2</v>
      </c>
      <c r="U143" s="48">
        <v>1.4999999999999999E-2</v>
      </c>
      <c r="V143" s="48">
        <v>1.2E-2</v>
      </c>
      <c r="W143" s="117" t="s">
        <v>344</v>
      </c>
      <c r="X143" s="117" t="s">
        <v>344</v>
      </c>
    </row>
    <row r="144" spans="1:24" x14ac:dyDescent="0.2">
      <c r="A144" s="30" t="s">
        <v>207</v>
      </c>
      <c r="B144" s="16" t="s">
        <v>179</v>
      </c>
      <c r="C144" s="17" t="s">
        <v>40</v>
      </c>
      <c r="D144" s="49">
        <v>8.0000000000000002E-3</v>
      </c>
      <c r="E144" s="49">
        <v>9.0000000000000011E-3</v>
      </c>
      <c r="F144" s="49">
        <v>9.0000000000000011E-3</v>
      </c>
      <c r="G144" s="49">
        <v>9.0000000000000011E-3</v>
      </c>
      <c r="H144" s="49">
        <v>1.1000000000000001E-2</v>
      </c>
      <c r="I144" s="49">
        <v>1.2E-2</v>
      </c>
      <c r="J144" s="50">
        <v>1.2E-2</v>
      </c>
      <c r="K144" s="50">
        <v>1.3999999999999999E-2</v>
      </c>
      <c r="L144" s="50">
        <v>1.3999999999999999E-2</v>
      </c>
      <c r="M144" s="50">
        <v>1.1000000000000001E-2</v>
      </c>
      <c r="N144" s="50">
        <v>0.01</v>
      </c>
      <c r="O144" s="50">
        <v>0.01</v>
      </c>
      <c r="P144" s="50">
        <v>1.2E-2</v>
      </c>
      <c r="Q144" s="50">
        <v>0.01</v>
      </c>
      <c r="R144" s="51">
        <v>0.01</v>
      </c>
      <c r="S144" s="50">
        <v>0.01</v>
      </c>
      <c r="T144" s="50">
        <v>1.3999999999999999E-2</v>
      </c>
      <c r="U144" s="48">
        <v>1.8000000000000002E-2</v>
      </c>
      <c r="V144" s="48">
        <v>1.7000000000000001E-2</v>
      </c>
      <c r="W144" s="117" t="s">
        <v>344</v>
      </c>
      <c r="X144" s="117" t="s">
        <v>344</v>
      </c>
    </row>
    <row r="145" spans="1:24" ht="31.5" customHeight="1" x14ac:dyDescent="0.2">
      <c r="A145" s="30" t="s">
        <v>207</v>
      </c>
      <c r="B145" s="17" t="s">
        <v>180</v>
      </c>
      <c r="C145" s="17" t="s">
        <v>41</v>
      </c>
      <c r="D145" s="50">
        <v>0.01</v>
      </c>
      <c r="E145" s="50">
        <v>0.01</v>
      </c>
      <c r="F145" s="50">
        <v>0.01</v>
      </c>
      <c r="G145" s="50">
        <v>9.0000000000000011E-3</v>
      </c>
      <c r="H145" s="50">
        <v>0.01</v>
      </c>
      <c r="I145" s="50">
        <v>1.2E-2</v>
      </c>
      <c r="J145" s="50">
        <v>1.1000000000000001E-2</v>
      </c>
      <c r="K145" s="50">
        <v>1.3000000000000001E-2</v>
      </c>
      <c r="L145" s="50">
        <v>1.3999999999999999E-2</v>
      </c>
      <c r="M145" s="50">
        <v>1.2E-2</v>
      </c>
      <c r="N145" s="50">
        <v>1.2E-2</v>
      </c>
      <c r="O145" s="50">
        <v>1.1000000000000001E-2</v>
      </c>
      <c r="P145" s="50">
        <v>0.01</v>
      </c>
      <c r="Q145" s="50">
        <v>8.0000000000000002E-3</v>
      </c>
      <c r="R145" s="51">
        <v>8.0000000000000002E-3</v>
      </c>
      <c r="S145" s="50">
        <v>0.01</v>
      </c>
      <c r="T145" s="50">
        <v>1.1000000000000001E-2</v>
      </c>
      <c r="U145" s="48">
        <v>1.3999999999999999E-2</v>
      </c>
      <c r="V145" s="48" t="s">
        <v>256</v>
      </c>
      <c r="W145" s="117" t="s">
        <v>344</v>
      </c>
      <c r="X145" s="117" t="s">
        <v>344</v>
      </c>
    </row>
    <row r="146" spans="1:24" x14ac:dyDescent="0.2">
      <c r="A146" s="30" t="s">
        <v>207</v>
      </c>
      <c r="B146" s="16" t="s">
        <v>180</v>
      </c>
      <c r="C146" s="17" t="s">
        <v>42</v>
      </c>
      <c r="D146" s="49">
        <v>4.0000000000000001E-3</v>
      </c>
      <c r="E146" s="49">
        <v>4.0000000000000001E-3</v>
      </c>
      <c r="F146" s="49">
        <v>4.0000000000000001E-3</v>
      </c>
      <c r="G146" s="49">
        <v>4.0000000000000001E-3</v>
      </c>
      <c r="H146" s="49">
        <v>4.0000000000000001E-3</v>
      </c>
      <c r="I146" s="49">
        <v>5.0000000000000001E-3</v>
      </c>
      <c r="J146" s="50">
        <v>5.0000000000000001E-3</v>
      </c>
      <c r="K146" s="50">
        <v>6.0000000000000001E-3</v>
      </c>
      <c r="L146" s="50">
        <v>6.0000000000000001E-3</v>
      </c>
      <c r="M146" s="50">
        <v>5.0000000000000001E-3</v>
      </c>
      <c r="N146" s="50">
        <v>5.0000000000000001E-3</v>
      </c>
      <c r="O146" s="50">
        <v>5.0000000000000001E-3</v>
      </c>
      <c r="P146" s="50">
        <v>6.0000000000000001E-3</v>
      </c>
      <c r="Q146" s="50">
        <v>5.0000000000000001E-3</v>
      </c>
      <c r="R146" s="51">
        <v>5.0000000000000001E-3</v>
      </c>
      <c r="S146" s="50">
        <v>4.0000000000000001E-3</v>
      </c>
      <c r="T146" s="50">
        <v>6.0000000000000001E-3</v>
      </c>
      <c r="U146" s="48">
        <v>6.9999999999999993E-3</v>
      </c>
      <c r="V146" s="48">
        <v>6.9999999999999993E-3</v>
      </c>
      <c r="W146" s="117" t="s">
        <v>344</v>
      </c>
      <c r="X146" s="117" t="s">
        <v>344</v>
      </c>
    </row>
    <row r="147" spans="1:24" x14ac:dyDescent="0.2">
      <c r="A147" s="30" t="s">
        <v>207</v>
      </c>
      <c r="B147" s="16" t="s">
        <v>180</v>
      </c>
      <c r="C147" s="17" t="s">
        <v>43</v>
      </c>
      <c r="D147" s="49">
        <v>4.0000000000000001E-3</v>
      </c>
      <c r="E147" s="49">
        <v>4.0000000000000001E-3</v>
      </c>
      <c r="F147" s="49">
        <v>4.0000000000000001E-3</v>
      </c>
      <c r="G147" s="49">
        <v>4.0000000000000001E-3</v>
      </c>
      <c r="H147" s="49">
        <v>4.0000000000000001E-3</v>
      </c>
      <c r="I147" s="49">
        <v>5.0000000000000001E-3</v>
      </c>
      <c r="J147" s="50">
        <v>6.0000000000000001E-3</v>
      </c>
      <c r="K147" s="50">
        <v>6.0000000000000001E-3</v>
      </c>
      <c r="L147" s="50">
        <v>6.0000000000000001E-3</v>
      </c>
      <c r="M147" s="50">
        <v>6.0000000000000001E-3</v>
      </c>
      <c r="N147" s="50">
        <v>5.0000000000000001E-3</v>
      </c>
      <c r="O147" s="50">
        <v>5.0000000000000001E-3</v>
      </c>
      <c r="P147" s="50">
        <v>5.0000000000000001E-3</v>
      </c>
      <c r="Q147" s="50">
        <v>5.0000000000000001E-3</v>
      </c>
      <c r="R147" s="51">
        <v>4.0000000000000001E-3</v>
      </c>
      <c r="S147" s="50">
        <v>4.0000000000000001E-3</v>
      </c>
      <c r="T147" s="50">
        <v>6.0000000000000001E-3</v>
      </c>
      <c r="U147" s="48">
        <v>6.0000000000000001E-3</v>
      </c>
      <c r="V147" s="48">
        <v>5.0000000000000001E-3</v>
      </c>
      <c r="W147" s="117" t="s">
        <v>344</v>
      </c>
      <c r="X147" s="117" t="s">
        <v>344</v>
      </c>
    </row>
    <row r="148" spans="1:24" x14ac:dyDescent="0.2">
      <c r="A148" s="30" t="s">
        <v>207</v>
      </c>
      <c r="B148" s="16" t="s">
        <v>180</v>
      </c>
      <c r="C148" s="17" t="s">
        <v>44</v>
      </c>
      <c r="D148" s="49">
        <v>8.0000000000000002E-3</v>
      </c>
      <c r="E148" s="49">
        <v>8.0000000000000002E-3</v>
      </c>
      <c r="F148" s="49">
        <v>8.0000000000000002E-3</v>
      </c>
      <c r="G148" s="49">
        <v>6.9999999999999993E-3</v>
      </c>
      <c r="H148" s="49">
        <v>6.9999999999999993E-3</v>
      </c>
      <c r="I148" s="49">
        <v>9.0000000000000011E-3</v>
      </c>
      <c r="J148" s="50">
        <v>9.0000000000000011E-3</v>
      </c>
      <c r="K148" s="50">
        <v>0.01</v>
      </c>
      <c r="L148" s="50">
        <v>0.01</v>
      </c>
      <c r="M148" s="50">
        <v>0.01</v>
      </c>
      <c r="N148" s="50">
        <v>0.01</v>
      </c>
      <c r="O148" s="50">
        <v>0.01</v>
      </c>
      <c r="P148" s="50">
        <v>9.0000000000000011E-3</v>
      </c>
      <c r="Q148" s="50">
        <v>8.0000000000000002E-3</v>
      </c>
      <c r="R148" s="51">
        <v>9.0000000000000011E-3</v>
      </c>
      <c r="S148" s="50">
        <v>6.9999999999999993E-3</v>
      </c>
      <c r="T148" s="50">
        <v>0.01</v>
      </c>
      <c r="U148" s="48">
        <v>9.0000000000000011E-3</v>
      </c>
      <c r="V148" s="48">
        <v>9.0000000000000011E-3</v>
      </c>
      <c r="W148" s="117" t="s">
        <v>344</v>
      </c>
      <c r="X148" s="117" t="s">
        <v>344</v>
      </c>
    </row>
    <row r="149" spans="1:24" ht="31.5" customHeight="1" x14ac:dyDescent="0.2">
      <c r="A149" s="30" t="s">
        <v>207</v>
      </c>
      <c r="B149" s="17" t="s">
        <v>181</v>
      </c>
      <c r="C149" s="17" t="s">
        <v>45</v>
      </c>
      <c r="D149" s="50">
        <f>D142</f>
        <v>6.9999999999999993E-3</v>
      </c>
      <c r="E149" s="50">
        <f t="shared" ref="E149:U149" si="2">E142</f>
        <v>6.0000000000000001E-3</v>
      </c>
      <c r="F149" s="50">
        <f t="shared" si="2"/>
        <v>6.0000000000000001E-3</v>
      </c>
      <c r="G149" s="50">
        <f t="shared" si="2"/>
        <v>6.0000000000000001E-3</v>
      </c>
      <c r="H149" s="50">
        <f t="shared" si="2"/>
        <v>6.0000000000000001E-3</v>
      </c>
      <c r="I149" s="50">
        <f t="shared" si="2"/>
        <v>6.9999999999999993E-3</v>
      </c>
      <c r="J149" s="50">
        <f t="shared" si="2"/>
        <v>6.0000000000000001E-3</v>
      </c>
      <c r="K149" s="50">
        <f t="shared" si="2"/>
        <v>8.0000000000000002E-3</v>
      </c>
      <c r="L149" s="50">
        <f t="shared" si="2"/>
        <v>8.0000000000000002E-3</v>
      </c>
      <c r="M149" s="50">
        <f t="shared" si="2"/>
        <v>8.0000000000000002E-3</v>
      </c>
      <c r="N149" s="50">
        <f t="shared" si="2"/>
        <v>8.0000000000000002E-3</v>
      </c>
      <c r="O149" s="50">
        <f t="shared" si="2"/>
        <v>6.9999999999999993E-3</v>
      </c>
      <c r="P149" s="50">
        <f t="shared" si="2"/>
        <v>8.0000000000000002E-3</v>
      </c>
      <c r="Q149" s="50">
        <f t="shared" si="2"/>
        <v>6.9999999999999993E-3</v>
      </c>
      <c r="R149" s="50">
        <f t="shared" si="2"/>
        <v>6.9999999999999993E-3</v>
      </c>
      <c r="S149" s="50">
        <f t="shared" si="2"/>
        <v>8.0000000000000002E-3</v>
      </c>
      <c r="T149" s="50">
        <f t="shared" si="2"/>
        <v>8.0000000000000002E-3</v>
      </c>
      <c r="U149" s="50">
        <f t="shared" si="2"/>
        <v>1.1000000000000001E-2</v>
      </c>
      <c r="V149" s="50">
        <v>1.1000000000000001E-2</v>
      </c>
      <c r="W149" s="117" t="s">
        <v>344</v>
      </c>
      <c r="X149" s="117" t="s">
        <v>344</v>
      </c>
    </row>
    <row r="150" spans="1:24" x14ac:dyDescent="0.2">
      <c r="A150" s="30" t="s">
        <v>207</v>
      </c>
      <c r="B150" s="16" t="s">
        <v>181</v>
      </c>
      <c r="C150" s="17" t="s">
        <v>120</v>
      </c>
      <c r="D150" s="50">
        <f>D144</f>
        <v>8.0000000000000002E-3</v>
      </c>
      <c r="E150" s="50">
        <f t="shared" ref="E150:U150" si="3">E144</f>
        <v>9.0000000000000011E-3</v>
      </c>
      <c r="F150" s="50">
        <f t="shared" si="3"/>
        <v>9.0000000000000011E-3</v>
      </c>
      <c r="G150" s="50">
        <f t="shared" si="3"/>
        <v>9.0000000000000011E-3</v>
      </c>
      <c r="H150" s="50">
        <f t="shared" si="3"/>
        <v>1.1000000000000001E-2</v>
      </c>
      <c r="I150" s="50">
        <f t="shared" si="3"/>
        <v>1.2E-2</v>
      </c>
      <c r="J150" s="50">
        <f t="shared" si="3"/>
        <v>1.2E-2</v>
      </c>
      <c r="K150" s="50">
        <f t="shared" si="3"/>
        <v>1.3999999999999999E-2</v>
      </c>
      <c r="L150" s="50">
        <f t="shared" si="3"/>
        <v>1.3999999999999999E-2</v>
      </c>
      <c r="M150" s="50">
        <f t="shared" si="3"/>
        <v>1.1000000000000001E-2</v>
      </c>
      <c r="N150" s="50">
        <f t="shared" si="3"/>
        <v>0.01</v>
      </c>
      <c r="O150" s="50">
        <f t="shared" si="3"/>
        <v>0.01</v>
      </c>
      <c r="P150" s="50">
        <f t="shared" si="3"/>
        <v>1.2E-2</v>
      </c>
      <c r="Q150" s="50">
        <f t="shared" si="3"/>
        <v>0.01</v>
      </c>
      <c r="R150" s="50">
        <f t="shared" si="3"/>
        <v>0.01</v>
      </c>
      <c r="S150" s="50">
        <f t="shared" si="3"/>
        <v>0.01</v>
      </c>
      <c r="T150" s="50">
        <f t="shared" si="3"/>
        <v>1.3999999999999999E-2</v>
      </c>
      <c r="U150" s="50">
        <f t="shared" si="3"/>
        <v>1.8000000000000002E-2</v>
      </c>
      <c r="V150" s="50">
        <v>1.7000000000000001E-2</v>
      </c>
      <c r="W150" s="117" t="s">
        <v>344</v>
      </c>
      <c r="X150" s="117" t="s">
        <v>344</v>
      </c>
    </row>
    <row r="151" spans="1:24" x14ac:dyDescent="0.2">
      <c r="A151" s="30" t="s">
        <v>207</v>
      </c>
      <c r="B151" s="16" t="s">
        <v>181</v>
      </c>
      <c r="C151" s="17" t="s">
        <v>46</v>
      </c>
      <c r="D151" s="49">
        <v>3.0000000000000001E-3</v>
      </c>
      <c r="E151" s="49">
        <v>3.0000000000000001E-3</v>
      </c>
      <c r="F151" s="49">
        <v>3.0000000000000001E-3</v>
      </c>
      <c r="G151" s="49">
        <v>3.0000000000000001E-3</v>
      </c>
      <c r="H151" s="49">
        <v>3.0000000000000001E-3</v>
      </c>
      <c r="I151" s="49">
        <v>4.0000000000000001E-3</v>
      </c>
      <c r="J151" s="50">
        <v>4.0000000000000001E-3</v>
      </c>
      <c r="K151" s="50">
        <v>4.0000000000000001E-3</v>
      </c>
      <c r="L151" s="50">
        <v>4.0000000000000001E-3</v>
      </c>
      <c r="M151" s="50">
        <v>4.0000000000000001E-3</v>
      </c>
      <c r="N151" s="50">
        <v>4.0000000000000001E-3</v>
      </c>
      <c r="O151" s="50">
        <v>4.0000000000000001E-3</v>
      </c>
      <c r="P151" s="50">
        <v>4.0000000000000001E-3</v>
      </c>
      <c r="Q151" s="50">
        <v>3.0000000000000001E-3</v>
      </c>
      <c r="R151" s="51">
        <v>3.0000000000000001E-3</v>
      </c>
      <c r="S151" s="50">
        <v>3.0000000000000001E-3</v>
      </c>
      <c r="T151" s="50">
        <v>4.0000000000000001E-3</v>
      </c>
      <c r="U151" s="48">
        <v>4.0000000000000001E-3</v>
      </c>
      <c r="V151" s="48">
        <v>4.0000000000000001E-3</v>
      </c>
      <c r="W151" s="117" t="s">
        <v>344</v>
      </c>
      <c r="X151" s="117" t="s">
        <v>344</v>
      </c>
    </row>
    <row r="152" spans="1:24" ht="31.5" customHeight="1" x14ac:dyDescent="0.2">
      <c r="A152" s="30" t="s">
        <v>207</v>
      </c>
      <c r="B152" s="17" t="s">
        <v>47</v>
      </c>
      <c r="C152" s="17" t="s">
        <v>22</v>
      </c>
      <c r="D152" s="50">
        <v>1.6E-2</v>
      </c>
      <c r="E152" s="50">
        <v>1.4999999999999999E-2</v>
      </c>
      <c r="F152" s="50">
        <v>1.3999999999999999E-2</v>
      </c>
      <c r="G152" s="50">
        <v>1.3999999999999999E-2</v>
      </c>
      <c r="H152" s="50">
        <v>1.3999999999999999E-2</v>
      </c>
      <c r="I152" s="50">
        <v>1.2E-2</v>
      </c>
      <c r="J152" s="50">
        <v>1.6E-2</v>
      </c>
      <c r="K152" s="50">
        <v>1.9E-2</v>
      </c>
      <c r="L152" s="50">
        <v>1.7000000000000001E-2</v>
      </c>
      <c r="M152" s="50">
        <v>1.4999999999999999E-2</v>
      </c>
      <c r="N152" s="50">
        <v>1.6E-2</v>
      </c>
      <c r="O152" s="50">
        <v>1.4999999999999999E-2</v>
      </c>
      <c r="P152" s="50">
        <v>0.02</v>
      </c>
      <c r="Q152" s="50">
        <v>1.4999999999999999E-2</v>
      </c>
      <c r="R152" s="51">
        <v>2.2000000000000002E-2</v>
      </c>
      <c r="S152" s="50">
        <v>1.4999999999999999E-2</v>
      </c>
      <c r="T152" s="50">
        <v>2.7000000000000003E-2</v>
      </c>
      <c r="U152" s="48">
        <v>0.02</v>
      </c>
      <c r="V152" s="97">
        <v>2.6000000000000002E-2</v>
      </c>
      <c r="W152" s="117" t="s">
        <v>344</v>
      </c>
      <c r="X152" s="117" t="s">
        <v>344</v>
      </c>
    </row>
    <row r="153" spans="1:24" x14ac:dyDescent="0.2">
      <c r="A153" s="30" t="s">
        <v>207</v>
      </c>
      <c r="B153" s="16" t="s">
        <v>47</v>
      </c>
      <c r="C153" s="17" t="s">
        <v>23</v>
      </c>
      <c r="D153" s="49">
        <v>1.3999999999999999E-2</v>
      </c>
      <c r="E153" s="49">
        <v>1.3000000000000001E-2</v>
      </c>
      <c r="F153" s="49">
        <v>1.1000000000000001E-2</v>
      </c>
      <c r="G153" s="49">
        <v>9.0000000000000011E-3</v>
      </c>
      <c r="H153" s="49">
        <v>0.01</v>
      </c>
      <c r="I153" s="49">
        <v>1.1000000000000001E-2</v>
      </c>
      <c r="J153" s="50">
        <v>1.3999999999999999E-2</v>
      </c>
      <c r="K153" s="50">
        <v>1.4999999999999999E-2</v>
      </c>
      <c r="L153" s="50">
        <v>1.3000000000000001E-2</v>
      </c>
      <c r="M153" s="50">
        <v>1.6E-2</v>
      </c>
      <c r="N153" s="50">
        <v>1.4999999999999999E-2</v>
      </c>
      <c r="O153" s="50">
        <v>1.2E-2</v>
      </c>
      <c r="P153" s="50">
        <v>0.02</v>
      </c>
      <c r="Q153" s="50">
        <v>1.4999999999999999E-2</v>
      </c>
      <c r="R153" s="51">
        <v>1.6E-2</v>
      </c>
      <c r="S153" s="50">
        <v>1.3999999999999999E-2</v>
      </c>
      <c r="T153" s="73" t="s">
        <v>256</v>
      </c>
      <c r="U153" s="48">
        <v>0.02</v>
      </c>
      <c r="V153" s="97">
        <v>2.3E-2</v>
      </c>
      <c r="W153" s="117" t="s">
        <v>344</v>
      </c>
      <c r="X153" s="117" t="s">
        <v>344</v>
      </c>
    </row>
    <row r="154" spans="1:24" x14ac:dyDescent="0.2">
      <c r="A154" s="30" t="s">
        <v>207</v>
      </c>
      <c r="B154" s="16" t="s">
        <v>47</v>
      </c>
      <c r="C154" s="17" t="s">
        <v>29</v>
      </c>
      <c r="D154" s="49">
        <v>1.3999999999999999E-2</v>
      </c>
      <c r="E154" s="49">
        <v>1.3000000000000001E-2</v>
      </c>
      <c r="F154" s="49">
        <v>1.3000000000000001E-2</v>
      </c>
      <c r="G154" s="49">
        <v>1.3000000000000001E-2</v>
      </c>
      <c r="H154" s="49">
        <v>1.3999999999999999E-2</v>
      </c>
      <c r="I154" s="49">
        <v>1.6E-2</v>
      </c>
      <c r="J154" s="50">
        <v>1.8000000000000002E-2</v>
      </c>
      <c r="K154" s="50">
        <v>2.1000000000000001E-2</v>
      </c>
      <c r="L154" s="50">
        <v>1.8000000000000002E-2</v>
      </c>
      <c r="M154" s="50">
        <v>0.02</v>
      </c>
      <c r="N154" s="50">
        <v>2.1000000000000001E-2</v>
      </c>
      <c r="O154" s="50">
        <v>0.02</v>
      </c>
      <c r="P154" s="50">
        <v>1.3999999999999999E-2</v>
      </c>
      <c r="Q154" s="50">
        <v>1.8000000000000002E-2</v>
      </c>
      <c r="R154" s="51">
        <v>1.3999999999999999E-2</v>
      </c>
      <c r="S154" s="50">
        <v>1.2E-2</v>
      </c>
      <c r="T154" s="50">
        <v>1.7000000000000001E-2</v>
      </c>
      <c r="U154" s="48">
        <v>1.8000000000000002E-2</v>
      </c>
      <c r="V154" s="73" t="s">
        <v>256</v>
      </c>
      <c r="W154" s="117" t="s">
        <v>344</v>
      </c>
      <c r="X154" s="117" t="s">
        <v>344</v>
      </c>
    </row>
    <row r="155" spans="1:24" x14ac:dyDescent="0.2">
      <c r="A155" s="30" t="s">
        <v>207</v>
      </c>
      <c r="B155" s="16" t="s">
        <v>47</v>
      </c>
      <c r="C155" s="17" t="s">
        <v>24</v>
      </c>
      <c r="D155" s="49">
        <v>1.3999999999999999E-2</v>
      </c>
      <c r="E155" s="49">
        <v>1.3999999999999999E-2</v>
      </c>
      <c r="F155" s="49">
        <v>1.1000000000000001E-2</v>
      </c>
      <c r="G155" s="49">
        <v>1.3999999999999999E-2</v>
      </c>
      <c r="H155" s="49">
        <v>1.3999999999999999E-2</v>
      </c>
      <c r="I155" s="49">
        <v>1.7000000000000001E-2</v>
      </c>
      <c r="J155" s="50">
        <v>1.6E-2</v>
      </c>
      <c r="K155" s="50">
        <v>1.9E-2</v>
      </c>
      <c r="L155" s="50">
        <v>0.02</v>
      </c>
      <c r="M155" s="50">
        <v>1.6E-2</v>
      </c>
      <c r="N155" s="50">
        <v>1.6E-2</v>
      </c>
      <c r="O155" s="50">
        <v>1.6E-2</v>
      </c>
      <c r="P155" s="50">
        <v>1.3000000000000001E-2</v>
      </c>
      <c r="Q155" s="50">
        <v>1.1000000000000001E-2</v>
      </c>
      <c r="R155" s="51">
        <v>1.3999999999999999E-2</v>
      </c>
      <c r="S155" s="50">
        <v>1.3999999999999999E-2</v>
      </c>
      <c r="T155" s="73" t="s">
        <v>256</v>
      </c>
      <c r="U155" s="73" t="s">
        <v>256</v>
      </c>
      <c r="V155" s="73" t="s">
        <v>256</v>
      </c>
      <c r="W155" s="117" t="s">
        <v>344</v>
      </c>
      <c r="X155" s="117" t="s">
        <v>344</v>
      </c>
    </row>
    <row r="156" spans="1:24" x14ac:dyDescent="0.2">
      <c r="A156" s="30" t="s">
        <v>207</v>
      </c>
      <c r="B156" s="16" t="s">
        <v>47</v>
      </c>
      <c r="C156" s="17" t="s">
        <v>25</v>
      </c>
      <c r="D156" s="49">
        <v>1.4999999999999999E-2</v>
      </c>
      <c r="E156" s="49">
        <v>1.4999999999999999E-2</v>
      </c>
      <c r="F156" s="49">
        <v>1.4999999999999999E-2</v>
      </c>
      <c r="G156" s="49">
        <v>1.3000000000000001E-2</v>
      </c>
      <c r="H156" s="49">
        <v>1.3999999999999999E-2</v>
      </c>
      <c r="I156" s="49">
        <v>1.6E-2</v>
      </c>
      <c r="J156" s="50">
        <v>1.6E-2</v>
      </c>
      <c r="K156" s="50">
        <v>1.7000000000000001E-2</v>
      </c>
      <c r="L156" s="50">
        <v>1.6E-2</v>
      </c>
      <c r="M156" s="50">
        <v>1.9E-2</v>
      </c>
      <c r="N156" s="50">
        <v>1.4999999999999999E-2</v>
      </c>
      <c r="O156" s="50">
        <v>1.8000000000000002E-2</v>
      </c>
      <c r="P156" s="50">
        <v>1.7000000000000001E-2</v>
      </c>
      <c r="Q156" s="50">
        <v>1.3999999999999999E-2</v>
      </c>
      <c r="R156" s="51">
        <v>1.6E-2</v>
      </c>
      <c r="S156" s="50">
        <v>1.3000000000000001E-2</v>
      </c>
      <c r="T156" s="50">
        <v>1.7000000000000001E-2</v>
      </c>
      <c r="U156" s="48">
        <v>1.3000000000000001E-2</v>
      </c>
      <c r="V156" s="73" t="s">
        <v>256</v>
      </c>
      <c r="W156" s="117" t="s">
        <v>344</v>
      </c>
      <c r="X156" s="117" t="s">
        <v>344</v>
      </c>
    </row>
    <row r="157" spans="1:24" x14ac:dyDescent="0.2">
      <c r="A157" s="30" t="s">
        <v>207</v>
      </c>
      <c r="B157" s="16" t="s">
        <v>47</v>
      </c>
      <c r="C157" s="17" t="s">
        <v>2</v>
      </c>
      <c r="D157" s="49">
        <v>2.5000000000000001E-2</v>
      </c>
      <c r="E157" s="49">
        <v>2.4E-2</v>
      </c>
      <c r="F157" s="78">
        <v>2.6000000000000002E-2</v>
      </c>
      <c r="G157" s="78">
        <v>3.1E-2</v>
      </c>
      <c r="H157" s="78">
        <v>2.6000000000000002E-2</v>
      </c>
      <c r="I157" s="78">
        <v>3.1E-2</v>
      </c>
      <c r="J157" s="75">
        <v>2.4E-2</v>
      </c>
      <c r="K157" s="75">
        <v>4.2999999999999997E-2</v>
      </c>
      <c r="L157" s="75">
        <v>4.4000000000000004E-2</v>
      </c>
      <c r="M157" s="75">
        <v>3.9E-2</v>
      </c>
      <c r="N157" s="75">
        <v>3.7999999999999999E-2</v>
      </c>
      <c r="O157" s="75">
        <v>2.2000000000000002E-2</v>
      </c>
      <c r="P157" s="75">
        <v>3.1E-2</v>
      </c>
      <c r="Q157" s="75">
        <v>2.5000000000000001E-2</v>
      </c>
      <c r="R157" s="76">
        <v>1.9E-2</v>
      </c>
      <c r="S157" s="79" t="s">
        <v>256</v>
      </c>
      <c r="T157" s="79" t="s">
        <v>256</v>
      </c>
      <c r="U157" s="29" t="s">
        <v>208</v>
      </c>
      <c r="V157" s="73" t="s">
        <v>256</v>
      </c>
      <c r="W157" s="117" t="s">
        <v>344</v>
      </c>
      <c r="X157" s="117" t="s">
        <v>344</v>
      </c>
    </row>
    <row r="158" spans="1:24" x14ac:dyDescent="0.2">
      <c r="A158" s="30" t="s">
        <v>207</v>
      </c>
      <c r="B158" s="16" t="s">
        <v>47</v>
      </c>
      <c r="C158" s="17" t="s">
        <v>3</v>
      </c>
      <c r="D158" s="49">
        <v>1.2E-2</v>
      </c>
      <c r="E158" s="49">
        <v>1.2E-2</v>
      </c>
      <c r="F158" s="78">
        <v>1.2E-2</v>
      </c>
      <c r="G158" s="78">
        <v>1.3999999999999999E-2</v>
      </c>
      <c r="H158" s="78">
        <v>1.6E-2</v>
      </c>
      <c r="I158" s="78">
        <v>1.6E-2</v>
      </c>
      <c r="J158" s="75">
        <v>1.6E-2</v>
      </c>
      <c r="K158" s="75">
        <v>2.3E-2</v>
      </c>
      <c r="L158" s="75">
        <v>2.1000000000000001E-2</v>
      </c>
      <c r="M158" s="75">
        <v>1.8000000000000002E-2</v>
      </c>
      <c r="N158" s="75">
        <v>1.4999999999999999E-2</v>
      </c>
      <c r="O158" s="75">
        <v>1.3999999999999999E-2</v>
      </c>
      <c r="P158" s="75">
        <v>1.4999999999999999E-2</v>
      </c>
      <c r="Q158" s="75">
        <v>1.1000000000000001E-2</v>
      </c>
      <c r="R158" s="76">
        <v>1.2E-2</v>
      </c>
      <c r="S158" s="75">
        <v>1.4999999999999999E-2</v>
      </c>
      <c r="T158" s="75">
        <v>2.5000000000000001E-2</v>
      </c>
      <c r="U158" s="29">
        <v>2.1000000000000001E-2</v>
      </c>
      <c r="V158" s="97">
        <v>2.4E-2</v>
      </c>
      <c r="W158" s="117" t="s">
        <v>344</v>
      </c>
      <c r="X158" s="117" t="s">
        <v>344</v>
      </c>
    </row>
    <row r="159" spans="1:24" x14ac:dyDescent="0.2">
      <c r="A159" s="30" t="s">
        <v>207</v>
      </c>
      <c r="B159" s="16" t="s">
        <v>47</v>
      </c>
      <c r="C159" s="17" t="s">
        <v>30</v>
      </c>
      <c r="D159" s="49">
        <v>1.9E-2</v>
      </c>
      <c r="E159" s="49">
        <v>1.4999999999999999E-2</v>
      </c>
      <c r="F159" s="78">
        <v>1.4999999999999999E-2</v>
      </c>
      <c r="G159" s="78">
        <v>1.6E-2</v>
      </c>
      <c r="H159" s="78">
        <v>1.6E-2</v>
      </c>
      <c r="I159" s="78">
        <v>1.9E-2</v>
      </c>
      <c r="J159" s="75">
        <v>0.02</v>
      </c>
      <c r="K159" s="75">
        <v>2.3E-2</v>
      </c>
      <c r="L159" s="75">
        <v>2.1000000000000001E-2</v>
      </c>
      <c r="M159" s="75">
        <v>2.4E-2</v>
      </c>
      <c r="N159" s="75">
        <v>2.2000000000000002E-2</v>
      </c>
      <c r="O159" s="75">
        <v>2.2000000000000002E-2</v>
      </c>
      <c r="P159" s="75">
        <v>0.02</v>
      </c>
      <c r="Q159" s="75">
        <v>1.3999999999999999E-2</v>
      </c>
      <c r="R159" s="76">
        <v>1.9E-2</v>
      </c>
      <c r="S159" s="75">
        <v>1.8000000000000002E-2</v>
      </c>
      <c r="T159" s="75">
        <v>2.2000000000000002E-2</v>
      </c>
      <c r="U159" s="29">
        <v>2.5000000000000001E-2</v>
      </c>
      <c r="V159" s="97">
        <v>0.03</v>
      </c>
      <c r="W159" s="117" t="s">
        <v>344</v>
      </c>
      <c r="X159" s="117" t="s">
        <v>344</v>
      </c>
    </row>
    <row r="160" spans="1:24" x14ac:dyDescent="0.2">
      <c r="A160" s="30" t="s">
        <v>207</v>
      </c>
      <c r="B160" s="16" t="s">
        <v>47</v>
      </c>
      <c r="C160" s="17" t="s">
        <v>4</v>
      </c>
      <c r="D160" s="49">
        <v>1.4999999999999999E-2</v>
      </c>
      <c r="E160" s="49">
        <v>1.6E-2</v>
      </c>
      <c r="F160" s="78">
        <v>1.6E-2</v>
      </c>
      <c r="G160" s="78">
        <v>1.7000000000000001E-2</v>
      </c>
      <c r="H160" s="78">
        <v>1.6E-2</v>
      </c>
      <c r="I160" s="78">
        <v>2.1000000000000001E-2</v>
      </c>
      <c r="J160" s="75">
        <v>0.02</v>
      </c>
      <c r="K160" s="75">
        <v>2.3E-2</v>
      </c>
      <c r="L160" s="75">
        <v>2.4E-2</v>
      </c>
      <c r="M160" s="75">
        <v>2.4E-2</v>
      </c>
      <c r="N160" s="75">
        <v>2.3E-2</v>
      </c>
      <c r="O160" s="75">
        <v>2.1000000000000001E-2</v>
      </c>
      <c r="P160" s="75">
        <v>2.3E-2</v>
      </c>
      <c r="Q160" s="75">
        <v>2.1000000000000001E-2</v>
      </c>
      <c r="R160" s="76">
        <v>2.1000000000000001E-2</v>
      </c>
      <c r="S160" s="75">
        <v>1.9E-2</v>
      </c>
      <c r="T160" s="75">
        <v>0.02</v>
      </c>
      <c r="U160" s="29">
        <v>0.02</v>
      </c>
      <c r="V160" s="73" t="s">
        <v>256</v>
      </c>
      <c r="W160" s="117" t="s">
        <v>344</v>
      </c>
      <c r="X160" s="117" t="s">
        <v>344</v>
      </c>
    </row>
    <row r="161" spans="1:24" x14ac:dyDescent="0.2">
      <c r="A161" s="30" t="s">
        <v>207</v>
      </c>
      <c r="B161" s="16" t="s">
        <v>47</v>
      </c>
      <c r="C161" s="17" t="s">
        <v>32</v>
      </c>
      <c r="D161" s="49">
        <v>0.01</v>
      </c>
      <c r="E161" s="49">
        <v>1.1000000000000001E-2</v>
      </c>
      <c r="F161" s="78">
        <v>1.2E-2</v>
      </c>
      <c r="G161" s="78">
        <v>0.01</v>
      </c>
      <c r="H161" s="78">
        <v>1.3999999999999999E-2</v>
      </c>
      <c r="I161" s="78">
        <v>1.8000000000000002E-2</v>
      </c>
      <c r="J161" s="75">
        <v>1.8000000000000002E-2</v>
      </c>
      <c r="K161" s="75">
        <v>1.8000000000000002E-2</v>
      </c>
      <c r="L161" s="75">
        <v>1.8000000000000002E-2</v>
      </c>
      <c r="M161" s="75">
        <v>1.4999999999999999E-2</v>
      </c>
      <c r="N161" s="75">
        <v>1.8000000000000002E-2</v>
      </c>
      <c r="O161" s="75">
        <v>1.6E-2</v>
      </c>
      <c r="P161" s="75">
        <v>1.3999999999999999E-2</v>
      </c>
      <c r="Q161" s="75">
        <v>1.3999999999999999E-2</v>
      </c>
      <c r="R161" s="76">
        <v>1.3000000000000001E-2</v>
      </c>
      <c r="S161" s="75">
        <v>0.01</v>
      </c>
      <c r="T161" s="75">
        <v>1.3000000000000001E-2</v>
      </c>
      <c r="U161" s="29">
        <v>1.9E-2</v>
      </c>
      <c r="V161" s="73" t="s">
        <v>256</v>
      </c>
      <c r="W161" s="117" t="s">
        <v>344</v>
      </c>
      <c r="X161" s="117" t="s">
        <v>344</v>
      </c>
    </row>
    <row r="162" spans="1:24" x14ac:dyDescent="0.2">
      <c r="A162" s="30" t="s">
        <v>207</v>
      </c>
      <c r="B162" s="16" t="s">
        <v>47</v>
      </c>
      <c r="C162" s="17" t="s">
        <v>5</v>
      </c>
      <c r="D162" s="49">
        <v>1.3999999999999999E-2</v>
      </c>
      <c r="E162" s="49">
        <v>1.2E-2</v>
      </c>
      <c r="F162" s="78">
        <v>1.1000000000000001E-2</v>
      </c>
      <c r="G162" s="78">
        <v>1.2E-2</v>
      </c>
      <c r="H162" s="78">
        <v>1.2E-2</v>
      </c>
      <c r="I162" s="78">
        <v>1.4999999999999999E-2</v>
      </c>
      <c r="J162" s="75">
        <v>0.02</v>
      </c>
      <c r="K162" s="75">
        <v>2.1000000000000001E-2</v>
      </c>
      <c r="L162" s="75">
        <v>1.9E-2</v>
      </c>
      <c r="M162" s="75">
        <v>1.8000000000000002E-2</v>
      </c>
      <c r="N162" s="75">
        <v>1.8000000000000002E-2</v>
      </c>
      <c r="O162" s="75">
        <v>1.8000000000000002E-2</v>
      </c>
      <c r="P162" s="75">
        <v>1.9E-2</v>
      </c>
      <c r="Q162" s="75">
        <v>1.7000000000000001E-2</v>
      </c>
      <c r="R162" s="76">
        <v>1.2E-2</v>
      </c>
      <c r="S162" s="79" t="s">
        <v>256</v>
      </c>
      <c r="T162" s="75">
        <v>0.02</v>
      </c>
      <c r="U162" s="79" t="s">
        <v>256</v>
      </c>
      <c r="V162" s="73" t="s">
        <v>256</v>
      </c>
      <c r="W162" s="117" t="s">
        <v>344</v>
      </c>
      <c r="X162" s="117" t="s">
        <v>344</v>
      </c>
    </row>
    <row r="163" spans="1:24" x14ac:dyDescent="0.2">
      <c r="A163" s="30" t="s">
        <v>207</v>
      </c>
      <c r="B163" s="16" t="s">
        <v>47</v>
      </c>
      <c r="C163" s="17" t="s">
        <v>6</v>
      </c>
      <c r="D163" s="49">
        <v>1.3999999999999999E-2</v>
      </c>
      <c r="E163" s="49">
        <v>1.3000000000000001E-2</v>
      </c>
      <c r="F163" s="78">
        <v>1.2E-2</v>
      </c>
      <c r="G163" s="78">
        <v>1.3000000000000001E-2</v>
      </c>
      <c r="H163" s="78">
        <v>1.2E-2</v>
      </c>
      <c r="I163" s="78">
        <v>1.6E-2</v>
      </c>
      <c r="J163" s="75">
        <v>1.8000000000000002E-2</v>
      </c>
      <c r="K163" s="75">
        <v>1.8000000000000002E-2</v>
      </c>
      <c r="L163" s="75">
        <v>1.8000000000000002E-2</v>
      </c>
      <c r="M163" s="75">
        <v>0.02</v>
      </c>
      <c r="N163" s="75">
        <v>1.8000000000000002E-2</v>
      </c>
      <c r="O163" s="75">
        <v>1.6E-2</v>
      </c>
      <c r="P163" s="75">
        <v>1.3999999999999999E-2</v>
      </c>
      <c r="Q163" s="75">
        <v>1.3000000000000001E-2</v>
      </c>
      <c r="R163" s="76">
        <v>1.4999999999999999E-2</v>
      </c>
      <c r="S163" s="75">
        <v>1.3999999999999999E-2</v>
      </c>
      <c r="T163" s="75">
        <v>0.02</v>
      </c>
      <c r="U163" s="29">
        <v>2.2000000000000002E-2</v>
      </c>
      <c r="V163" s="73" t="s">
        <v>256</v>
      </c>
      <c r="W163" s="117" t="s">
        <v>344</v>
      </c>
      <c r="X163" s="117" t="s">
        <v>344</v>
      </c>
    </row>
    <row r="164" spans="1:24" x14ac:dyDescent="0.2">
      <c r="A164" s="30" t="s">
        <v>207</v>
      </c>
      <c r="B164" s="16" t="s">
        <v>47</v>
      </c>
      <c r="C164" s="17" t="s">
        <v>8</v>
      </c>
      <c r="D164" s="49">
        <v>1.3999999999999999E-2</v>
      </c>
      <c r="E164" s="49">
        <v>1.3999999999999999E-2</v>
      </c>
      <c r="F164" s="78">
        <v>1.4999999999999999E-2</v>
      </c>
      <c r="G164" s="78">
        <v>1.3000000000000001E-2</v>
      </c>
      <c r="H164" s="78">
        <v>1.2E-2</v>
      </c>
      <c r="I164" s="78">
        <v>1.7000000000000001E-2</v>
      </c>
      <c r="J164" s="75">
        <v>1.9E-2</v>
      </c>
      <c r="K164" s="75">
        <v>1.9E-2</v>
      </c>
      <c r="L164" s="75">
        <v>1.8000000000000002E-2</v>
      </c>
      <c r="M164" s="75">
        <v>1.7000000000000001E-2</v>
      </c>
      <c r="N164" s="75">
        <v>1.7000000000000001E-2</v>
      </c>
      <c r="O164" s="75">
        <v>1.7000000000000001E-2</v>
      </c>
      <c r="P164" s="75">
        <v>1.6E-2</v>
      </c>
      <c r="Q164" s="75">
        <v>1.7000000000000001E-2</v>
      </c>
      <c r="R164" s="76">
        <v>1.3000000000000001E-2</v>
      </c>
      <c r="S164" s="75">
        <v>1.7000000000000001E-2</v>
      </c>
      <c r="T164" s="75">
        <v>2.2000000000000002E-2</v>
      </c>
      <c r="U164" s="79" t="s">
        <v>256</v>
      </c>
      <c r="V164" s="97">
        <v>2.6000000000000002E-2</v>
      </c>
      <c r="W164" s="117" t="s">
        <v>344</v>
      </c>
      <c r="X164" s="117" t="s">
        <v>344</v>
      </c>
    </row>
    <row r="165" spans="1:24" x14ac:dyDescent="0.2">
      <c r="A165" s="30" t="s">
        <v>207</v>
      </c>
      <c r="B165" s="16" t="s">
        <v>47</v>
      </c>
      <c r="C165" s="17" t="s">
        <v>9</v>
      </c>
      <c r="D165" s="49">
        <v>1.3999999999999999E-2</v>
      </c>
      <c r="E165" s="49">
        <v>1.3999999999999999E-2</v>
      </c>
      <c r="F165" s="78">
        <v>1.6E-2</v>
      </c>
      <c r="G165" s="78">
        <v>1.7000000000000001E-2</v>
      </c>
      <c r="H165" s="78">
        <v>1.8000000000000002E-2</v>
      </c>
      <c r="I165" s="78">
        <v>2.1000000000000001E-2</v>
      </c>
      <c r="J165" s="75">
        <v>0.02</v>
      </c>
      <c r="K165" s="75">
        <v>1.9E-2</v>
      </c>
      <c r="L165" s="75">
        <v>0.02</v>
      </c>
      <c r="M165" s="75">
        <v>2.1000000000000001E-2</v>
      </c>
      <c r="N165" s="75">
        <v>1.8000000000000002E-2</v>
      </c>
      <c r="O165" s="75">
        <v>2.1000000000000001E-2</v>
      </c>
      <c r="P165" s="75">
        <v>1.7000000000000001E-2</v>
      </c>
      <c r="Q165" s="75">
        <v>1.7000000000000001E-2</v>
      </c>
      <c r="R165" s="76">
        <v>1.6E-2</v>
      </c>
      <c r="S165" s="75">
        <v>1.6E-2</v>
      </c>
      <c r="T165" s="75">
        <v>2.2000000000000002E-2</v>
      </c>
      <c r="U165" s="29">
        <v>2.5000000000000001E-2</v>
      </c>
      <c r="V165" s="97">
        <v>1.9E-2</v>
      </c>
      <c r="W165" s="117" t="s">
        <v>344</v>
      </c>
      <c r="X165" s="117" t="s">
        <v>344</v>
      </c>
    </row>
    <row r="166" spans="1:24" x14ac:dyDescent="0.2">
      <c r="A166" s="30" t="s">
        <v>207</v>
      </c>
      <c r="B166" s="16" t="s">
        <v>47</v>
      </c>
      <c r="C166" s="17" t="s">
        <v>33</v>
      </c>
      <c r="D166" s="49">
        <v>1.8000000000000002E-2</v>
      </c>
      <c r="E166" s="49">
        <v>1.9E-2</v>
      </c>
      <c r="F166" s="78">
        <v>1.8000000000000002E-2</v>
      </c>
      <c r="G166" s="78">
        <v>1.6E-2</v>
      </c>
      <c r="H166" s="78">
        <v>1.4999999999999999E-2</v>
      </c>
      <c r="I166" s="78">
        <v>1.9E-2</v>
      </c>
      <c r="J166" s="75">
        <v>0.02</v>
      </c>
      <c r="K166" s="75">
        <v>2.2000000000000002E-2</v>
      </c>
      <c r="L166" s="75">
        <v>2.5000000000000001E-2</v>
      </c>
      <c r="M166" s="75">
        <v>2.4E-2</v>
      </c>
      <c r="N166" s="75">
        <v>2.4E-2</v>
      </c>
      <c r="O166" s="75">
        <v>2.3E-2</v>
      </c>
      <c r="P166" s="75">
        <v>1.9E-2</v>
      </c>
      <c r="Q166" s="75">
        <v>1.8000000000000002E-2</v>
      </c>
      <c r="R166" s="76">
        <v>1.9E-2</v>
      </c>
      <c r="S166" s="75">
        <v>1.4999999999999999E-2</v>
      </c>
      <c r="T166" s="75">
        <v>1.9E-2</v>
      </c>
      <c r="U166" s="29">
        <v>1.7000000000000001E-2</v>
      </c>
      <c r="V166" s="97">
        <v>1.7000000000000001E-2</v>
      </c>
      <c r="W166" s="117" t="s">
        <v>344</v>
      </c>
      <c r="X166" s="117" t="s">
        <v>344</v>
      </c>
    </row>
    <row r="167" spans="1:24" x14ac:dyDescent="0.2">
      <c r="A167" s="30" t="s">
        <v>207</v>
      </c>
      <c r="B167" s="16" t="s">
        <v>47</v>
      </c>
      <c r="C167" s="17" t="s">
        <v>10</v>
      </c>
      <c r="D167" s="49">
        <v>1.3000000000000001E-2</v>
      </c>
      <c r="E167" s="49">
        <v>1.3000000000000001E-2</v>
      </c>
      <c r="F167" s="78">
        <v>1.3000000000000001E-2</v>
      </c>
      <c r="G167" s="78">
        <v>1.2E-2</v>
      </c>
      <c r="H167" s="78">
        <v>1.1000000000000001E-2</v>
      </c>
      <c r="I167" s="78">
        <v>1.1000000000000001E-2</v>
      </c>
      <c r="J167" s="75">
        <v>0.01</v>
      </c>
      <c r="K167" s="75">
        <v>1.3999999999999999E-2</v>
      </c>
      <c r="L167" s="75">
        <v>1.4999999999999999E-2</v>
      </c>
      <c r="M167" s="75">
        <v>1.7000000000000001E-2</v>
      </c>
      <c r="N167" s="75">
        <v>1.4999999999999999E-2</v>
      </c>
      <c r="O167" s="75">
        <v>1.4999999999999999E-2</v>
      </c>
      <c r="P167" s="75">
        <v>1.7000000000000001E-2</v>
      </c>
      <c r="Q167" s="75">
        <v>1.6E-2</v>
      </c>
      <c r="R167" s="76">
        <v>1.3999999999999999E-2</v>
      </c>
      <c r="S167" s="79" t="s">
        <v>256</v>
      </c>
      <c r="T167" s="79" t="s">
        <v>256</v>
      </c>
      <c r="U167" s="79" t="s">
        <v>256</v>
      </c>
      <c r="V167" s="73" t="s">
        <v>256</v>
      </c>
      <c r="W167" s="117" t="s">
        <v>344</v>
      </c>
      <c r="X167" s="117" t="s">
        <v>344</v>
      </c>
    </row>
    <row r="168" spans="1:24" x14ac:dyDescent="0.2">
      <c r="A168" s="30" t="s">
        <v>207</v>
      </c>
      <c r="B168" s="16" t="s">
        <v>47</v>
      </c>
      <c r="C168" s="17" t="s">
        <v>11</v>
      </c>
      <c r="D168" s="49">
        <v>1.9E-2</v>
      </c>
      <c r="E168" s="49">
        <v>1.7000000000000001E-2</v>
      </c>
      <c r="F168" s="78">
        <v>1.8000000000000002E-2</v>
      </c>
      <c r="G168" s="78">
        <v>0.02</v>
      </c>
      <c r="H168" s="78">
        <v>1.8000000000000002E-2</v>
      </c>
      <c r="I168" s="78">
        <v>2.3E-2</v>
      </c>
      <c r="J168" s="75">
        <v>2.2000000000000002E-2</v>
      </c>
      <c r="K168" s="75">
        <v>2.5000000000000001E-2</v>
      </c>
      <c r="L168" s="75">
        <v>2.7999999999999997E-2</v>
      </c>
      <c r="M168" s="75">
        <v>1.9E-2</v>
      </c>
      <c r="N168" s="75">
        <v>2.1000000000000001E-2</v>
      </c>
      <c r="O168" s="75">
        <v>2.4E-2</v>
      </c>
      <c r="P168" s="75">
        <v>1.9E-2</v>
      </c>
      <c r="Q168" s="75">
        <v>0.02</v>
      </c>
      <c r="R168" s="76">
        <v>1.8000000000000002E-2</v>
      </c>
      <c r="S168" s="75">
        <v>2.1000000000000001E-2</v>
      </c>
      <c r="T168" s="75">
        <v>2.3E-2</v>
      </c>
      <c r="U168" s="29">
        <v>2.2000000000000002E-2</v>
      </c>
      <c r="V168" s="73" t="s">
        <v>256</v>
      </c>
      <c r="W168" s="117" t="s">
        <v>344</v>
      </c>
      <c r="X168" s="117" t="s">
        <v>344</v>
      </c>
    </row>
    <row r="169" spans="1:24" x14ac:dyDescent="0.2">
      <c r="A169" s="30" t="s">
        <v>207</v>
      </c>
      <c r="B169" s="16" t="s">
        <v>47</v>
      </c>
      <c r="C169" s="17" t="s">
        <v>12</v>
      </c>
      <c r="D169" s="49">
        <v>1.3000000000000001E-2</v>
      </c>
      <c r="E169" s="49">
        <v>1.4999999999999999E-2</v>
      </c>
      <c r="F169" s="78">
        <v>1.8000000000000002E-2</v>
      </c>
      <c r="G169" s="78">
        <v>1.6E-2</v>
      </c>
      <c r="H169" s="78">
        <v>1.6E-2</v>
      </c>
      <c r="I169" s="78">
        <v>2.2000000000000002E-2</v>
      </c>
      <c r="J169" s="75">
        <v>2.1000000000000001E-2</v>
      </c>
      <c r="K169" s="75">
        <v>2.1000000000000001E-2</v>
      </c>
      <c r="L169" s="75">
        <v>1.8000000000000002E-2</v>
      </c>
      <c r="M169" s="75">
        <v>1.9E-2</v>
      </c>
      <c r="N169" s="75">
        <v>2.1000000000000001E-2</v>
      </c>
      <c r="O169" s="75">
        <v>1.8000000000000002E-2</v>
      </c>
      <c r="P169" s="75">
        <v>1.8000000000000002E-2</v>
      </c>
      <c r="Q169" s="79" t="s">
        <v>256</v>
      </c>
      <c r="R169" s="76">
        <v>1.4999999999999999E-2</v>
      </c>
      <c r="S169" s="75">
        <v>1.3000000000000001E-2</v>
      </c>
      <c r="T169" s="79" t="s">
        <v>256</v>
      </c>
      <c r="U169" s="79" t="s">
        <v>256</v>
      </c>
      <c r="V169" s="73" t="s">
        <v>256</v>
      </c>
      <c r="W169" s="117" t="s">
        <v>344</v>
      </c>
      <c r="X169" s="117" t="s">
        <v>344</v>
      </c>
    </row>
    <row r="170" spans="1:24" x14ac:dyDescent="0.2">
      <c r="A170" s="30" t="s">
        <v>207</v>
      </c>
      <c r="B170" s="16" t="s">
        <v>47</v>
      </c>
      <c r="C170" s="17" t="s">
        <v>13</v>
      </c>
      <c r="D170" s="49">
        <v>1.3000000000000001E-2</v>
      </c>
      <c r="E170" s="49">
        <v>1.1000000000000001E-2</v>
      </c>
      <c r="F170" s="78">
        <v>1.1000000000000001E-2</v>
      </c>
      <c r="G170" s="78">
        <v>9.0000000000000011E-3</v>
      </c>
      <c r="H170" s="78">
        <v>1.1000000000000001E-2</v>
      </c>
      <c r="I170" s="78">
        <v>1.4999999999999999E-2</v>
      </c>
      <c r="J170" s="75">
        <v>1.3000000000000001E-2</v>
      </c>
      <c r="K170" s="75">
        <v>1.4999999999999999E-2</v>
      </c>
      <c r="L170" s="75">
        <v>1.3999999999999999E-2</v>
      </c>
      <c r="M170" s="75">
        <v>1.4999999999999999E-2</v>
      </c>
      <c r="N170" s="75">
        <v>1.4999999999999999E-2</v>
      </c>
      <c r="O170" s="75">
        <v>1.4999999999999999E-2</v>
      </c>
      <c r="P170" s="75">
        <v>1.8000000000000002E-2</v>
      </c>
      <c r="Q170" s="75">
        <v>1.8000000000000002E-2</v>
      </c>
      <c r="R170" s="76">
        <v>1.9E-2</v>
      </c>
      <c r="S170" s="75">
        <v>1.6E-2</v>
      </c>
      <c r="T170" s="75">
        <v>1.8000000000000002E-2</v>
      </c>
      <c r="U170" s="79" t="s">
        <v>256</v>
      </c>
      <c r="V170" s="97">
        <v>2.4E-2</v>
      </c>
      <c r="W170" s="117" t="s">
        <v>344</v>
      </c>
      <c r="X170" s="117" t="s">
        <v>344</v>
      </c>
    </row>
    <row r="171" spans="1:24" x14ac:dyDescent="0.2">
      <c r="A171" s="30" t="s">
        <v>207</v>
      </c>
      <c r="B171" s="16" t="s">
        <v>47</v>
      </c>
      <c r="C171" s="17" t="s">
        <v>7</v>
      </c>
      <c r="D171" s="49">
        <v>0.03</v>
      </c>
      <c r="E171" s="73" t="s">
        <v>256</v>
      </c>
      <c r="F171" s="78">
        <v>3.3000000000000002E-2</v>
      </c>
      <c r="G171" s="79" t="s">
        <v>256</v>
      </c>
      <c r="H171" s="79" t="s">
        <v>256</v>
      </c>
      <c r="I171" s="78">
        <v>5.2999999999999999E-2</v>
      </c>
      <c r="J171" s="79" t="s">
        <v>256</v>
      </c>
      <c r="K171" s="79" t="s">
        <v>256</v>
      </c>
      <c r="L171" s="75">
        <v>0.04</v>
      </c>
      <c r="M171" s="75">
        <v>3.6000000000000004E-2</v>
      </c>
      <c r="N171" s="75">
        <v>0.03</v>
      </c>
      <c r="O171" s="79" t="s">
        <v>256</v>
      </c>
      <c r="P171" s="79" t="s">
        <v>256</v>
      </c>
      <c r="Q171" s="79" t="s">
        <v>256</v>
      </c>
      <c r="R171" s="79" t="s">
        <v>256</v>
      </c>
      <c r="S171" s="79" t="s">
        <v>256</v>
      </c>
      <c r="T171" s="79" t="s">
        <v>256</v>
      </c>
      <c r="U171" s="79" t="s">
        <v>256</v>
      </c>
      <c r="V171" s="98" t="s">
        <v>208</v>
      </c>
      <c r="W171" s="117" t="s">
        <v>344</v>
      </c>
      <c r="X171" s="117" t="s">
        <v>344</v>
      </c>
    </row>
    <row r="172" spans="1:24" x14ac:dyDescent="0.2">
      <c r="A172" s="30" t="s">
        <v>207</v>
      </c>
      <c r="B172" s="16" t="s">
        <v>47</v>
      </c>
      <c r="C172" s="17" t="s">
        <v>14</v>
      </c>
      <c r="D172" s="49">
        <v>1.8000000000000002E-2</v>
      </c>
      <c r="E172" s="49">
        <v>1.4999999999999999E-2</v>
      </c>
      <c r="F172" s="78">
        <v>1.8000000000000002E-2</v>
      </c>
      <c r="G172" s="78">
        <v>1.6E-2</v>
      </c>
      <c r="H172" s="78">
        <v>1.8000000000000002E-2</v>
      </c>
      <c r="I172" s="78">
        <v>2.2000000000000002E-2</v>
      </c>
      <c r="J172" s="75">
        <v>2.3E-2</v>
      </c>
      <c r="K172" s="75">
        <v>2.5000000000000001E-2</v>
      </c>
      <c r="L172" s="75">
        <v>2.5000000000000001E-2</v>
      </c>
      <c r="M172" s="75">
        <v>2.7000000000000003E-2</v>
      </c>
      <c r="N172" s="75">
        <v>1.9E-2</v>
      </c>
      <c r="O172" s="75">
        <v>2.5000000000000001E-2</v>
      </c>
      <c r="P172" s="75">
        <v>2.6000000000000002E-2</v>
      </c>
      <c r="Q172" s="75">
        <v>2.2000000000000002E-2</v>
      </c>
      <c r="R172" s="76">
        <v>1.9E-2</v>
      </c>
      <c r="S172" s="75">
        <v>0.02</v>
      </c>
      <c r="T172" s="75">
        <v>2.5000000000000001E-2</v>
      </c>
      <c r="U172" s="29">
        <v>2.8999999999999998E-2</v>
      </c>
      <c r="V172" s="79" t="s">
        <v>256</v>
      </c>
      <c r="W172" s="117" t="s">
        <v>344</v>
      </c>
      <c r="X172" s="117" t="s">
        <v>344</v>
      </c>
    </row>
    <row r="173" spans="1:24" x14ac:dyDescent="0.2">
      <c r="A173" s="30" t="s">
        <v>207</v>
      </c>
      <c r="B173" s="16" t="s">
        <v>47</v>
      </c>
      <c r="C173" s="17" t="s">
        <v>31</v>
      </c>
      <c r="D173" s="49">
        <v>1.4999999999999999E-2</v>
      </c>
      <c r="E173" s="49">
        <v>1.6E-2</v>
      </c>
      <c r="F173" s="78">
        <v>1.4999999999999999E-2</v>
      </c>
      <c r="G173" s="78">
        <v>1.4999999999999999E-2</v>
      </c>
      <c r="H173" s="78">
        <v>1.9E-2</v>
      </c>
      <c r="I173" s="78">
        <v>0.02</v>
      </c>
      <c r="J173" s="75">
        <v>2.2000000000000002E-2</v>
      </c>
      <c r="K173" s="75">
        <v>2.1000000000000001E-2</v>
      </c>
      <c r="L173" s="75">
        <v>2.1000000000000001E-2</v>
      </c>
      <c r="M173" s="75">
        <v>2.1000000000000001E-2</v>
      </c>
      <c r="N173" s="75">
        <v>1.8000000000000002E-2</v>
      </c>
      <c r="O173" s="75">
        <v>1.9E-2</v>
      </c>
      <c r="P173" s="75">
        <v>1.3000000000000001E-2</v>
      </c>
      <c r="Q173" s="75">
        <v>1.8000000000000002E-2</v>
      </c>
      <c r="R173" s="76">
        <v>1.6E-2</v>
      </c>
      <c r="S173" s="75">
        <v>1.7000000000000001E-2</v>
      </c>
      <c r="T173" s="75">
        <v>2.5000000000000001E-2</v>
      </c>
      <c r="U173" s="29">
        <v>0.02</v>
      </c>
      <c r="V173" s="79" t="s">
        <v>256</v>
      </c>
      <c r="W173" s="117" t="s">
        <v>344</v>
      </c>
      <c r="X173" s="117" t="s">
        <v>344</v>
      </c>
    </row>
    <row r="174" spans="1:24" x14ac:dyDescent="0.2">
      <c r="A174" s="30" t="s">
        <v>207</v>
      </c>
      <c r="B174" s="16" t="s">
        <v>47</v>
      </c>
      <c r="C174" s="17" t="s">
        <v>15</v>
      </c>
      <c r="D174" s="73" t="s">
        <v>256</v>
      </c>
      <c r="E174" s="73" t="s">
        <v>256</v>
      </c>
      <c r="F174" s="29" t="s">
        <v>208</v>
      </c>
      <c r="G174" s="79" t="s">
        <v>256</v>
      </c>
      <c r="H174" s="79" t="s">
        <v>256</v>
      </c>
      <c r="I174" s="79" t="s">
        <v>256</v>
      </c>
      <c r="J174" s="79" t="s">
        <v>256</v>
      </c>
      <c r="K174" s="79" t="s">
        <v>256</v>
      </c>
      <c r="L174" s="79" t="s">
        <v>256</v>
      </c>
      <c r="M174" s="29" t="s">
        <v>208</v>
      </c>
      <c r="N174" s="79" t="s">
        <v>256</v>
      </c>
      <c r="O174" s="29" t="s">
        <v>208</v>
      </c>
      <c r="P174" s="29" t="s">
        <v>208</v>
      </c>
      <c r="Q174" s="29" t="s">
        <v>208</v>
      </c>
      <c r="R174" s="29" t="s">
        <v>208</v>
      </c>
      <c r="S174" s="29" t="s">
        <v>208</v>
      </c>
      <c r="T174" s="29" t="s">
        <v>208</v>
      </c>
      <c r="U174" s="79" t="s">
        <v>256</v>
      </c>
      <c r="V174" s="98" t="s">
        <v>208</v>
      </c>
      <c r="W174" s="117" t="s">
        <v>344</v>
      </c>
      <c r="X174" s="117" t="s">
        <v>344</v>
      </c>
    </row>
    <row r="175" spans="1:24" x14ac:dyDescent="0.2">
      <c r="A175" s="30" t="s">
        <v>207</v>
      </c>
      <c r="B175" s="16" t="s">
        <v>47</v>
      </c>
      <c r="C175" s="17" t="s">
        <v>16</v>
      </c>
      <c r="D175" s="49">
        <v>1.2E-2</v>
      </c>
      <c r="E175" s="49">
        <v>1.1000000000000001E-2</v>
      </c>
      <c r="F175" s="78">
        <v>1.1000000000000001E-2</v>
      </c>
      <c r="G175" s="78">
        <v>1.1000000000000001E-2</v>
      </c>
      <c r="H175" s="78">
        <v>1.2E-2</v>
      </c>
      <c r="I175" s="78">
        <v>1.3000000000000001E-2</v>
      </c>
      <c r="J175" s="75">
        <v>1.4999999999999999E-2</v>
      </c>
      <c r="K175" s="75">
        <v>1.6E-2</v>
      </c>
      <c r="L175" s="75">
        <v>1.8000000000000002E-2</v>
      </c>
      <c r="M175" s="75">
        <v>1.7000000000000001E-2</v>
      </c>
      <c r="N175" s="75">
        <v>1.6E-2</v>
      </c>
      <c r="O175" s="75">
        <v>1.7000000000000001E-2</v>
      </c>
      <c r="P175" s="75">
        <v>1.7000000000000001E-2</v>
      </c>
      <c r="Q175" s="75">
        <v>1.4999999999999999E-2</v>
      </c>
      <c r="R175" s="76">
        <v>1.4999999999999999E-2</v>
      </c>
      <c r="S175" s="75">
        <v>1.2E-2</v>
      </c>
      <c r="T175" s="75">
        <v>0.02</v>
      </c>
      <c r="U175" s="79" t="s">
        <v>256</v>
      </c>
      <c r="V175" s="79" t="s">
        <v>256</v>
      </c>
      <c r="W175" s="117" t="s">
        <v>344</v>
      </c>
      <c r="X175" s="117" t="s">
        <v>344</v>
      </c>
    </row>
    <row r="176" spans="1:24" x14ac:dyDescent="0.2">
      <c r="A176" s="30" t="s">
        <v>207</v>
      </c>
      <c r="B176" s="16" t="s">
        <v>47</v>
      </c>
      <c r="C176" s="17" t="s">
        <v>26</v>
      </c>
      <c r="D176" s="49">
        <v>1.3000000000000001E-2</v>
      </c>
      <c r="E176" s="49">
        <v>1.3999999999999999E-2</v>
      </c>
      <c r="F176" s="78">
        <v>1.3000000000000001E-2</v>
      </c>
      <c r="G176" s="78">
        <v>1.3999999999999999E-2</v>
      </c>
      <c r="H176" s="78">
        <v>1.4999999999999999E-2</v>
      </c>
      <c r="I176" s="78">
        <v>1.8000000000000002E-2</v>
      </c>
      <c r="J176" s="75">
        <v>1.9E-2</v>
      </c>
      <c r="K176" s="75">
        <v>2.3E-2</v>
      </c>
      <c r="L176" s="75">
        <v>2.1000000000000001E-2</v>
      </c>
      <c r="M176" s="75">
        <v>1.9E-2</v>
      </c>
      <c r="N176" s="75">
        <v>1.9E-2</v>
      </c>
      <c r="O176" s="75">
        <v>1.7000000000000001E-2</v>
      </c>
      <c r="P176" s="75">
        <v>1.6E-2</v>
      </c>
      <c r="Q176" s="75">
        <v>1.6E-2</v>
      </c>
      <c r="R176" s="76">
        <v>1.9E-2</v>
      </c>
      <c r="S176" s="75">
        <v>1.7000000000000001E-2</v>
      </c>
      <c r="T176" s="75">
        <v>2.1000000000000001E-2</v>
      </c>
      <c r="U176" s="29">
        <v>2.1000000000000001E-2</v>
      </c>
      <c r="V176" s="97">
        <v>2.3E-2</v>
      </c>
      <c r="W176" s="117" t="s">
        <v>344</v>
      </c>
      <c r="X176" s="117" t="s">
        <v>344</v>
      </c>
    </row>
    <row r="177" spans="1:24" x14ac:dyDescent="0.2">
      <c r="A177" s="30" t="s">
        <v>207</v>
      </c>
      <c r="B177" s="16" t="s">
        <v>47</v>
      </c>
      <c r="C177" s="17" t="s">
        <v>17</v>
      </c>
      <c r="D177" s="49">
        <v>0.01</v>
      </c>
      <c r="E177" s="49">
        <v>1.3000000000000001E-2</v>
      </c>
      <c r="F177" s="78">
        <v>1.3000000000000001E-2</v>
      </c>
      <c r="G177" s="78">
        <v>1.1000000000000001E-2</v>
      </c>
      <c r="H177" s="78">
        <v>1.3999999999999999E-2</v>
      </c>
      <c r="I177" s="78">
        <v>1.8000000000000002E-2</v>
      </c>
      <c r="J177" s="75">
        <v>1.7000000000000001E-2</v>
      </c>
      <c r="K177" s="75">
        <v>1.6E-2</v>
      </c>
      <c r="L177" s="75">
        <v>1.7000000000000001E-2</v>
      </c>
      <c r="M177" s="75">
        <v>1.3000000000000001E-2</v>
      </c>
      <c r="N177" s="75">
        <v>1.3000000000000001E-2</v>
      </c>
      <c r="O177" s="75">
        <v>1.4999999999999999E-2</v>
      </c>
      <c r="P177" s="75">
        <v>1.9E-2</v>
      </c>
      <c r="Q177" s="75">
        <v>1.7000000000000001E-2</v>
      </c>
      <c r="R177" s="76">
        <v>1.6E-2</v>
      </c>
      <c r="S177" s="75">
        <v>1.4999999999999999E-2</v>
      </c>
      <c r="T177" s="79" t="s">
        <v>256</v>
      </c>
      <c r="U177" s="29">
        <v>0.03</v>
      </c>
      <c r="V177" s="97">
        <v>2.5000000000000001E-2</v>
      </c>
      <c r="W177" s="117" t="s">
        <v>344</v>
      </c>
      <c r="X177" s="117" t="s">
        <v>344</v>
      </c>
    </row>
    <row r="178" spans="1:24" x14ac:dyDescent="0.2">
      <c r="A178" s="30" t="s">
        <v>207</v>
      </c>
      <c r="B178" s="16" t="s">
        <v>47</v>
      </c>
      <c r="C178" s="17" t="s">
        <v>18</v>
      </c>
      <c r="D178" s="73" t="s">
        <v>256</v>
      </c>
      <c r="E178" s="73" t="s">
        <v>256</v>
      </c>
      <c r="F178" s="78">
        <v>2.7999999999999997E-2</v>
      </c>
      <c r="G178" s="79" t="s">
        <v>256</v>
      </c>
      <c r="H178" s="79" t="s">
        <v>256</v>
      </c>
      <c r="I178" s="79" t="s">
        <v>256</v>
      </c>
      <c r="J178" s="79" t="s">
        <v>256</v>
      </c>
      <c r="K178" s="29" t="s">
        <v>208</v>
      </c>
      <c r="L178" s="29" t="s">
        <v>208</v>
      </c>
      <c r="M178" s="79" t="s">
        <v>256</v>
      </c>
      <c r="N178" s="79" t="s">
        <v>256</v>
      </c>
      <c r="O178" s="29" t="s">
        <v>208</v>
      </c>
      <c r="P178" s="79" t="s">
        <v>256</v>
      </c>
      <c r="Q178" s="29" t="s">
        <v>208</v>
      </c>
      <c r="R178" s="29" t="s">
        <v>208</v>
      </c>
      <c r="S178" s="29" t="s">
        <v>208</v>
      </c>
      <c r="T178" s="29" t="s">
        <v>208</v>
      </c>
      <c r="U178" s="29" t="s">
        <v>208</v>
      </c>
      <c r="V178" s="98" t="s">
        <v>208</v>
      </c>
      <c r="W178" s="117" t="s">
        <v>344</v>
      </c>
      <c r="X178" s="117" t="s">
        <v>344</v>
      </c>
    </row>
    <row r="179" spans="1:24" x14ac:dyDescent="0.2">
      <c r="A179" s="30" t="s">
        <v>207</v>
      </c>
      <c r="B179" s="16" t="s">
        <v>47</v>
      </c>
      <c r="C179" s="17" t="s">
        <v>19</v>
      </c>
      <c r="D179" s="49">
        <v>1.6E-2</v>
      </c>
      <c r="E179" s="49">
        <v>1.3999999999999999E-2</v>
      </c>
      <c r="F179" s="49">
        <v>1.4999999999999999E-2</v>
      </c>
      <c r="G179" s="49">
        <v>1.3999999999999999E-2</v>
      </c>
      <c r="H179" s="49">
        <v>1.4999999999999999E-2</v>
      </c>
      <c r="I179" s="49">
        <v>1.8000000000000002E-2</v>
      </c>
      <c r="J179" s="50">
        <v>2.1000000000000001E-2</v>
      </c>
      <c r="K179" s="50">
        <v>2.3E-2</v>
      </c>
      <c r="L179" s="50">
        <v>2.3E-2</v>
      </c>
      <c r="M179" s="50">
        <v>1.9E-2</v>
      </c>
      <c r="N179" s="50">
        <v>0.02</v>
      </c>
      <c r="O179" s="50">
        <v>1.8000000000000002E-2</v>
      </c>
      <c r="P179" s="50">
        <v>1.7000000000000001E-2</v>
      </c>
      <c r="Q179" s="50">
        <v>1.7000000000000001E-2</v>
      </c>
      <c r="R179" s="51">
        <v>1.6E-2</v>
      </c>
      <c r="S179" s="50">
        <v>1.7000000000000001E-2</v>
      </c>
      <c r="T179" s="50">
        <v>2.2000000000000002E-2</v>
      </c>
      <c r="U179" s="48">
        <v>2.7999999999999997E-2</v>
      </c>
      <c r="V179" s="97">
        <v>0.03</v>
      </c>
      <c r="W179" s="117" t="s">
        <v>344</v>
      </c>
      <c r="X179" s="117" t="s">
        <v>344</v>
      </c>
    </row>
    <row r="180" spans="1:24" x14ac:dyDescent="0.2">
      <c r="A180" s="30" t="s">
        <v>207</v>
      </c>
      <c r="B180" s="16" t="s">
        <v>47</v>
      </c>
      <c r="C180" s="17" t="s">
        <v>20</v>
      </c>
      <c r="D180" s="49">
        <v>1.3000000000000001E-2</v>
      </c>
      <c r="E180" s="49">
        <v>1.3999999999999999E-2</v>
      </c>
      <c r="F180" s="49">
        <v>1.3000000000000001E-2</v>
      </c>
      <c r="G180" s="49">
        <v>1.1000000000000001E-2</v>
      </c>
      <c r="H180" s="49">
        <v>1.2E-2</v>
      </c>
      <c r="I180" s="49">
        <v>1.6E-2</v>
      </c>
      <c r="J180" s="50">
        <v>1.7000000000000001E-2</v>
      </c>
      <c r="K180" s="50">
        <v>1.8000000000000002E-2</v>
      </c>
      <c r="L180" s="50">
        <v>1.4999999999999999E-2</v>
      </c>
      <c r="M180" s="50">
        <v>0.02</v>
      </c>
      <c r="N180" s="50">
        <v>1.6E-2</v>
      </c>
      <c r="O180" s="50">
        <v>1.3999999999999999E-2</v>
      </c>
      <c r="P180" s="50">
        <v>1.6E-2</v>
      </c>
      <c r="Q180" s="50">
        <v>1.3999999999999999E-2</v>
      </c>
      <c r="R180" s="51">
        <v>1.4999999999999999E-2</v>
      </c>
      <c r="S180" s="50">
        <v>1.2E-2</v>
      </c>
      <c r="T180" s="50">
        <v>1.8000000000000002E-2</v>
      </c>
      <c r="U180" s="48">
        <v>1.8000000000000002E-2</v>
      </c>
      <c r="V180" s="97">
        <v>1.7000000000000001E-2</v>
      </c>
      <c r="W180" s="117" t="s">
        <v>344</v>
      </c>
      <c r="X180" s="117" t="s">
        <v>344</v>
      </c>
    </row>
    <row r="181" spans="1:24" x14ac:dyDescent="0.2">
      <c r="A181" s="30" t="s">
        <v>207</v>
      </c>
      <c r="B181" s="16" t="s">
        <v>47</v>
      </c>
      <c r="C181" s="17" t="s">
        <v>21</v>
      </c>
      <c r="D181" s="49">
        <v>1.4999999999999999E-2</v>
      </c>
      <c r="E181" s="49">
        <v>1.3999999999999999E-2</v>
      </c>
      <c r="F181" s="49">
        <v>1.6E-2</v>
      </c>
      <c r="G181" s="49">
        <v>1.6E-2</v>
      </c>
      <c r="H181" s="49">
        <v>1.9E-2</v>
      </c>
      <c r="I181" s="49">
        <v>2.3E-2</v>
      </c>
      <c r="J181" s="50">
        <v>2.1000000000000001E-2</v>
      </c>
      <c r="K181" s="50">
        <v>0.02</v>
      </c>
      <c r="L181" s="50">
        <v>2.4E-2</v>
      </c>
      <c r="M181" s="50">
        <v>2.2000000000000002E-2</v>
      </c>
      <c r="N181" s="50">
        <v>1.7000000000000001E-2</v>
      </c>
      <c r="O181" s="50">
        <v>1.8000000000000002E-2</v>
      </c>
      <c r="P181" s="50">
        <v>1.6E-2</v>
      </c>
      <c r="Q181" s="50">
        <v>1.4999999999999999E-2</v>
      </c>
      <c r="R181" s="51">
        <v>1.3000000000000001E-2</v>
      </c>
      <c r="S181" s="50">
        <v>1.7000000000000001E-2</v>
      </c>
      <c r="T181" s="50">
        <v>1.8000000000000002E-2</v>
      </c>
      <c r="U181" s="73" t="s">
        <v>256</v>
      </c>
      <c r="V181" s="97">
        <v>1.9E-2</v>
      </c>
      <c r="W181" s="117" t="s">
        <v>344</v>
      </c>
      <c r="X181" s="117" t="s">
        <v>344</v>
      </c>
    </row>
    <row r="182" spans="1:24" x14ac:dyDescent="0.2">
      <c r="A182" s="30" t="s">
        <v>207</v>
      </c>
      <c r="B182" s="16" t="s">
        <v>47</v>
      </c>
      <c r="C182" s="17" t="s">
        <v>27</v>
      </c>
      <c r="D182" s="49">
        <v>1.6E-2</v>
      </c>
      <c r="E182" s="49">
        <v>1.4999999999999999E-2</v>
      </c>
      <c r="F182" s="49">
        <v>1.4999999999999999E-2</v>
      </c>
      <c r="G182" s="49">
        <v>1.6E-2</v>
      </c>
      <c r="H182" s="49">
        <v>1.8000000000000002E-2</v>
      </c>
      <c r="I182" s="49">
        <v>0.02</v>
      </c>
      <c r="J182" s="50">
        <v>2.2000000000000002E-2</v>
      </c>
      <c r="K182" s="50">
        <v>2.3E-2</v>
      </c>
      <c r="L182" s="50">
        <v>2.3E-2</v>
      </c>
      <c r="M182" s="50">
        <v>2.2000000000000002E-2</v>
      </c>
      <c r="N182" s="50">
        <v>2.2000000000000002E-2</v>
      </c>
      <c r="O182" s="50">
        <v>2.1000000000000001E-2</v>
      </c>
      <c r="P182" s="50">
        <v>0.02</v>
      </c>
      <c r="Q182" s="50">
        <v>1.8000000000000002E-2</v>
      </c>
      <c r="R182" s="51">
        <v>1.6E-2</v>
      </c>
      <c r="S182" s="50">
        <v>1.6E-2</v>
      </c>
      <c r="T182" s="50">
        <v>2.1000000000000001E-2</v>
      </c>
      <c r="U182" s="48">
        <v>2.2000000000000002E-2</v>
      </c>
      <c r="V182" s="97">
        <v>1.8000000000000002E-2</v>
      </c>
      <c r="W182" s="117" t="s">
        <v>344</v>
      </c>
      <c r="X182" s="117" t="s">
        <v>344</v>
      </c>
    </row>
    <row r="183" spans="1:24" x14ac:dyDescent="0.2">
      <c r="A183" s="30" t="s">
        <v>207</v>
      </c>
      <c r="B183" s="16" t="s">
        <v>47</v>
      </c>
      <c r="C183" s="17" t="s">
        <v>28</v>
      </c>
      <c r="D183" s="49">
        <v>1.3000000000000001E-2</v>
      </c>
      <c r="E183" s="49">
        <v>1.3999999999999999E-2</v>
      </c>
      <c r="F183" s="49">
        <v>1.4999999999999999E-2</v>
      </c>
      <c r="G183" s="49">
        <v>1.4999999999999999E-2</v>
      </c>
      <c r="H183" s="49">
        <v>1.3999999999999999E-2</v>
      </c>
      <c r="I183" s="49">
        <v>1.7000000000000001E-2</v>
      </c>
      <c r="J183" s="50">
        <v>1.7000000000000001E-2</v>
      </c>
      <c r="K183" s="50">
        <v>0.02</v>
      </c>
      <c r="L183" s="50">
        <v>1.7000000000000001E-2</v>
      </c>
      <c r="M183" s="50">
        <v>1.9E-2</v>
      </c>
      <c r="N183" s="50">
        <v>1.6E-2</v>
      </c>
      <c r="O183" s="50">
        <v>1.8000000000000002E-2</v>
      </c>
      <c r="P183" s="50">
        <v>1.4999999999999999E-2</v>
      </c>
      <c r="Q183" s="50">
        <v>1.3999999999999999E-2</v>
      </c>
      <c r="R183" s="51">
        <v>1.4999999999999999E-2</v>
      </c>
      <c r="S183" s="50">
        <v>1.2E-2</v>
      </c>
      <c r="T183" s="50">
        <v>1.8000000000000002E-2</v>
      </c>
      <c r="U183" s="73" t="s">
        <v>256</v>
      </c>
      <c r="V183" s="73" t="s">
        <v>256</v>
      </c>
      <c r="W183" s="117" t="s">
        <v>344</v>
      </c>
      <c r="X183" s="117" t="s">
        <v>344</v>
      </c>
    </row>
    <row r="184" spans="1:24" ht="31.5" customHeight="1" x14ac:dyDescent="0.2">
      <c r="A184" s="30" t="s">
        <v>207</v>
      </c>
      <c r="B184" s="17" t="s">
        <v>182</v>
      </c>
      <c r="C184" s="17" t="s">
        <v>54</v>
      </c>
      <c r="D184" s="48" t="s">
        <v>190</v>
      </c>
      <c r="E184" s="48" t="s">
        <v>190</v>
      </c>
      <c r="F184" s="48" t="s">
        <v>190</v>
      </c>
      <c r="G184" s="48" t="s">
        <v>190</v>
      </c>
      <c r="H184" s="48" t="s">
        <v>190</v>
      </c>
      <c r="I184" s="48" t="s">
        <v>190</v>
      </c>
      <c r="J184" s="48" t="s">
        <v>190</v>
      </c>
      <c r="K184" s="48" t="s">
        <v>190</v>
      </c>
      <c r="L184" s="50">
        <v>1.1000000000000001E-2</v>
      </c>
      <c r="M184" s="50">
        <v>1.2E-2</v>
      </c>
      <c r="N184" s="50">
        <v>1.2E-2</v>
      </c>
      <c r="O184" s="50">
        <v>1.1000000000000001E-2</v>
      </c>
      <c r="P184" s="50">
        <v>1.4999999999999999E-2</v>
      </c>
      <c r="Q184" s="50">
        <v>1.1000000000000001E-2</v>
      </c>
      <c r="R184" s="50">
        <v>1.6E-2</v>
      </c>
      <c r="S184" s="50">
        <v>1.1000000000000001E-2</v>
      </c>
      <c r="T184" s="50">
        <v>1.8000000000000002E-2</v>
      </c>
      <c r="U184" s="50">
        <v>1.7000000000000001E-2</v>
      </c>
      <c r="V184" s="97">
        <v>0.02</v>
      </c>
      <c r="W184" s="117" t="s">
        <v>344</v>
      </c>
      <c r="X184" s="117" t="s">
        <v>344</v>
      </c>
    </row>
    <row r="185" spans="1:24" x14ac:dyDescent="0.2">
      <c r="A185" s="30" t="s">
        <v>207</v>
      </c>
      <c r="B185" s="16" t="s">
        <v>182</v>
      </c>
      <c r="C185" s="16" t="s">
        <v>55</v>
      </c>
      <c r="D185" s="48" t="s">
        <v>190</v>
      </c>
      <c r="E185" s="48" t="s">
        <v>190</v>
      </c>
      <c r="F185" s="48" t="s">
        <v>190</v>
      </c>
      <c r="G185" s="48" t="s">
        <v>190</v>
      </c>
      <c r="H185" s="48" t="s">
        <v>190</v>
      </c>
      <c r="I185" s="48" t="s">
        <v>190</v>
      </c>
      <c r="J185" s="48" t="s">
        <v>190</v>
      </c>
      <c r="K185" s="48" t="s">
        <v>190</v>
      </c>
      <c r="L185" s="50" t="s">
        <v>208</v>
      </c>
      <c r="M185" s="50" t="s">
        <v>256</v>
      </c>
      <c r="N185" s="50" t="s">
        <v>208</v>
      </c>
      <c r="O185" s="50" t="s">
        <v>256</v>
      </c>
      <c r="P185" s="50" t="s">
        <v>256</v>
      </c>
      <c r="Q185" s="50" t="s">
        <v>208</v>
      </c>
      <c r="R185" s="50" t="s">
        <v>208</v>
      </c>
      <c r="S185" s="50" t="s">
        <v>208</v>
      </c>
      <c r="T185" s="50" t="s">
        <v>208</v>
      </c>
      <c r="U185" s="50" t="s">
        <v>208</v>
      </c>
      <c r="V185" s="50" t="s">
        <v>208</v>
      </c>
      <c r="W185" s="117" t="s">
        <v>344</v>
      </c>
      <c r="X185" s="117" t="s">
        <v>344</v>
      </c>
    </row>
    <row r="186" spans="1:24" x14ac:dyDescent="0.2">
      <c r="A186" s="30" t="s">
        <v>207</v>
      </c>
      <c r="B186" s="16" t="s">
        <v>182</v>
      </c>
      <c r="C186" s="16" t="s">
        <v>56</v>
      </c>
      <c r="D186" s="48" t="s">
        <v>190</v>
      </c>
      <c r="E186" s="48" t="s">
        <v>190</v>
      </c>
      <c r="F186" s="48" t="s">
        <v>190</v>
      </c>
      <c r="G186" s="48" t="s">
        <v>190</v>
      </c>
      <c r="H186" s="48" t="s">
        <v>190</v>
      </c>
      <c r="I186" s="48" t="s">
        <v>190</v>
      </c>
      <c r="J186" s="48" t="s">
        <v>190</v>
      </c>
      <c r="K186" s="48" t="s">
        <v>190</v>
      </c>
      <c r="L186" s="50">
        <v>3.5000000000000003E-2</v>
      </c>
      <c r="M186" s="50">
        <v>4.4000000000000004E-2</v>
      </c>
      <c r="N186" s="50">
        <v>4.5999999999999999E-2</v>
      </c>
      <c r="O186" s="50" t="s">
        <v>256</v>
      </c>
      <c r="P186" s="50" t="s">
        <v>256</v>
      </c>
      <c r="Q186" s="50">
        <v>3.4000000000000002E-2</v>
      </c>
      <c r="R186" s="50">
        <v>3.1E-2</v>
      </c>
      <c r="S186" s="50" t="s">
        <v>256</v>
      </c>
      <c r="T186" s="50" t="s">
        <v>256</v>
      </c>
      <c r="U186" s="50" t="s">
        <v>256</v>
      </c>
      <c r="V186" s="50" t="s">
        <v>208</v>
      </c>
      <c r="W186" s="117" t="s">
        <v>344</v>
      </c>
      <c r="X186" s="117" t="s">
        <v>344</v>
      </c>
    </row>
    <row r="187" spans="1:24" x14ac:dyDescent="0.2">
      <c r="A187" s="30" t="s">
        <v>207</v>
      </c>
      <c r="B187" s="16" t="s">
        <v>182</v>
      </c>
      <c r="C187" s="16" t="s">
        <v>57</v>
      </c>
      <c r="D187" s="48" t="s">
        <v>190</v>
      </c>
      <c r="E187" s="48" t="s">
        <v>190</v>
      </c>
      <c r="F187" s="48" t="s">
        <v>190</v>
      </c>
      <c r="G187" s="48" t="s">
        <v>190</v>
      </c>
      <c r="H187" s="48" t="s">
        <v>190</v>
      </c>
      <c r="I187" s="48" t="s">
        <v>190</v>
      </c>
      <c r="J187" s="48" t="s">
        <v>190</v>
      </c>
      <c r="K187" s="48" t="s">
        <v>190</v>
      </c>
      <c r="L187" s="50" t="s">
        <v>208</v>
      </c>
      <c r="M187" s="50" t="s">
        <v>208</v>
      </c>
      <c r="N187" s="50" t="s">
        <v>208</v>
      </c>
      <c r="O187" s="50" t="s">
        <v>208</v>
      </c>
      <c r="P187" s="50" t="s">
        <v>208</v>
      </c>
      <c r="Q187" s="50" t="s">
        <v>208</v>
      </c>
      <c r="R187" s="50" t="s">
        <v>208</v>
      </c>
      <c r="S187" s="50" t="s">
        <v>208</v>
      </c>
      <c r="T187" s="50" t="s">
        <v>208</v>
      </c>
      <c r="U187" s="50" t="s">
        <v>208</v>
      </c>
      <c r="V187" s="50" t="s">
        <v>208</v>
      </c>
      <c r="W187" s="117" t="s">
        <v>344</v>
      </c>
      <c r="X187" s="117" t="s">
        <v>344</v>
      </c>
    </row>
    <row r="188" spans="1:24" x14ac:dyDescent="0.2">
      <c r="A188" s="30" t="s">
        <v>207</v>
      </c>
      <c r="B188" s="16" t="s">
        <v>182</v>
      </c>
      <c r="C188" s="16" t="s">
        <v>58</v>
      </c>
      <c r="D188" s="48" t="s">
        <v>190</v>
      </c>
      <c r="E188" s="48" t="s">
        <v>190</v>
      </c>
      <c r="F188" s="48" t="s">
        <v>190</v>
      </c>
      <c r="G188" s="48" t="s">
        <v>190</v>
      </c>
      <c r="H188" s="48" t="s">
        <v>190</v>
      </c>
      <c r="I188" s="48" t="s">
        <v>190</v>
      </c>
      <c r="J188" s="48" t="s">
        <v>190</v>
      </c>
      <c r="K188" s="48" t="s">
        <v>190</v>
      </c>
      <c r="L188" s="50">
        <v>2.1000000000000001E-2</v>
      </c>
      <c r="M188" s="50">
        <v>1.9E-2</v>
      </c>
      <c r="N188" s="50">
        <v>1.8000000000000002E-2</v>
      </c>
      <c r="O188" s="50">
        <v>1.7000000000000001E-2</v>
      </c>
      <c r="P188" s="50">
        <v>1.7000000000000001E-2</v>
      </c>
      <c r="Q188" s="50">
        <v>1.6E-2</v>
      </c>
      <c r="R188" s="50">
        <v>1.9E-2</v>
      </c>
      <c r="S188" s="50">
        <v>1.7000000000000001E-2</v>
      </c>
      <c r="T188" s="50">
        <v>2.1000000000000001E-2</v>
      </c>
      <c r="U188" s="50">
        <v>2.5000000000000001E-2</v>
      </c>
      <c r="V188" s="97">
        <v>2.5000000000000001E-2</v>
      </c>
      <c r="W188" s="117" t="s">
        <v>344</v>
      </c>
      <c r="X188" s="117" t="s">
        <v>344</v>
      </c>
    </row>
    <row r="189" spans="1:24" x14ac:dyDescent="0.2">
      <c r="A189" s="30" t="s">
        <v>207</v>
      </c>
      <c r="B189" s="16" t="s">
        <v>182</v>
      </c>
      <c r="C189" s="16" t="s">
        <v>96</v>
      </c>
      <c r="D189" s="48" t="s">
        <v>190</v>
      </c>
      <c r="E189" s="48" t="s">
        <v>190</v>
      </c>
      <c r="F189" s="48" t="s">
        <v>190</v>
      </c>
      <c r="G189" s="48" t="s">
        <v>190</v>
      </c>
      <c r="H189" s="48" t="s">
        <v>190</v>
      </c>
      <c r="I189" s="48" t="s">
        <v>190</v>
      </c>
      <c r="J189" s="48" t="s">
        <v>190</v>
      </c>
      <c r="K189" s="48" t="s">
        <v>190</v>
      </c>
      <c r="L189" s="50" t="s">
        <v>256</v>
      </c>
      <c r="M189" s="50" t="s">
        <v>256</v>
      </c>
      <c r="N189" s="50" t="s">
        <v>256</v>
      </c>
      <c r="O189" s="50" t="s">
        <v>208</v>
      </c>
      <c r="P189" s="50" t="s">
        <v>256</v>
      </c>
      <c r="Q189" s="50" t="s">
        <v>256</v>
      </c>
      <c r="R189" s="50" t="s">
        <v>256</v>
      </c>
      <c r="S189" s="50" t="s">
        <v>208</v>
      </c>
      <c r="T189" s="50" t="s">
        <v>208</v>
      </c>
      <c r="U189" s="50" t="s">
        <v>208</v>
      </c>
      <c r="V189" s="50" t="s">
        <v>208</v>
      </c>
      <c r="W189" s="117" t="s">
        <v>344</v>
      </c>
      <c r="X189" s="117" t="s">
        <v>344</v>
      </c>
    </row>
    <row r="190" spans="1:24" x14ac:dyDescent="0.2">
      <c r="A190" s="30" t="s">
        <v>207</v>
      </c>
      <c r="B190" s="16" t="s">
        <v>182</v>
      </c>
      <c r="C190" s="16" t="s">
        <v>59</v>
      </c>
      <c r="D190" s="48" t="s">
        <v>190</v>
      </c>
      <c r="E190" s="48" t="s">
        <v>190</v>
      </c>
      <c r="F190" s="48" t="s">
        <v>190</v>
      </c>
      <c r="G190" s="48" t="s">
        <v>190</v>
      </c>
      <c r="H190" s="48" t="s">
        <v>190</v>
      </c>
      <c r="I190" s="48" t="s">
        <v>190</v>
      </c>
      <c r="J190" s="48" t="s">
        <v>190</v>
      </c>
      <c r="K190" s="48" t="s">
        <v>190</v>
      </c>
      <c r="L190" s="50" t="s">
        <v>208</v>
      </c>
      <c r="M190" s="50" t="s">
        <v>208</v>
      </c>
      <c r="N190" s="50" t="s">
        <v>208</v>
      </c>
      <c r="O190" s="50" t="s">
        <v>208</v>
      </c>
      <c r="P190" s="50" t="s">
        <v>208</v>
      </c>
      <c r="Q190" s="50" t="s">
        <v>208</v>
      </c>
      <c r="R190" s="50" t="s">
        <v>208</v>
      </c>
      <c r="S190" s="50" t="s">
        <v>208</v>
      </c>
      <c r="T190" s="50" t="s">
        <v>208</v>
      </c>
      <c r="U190" s="50" t="s">
        <v>208</v>
      </c>
      <c r="V190" s="50" t="s">
        <v>208</v>
      </c>
      <c r="W190" s="117" t="s">
        <v>344</v>
      </c>
      <c r="X190" s="117" t="s">
        <v>344</v>
      </c>
    </row>
    <row r="191" spans="1:24" x14ac:dyDescent="0.2">
      <c r="A191" s="30" t="s">
        <v>207</v>
      </c>
      <c r="B191" s="16" t="s">
        <v>182</v>
      </c>
      <c r="C191" s="16" t="s">
        <v>60</v>
      </c>
      <c r="D191" s="48" t="s">
        <v>190</v>
      </c>
      <c r="E191" s="48" t="s">
        <v>190</v>
      </c>
      <c r="F191" s="48" t="s">
        <v>190</v>
      </c>
      <c r="G191" s="48" t="s">
        <v>190</v>
      </c>
      <c r="H191" s="48" t="s">
        <v>190</v>
      </c>
      <c r="I191" s="48" t="s">
        <v>190</v>
      </c>
      <c r="J191" s="48" t="s">
        <v>190</v>
      </c>
      <c r="K191" s="48" t="s">
        <v>190</v>
      </c>
      <c r="L191" s="50" t="s">
        <v>256</v>
      </c>
      <c r="M191" s="50" t="s">
        <v>256</v>
      </c>
      <c r="N191" s="50" t="s">
        <v>208</v>
      </c>
      <c r="O191" s="50" t="s">
        <v>208</v>
      </c>
      <c r="P191" s="50" t="s">
        <v>256</v>
      </c>
      <c r="Q191" s="50" t="s">
        <v>208</v>
      </c>
      <c r="R191" s="50" t="s">
        <v>208</v>
      </c>
      <c r="S191" s="50" t="s">
        <v>208</v>
      </c>
      <c r="T191" s="50" t="s">
        <v>208</v>
      </c>
      <c r="U191" s="50" t="s">
        <v>208</v>
      </c>
      <c r="V191" s="50" t="s">
        <v>208</v>
      </c>
      <c r="W191" s="117" t="s">
        <v>344</v>
      </c>
      <c r="X191" s="117" t="s">
        <v>344</v>
      </c>
    </row>
    <row r="192" spans="1:24" x14ac:dyDescent="0.2">
      <c r="A192" s="30" t="s">
        <v>207</v>
      </c>
      <c r="B192" s="16" t="s">
        <v>182</v>
      </c>
      <c r="C192" s="16" t="s">
        <v>97</v>
      </c>
      <c r="D192" s="48" t="s">
        <v>190</v>
      </c>
      <c r="E192" s="48" t="s">
        <v>190</v>
      </c>
      <c r="F192" s="48" t="s">
        <v>190</v>
      </c>
      <c r="G192" s="48" t="s">
        <v>190</v>
      </c>
      <c r="H192" s="48" t="s">
        <v>190</v>
      </c>
      <c r="I192" s="48" t="s">
        <v>190</v>
      </c>
      <c r="J192" s="48" t="s">
        <v>190</v>
      </c>
      <c r="K192" s="48" t="s">
        <v>190</v>
      </c>
      <c r="L192" s="50" t="s">
        <v>256</v>
      </c>
      <c r="M192" s="50" t="s">
        <v>208</v>
      </c>
      <c r="N192" s="50" t="s">
        <v>256</v>
      </c>
      <c r="O192" s="50" t="s">
        <v>208</v>
      </c>
      <c r="P192" s="50" t="s">
        <v>208</v>
      </c>
      <c r="Q192" s="50" t="s">
        <v>208</v>
      </c>
      <c r="R192" s="50" t="s">
        <v>208</v>
      </c>
      <c r="S192" s="50" t="s">
        <v>208</v>
      </c>
      <c r="T192" s="50" t="s">
        <v>208</v>
      </c>
      <c r="U192" s="50" t="s">
        <v>208</v>
      </c>
      <c r="V192" s="50" t="s">
        <v>208</v>
      </c>
      <c r="W192" s="117" t="s">
        <v>344</v>
      </c>
      <c r="X192" s="117" t="s">
        <v>344</v>
      </c>
    </row>
    <row r="193" spans="1:24" x14ac:dyDescent="0.2">
      <c r="A193" s="30" t="s">
        <v>207</v>
      </c>
      <c r="B193" s="16" t="s">
        <v>182</v>
      </c>
      <c r="C193" s="16" t="s">
        <v>61</v>
      </c>
      <c r="D193" s="48" t="s">
        <v>190</v>
      </c>
      <c r="E193" s="48" t="s">
        <v>190</v>
      </c>
      <c r="F193" s="48" t="s">
        <v>190</v>
      </c>
      <c r="G193" s="48" t="s">
        <v>190</v>
      </c>
      <c r="H193" s="48" t="s">
        <v>190</v>
      </c>
      <c r="I193" s="48" t="s">
        <v>190</v>
      </c>
      <c r="J193" s="48" t="s">
        <v>190</v>
      </c>
      <c r="K193" s="48" t="s">
        <v>190</v>
      </c>
      <c r="L193" s="50" t="s">
        <v>256</v>
      </c>
      <c r="M193" s="50" t="s">
        <v>256</v>
      </c>
      <c r="N193" s="50" t="s">
        <v>256</v>
      </c>
      <c r="O193" s="50" t="s">
        <v>208</v>
      </c>
      <c r="P193" s="50" t="s">
        <v>208</v>
      </c>
      <c r="Q193" s="50" t="s">
        <v>208</v>
      </c>
      <c r="R193" s="50" t="s">
        <v>208</v>
      </c>
      <c r="S193" s="50" t="s">
        <v>208</v>
      </c>
      <c r="T193" s="50" t="s">
        <v>208</v>
      </c>
      <c r="U193" s="50" t="s">
        <v>208</v>
      </c>
      <c r="V193" s="50" t="s">
        <v>208</v>
      </c>
      <c r="W193" s="117" t="s">
        <v>344</v>
      </c>
      <c r="X193" s="117" t="s">
        <v>344</v>
      </c>
    </row>
    <row r="194" spans="1:24" x14ac:dyDescent="0.2">
      <c r="A194" s="30" t="s">
        <v>207</v>
      </c>
      <c r="B194" s="16" t="s">
        <v>182</v>
      </c>
      <c r="C194" s="16" t="s">
        <v>62</v>
      </c>
      <c r="D194" s="48" t="s">
        <v>190</v>
      </c>
      <c r="E194" s="48" t="s">
        <v>190</v>
      </c>
      <c r="F194" s="48" t="s">
        <v>190</v>
      </c>
      <c r="G194" s="48" t="s">
        <v>190</v>
      </c>
      <c r="H194" s="48" t="s">
        <v>190</v>
      </c>
      <c r="I194" s="48" t="s">
        <v>190</v>
      </c>
      <c r="J194" s="48" t="s">
        <v>190</v>
      </c>
      <c r="K194" s="48" t="s">
        <v>190</v>
      </c>
      <c r="L194" s="50">
        <v>2.1000000000000001E-2</v>
      </c>
      <c r="M194" s="50">
        <v>0.02</v>
      </c>
      <c r="N194" s="50">
        <v>1.9E-2</v>
      </c>
      <c r="O194" s="50">
        <v>1.7000000000000001E-2</v>
      </c>
      <c r="P194" s="50">
        <v>1.8000000000000002E-2</v>
      </c>
      <c r="Q194" s="50">
        <v>1.7000000000000001E-2</v>
      </c>
      <c r="R194" s="50">
        <v>1.3999999999999999E-2</v>
      </c>
      <c r="S194" s="50">
        <v>1.7000000000000001E-2</v>
      </c>
      <c r="T194" s="50">
        <v>1.8000000000000002E-2</v>
      </c>
      <c r="U194" s="50" t="s">
        <v>256</v>
      </c>
      <c r="V194" s="50" t="s">
        <v>256</v>
      </c>
      <c r="W194" s="117" t="s">
        <v>344</v>
      </c>
      <c r="X194" s="117" t="s">
        <v>344</v>
      </c>
    </row>
    <row r="195" spans="1:24" x14ac:dyDescent="0.2">
      <c r="A195" s="30" t="s">
        <v>207</v>
      </c>
      <c r="B195" s="16" t="s">
        <v>182</v>
      </c>
      <c r="C195" s="16" t="s">
        <v>63</v>
      </c>
      <c r="D195" s="48" t="s">
        <v>190</v>
      </c>
      <c r="E195" s="48" t="s">
        <v>190</v>
      </c>
      <c r="F195" s="48" t="s">
        <v>190</v>
      </c>
      <c r="G195" s="48" t="s">
        <v>190</v>
      </c>
      <c r="H195" s="48" t="s">
        <v>190</v>
      </c>
      <c r="I195" s="48" t="s">
        <v>190</v>
      </c>
      <c r="J195" s="48" t="s">
        <v>190</v>
      </c>
      <c r="K195" s="48" t="s">
        <v>190</v>
      </c>
      <c r="L195" s="50">
        <v>2.7000000000000003E-2</v>
      </c>
      <c r="M195" s="50">
        <v>2.1000000000000001E-2</v>
      </c>
      <c r="N195" s="50">
        <v>1.8000000000000002E-2</v>
      </c>
      <c r="O195" s="50">
        <v>1.7000000000000001E-2</v>
      </c>
      <c r="P195" s="50">
        <v>0.02</v>
      </c>
      <c r="Q195" s="50" t="s">
        <v>256</v>
      </c>
      <c r="R195" s="50" t="s">
        <v>256</v>
      </c>
      <c r="S195" s="50" t="s">
        <v>256</v>
      </c>
      <c r="T195" s="50" t="s">
        <v>256</v>
      </c>
      <c r="U195" s="50" t="s">
        <v>256</v>
      </c>
      <c r="V195" s="50" t="s">
        <v>256</v>
      </c>
      <c r="W195" s="117" t="s">
        <v>344</v>
      </c>
      <c r="X195" s="117" t="s">
        <v>344</v>
      </c>
    </row>
    <row r="196" spans="1:24" x14ac:dyDescent="0.2">
      <c r="A196" s="30" t="s">
        <v>207</v>
      </c>
      <c r="B196" s="16" t="s">
        <v>182</v>
      </c>
      <c r="C196" s="16" t="s">
        <v>64</v>
      </c>
      <c r="D196" s="48" t="s">
        <v>190</v>
      </c>
      <c r="E196" s="48" t="s">
        <v>190</v>
      </c>
      <c r="F196" s="48" t="s">
        <v>190</v>
      </c>
      <c r="G196" s="48" t="s">
        <v>190</v>
      </c>
      <c r="H196" s="48" t="s">
        <v>190</v>
      </c>
      <c r="I196" s="48" t="s">
        <v>190</v>
      </c>
      <c r="J196" s="48" t="s">
        <v>190</v>
      </c>
      <c r="K196" s="48" t="s">
        <v>190</v>
      </c>
      <c r="L196" s="50">
        <v>1.4999999999999999E-2</v>
      </c>
      <c r="M196" s="50">
        <v>1.6E-2</v>
      </c>
      <c r="N196" s="50">
        <v>1.6E-2</v>
      </c>
      <c r="O196" s="50">
        <v>1.6E-2</v>
      </c>
      <c r="P196" s="50">
        <v>1.3999999999999999E-2</v>
      </c>
      <c r="Q196" s="50">
        <v>1.1000000000000001E-2</v>
      </c>
      <c r="R196" s="50">
        <v>1.3000000000000001E-2</v>
      </c>
      <c r="S196" s="50">
        <v>1.2E-2</v>
      </c>
      <c r="T196" s="50">
        <v>1.4999999999999999E-2</v>
      </c>
      <c r="U196" s="50">
        <v>1.7000000000000001E-2</v>
      </c>
      <c r="V196" s="97">
        <v>1.9E-2</v>
      </c>
      <c r="W196" s="117" t="s">
        <v>344</v>
      </c>
      <c r="X196" s="117" t="s">
        <v>344</v>
      </c>
    </row>
    <row r="197" spans="1:24" x14ac:dyDescent="0.2">
      <c r="A197" s="30" t="s">
        <v>207</v>
      </c>
      <c r="B197" s="16" t="s">
        <v>182</v>
      </c>
      <c r="C197" s="16" t="s">
        <v>65</v>
      </c>
      <c r="D197" s="48" t="s">
        <v>190</v>
      </c>
      <c r="E197" s="48" t="s">
        <v>190</v>
      </c>
      <c r="F197" s="48" t="s">
        <v>190</v>
      </c>
      <c r="G197" s="48" t="s">
        <v>190</v>
      </c>
      <c r="H197" s="48" t="s">
        <v>190</v>
      </c>
      <c r="I197" s="48" t="s">
        <v>190</v>
      </c>
      <c r="J197" s="48" t="s">
        <v>190</v>
      </c>
      <c r="K197" s="48" t="s">
        <v>190</v>
      </c>
      <c r="L197" s="50">
        <v>2.4E-2</v>
      </c>
      <c r="M197" s="50">
        <v>2.4E-2</v>
      </c>
      <c r="N197" s="50">
        <v>2.1000000000000001E-2</v>
      </c>
      <c r="O197" s="50">
        <v>2.2000000000000002E-2</v>
      </c>
      <c r="P197" s="50">
        <v>1.9E-2</v>
      </c>
      <c r="Q197" s="50">
        <v>1.9E-2</v>
      </c>
      <c r="R197" s="50">
        <v>1.8000000000000002E-2</v>
      </c>
      <c r="S197" s="50">
        <v>1.8000000000000002E-2</v>
      </c>
      <c r="T197" s="50">
        <v>2.3E-2</v>
      </c>
      <c r="U197" s="50">
        <v>0.03</v>
      </c>
      <c r="V197" s="97">
        <v>2.4E-2</v>
      </c>
      <c r="W197" s="117" t="s">
        <v>344</v>
      </c>
      <c r="X197" s="117" t="s">
        <v>344</v>
      </c>
    </row>
    <row r="198" spans="1:24" x14ac:dyDescent="0.2">
      <c r="A198" s="30" t="s">
        <v>207</v>
      </c>
      <c r="B198" s="16" t="s">
        <v>182</v>
      </c>
      <c r="C198" s="16" t="s">
        <v>66</v>
      </c>
      <c r="D198" s="48" t="s">
        <v>190</v>
      </c>
      <c r="E198" s="48" t="s">
        <v>190</v>
      </c>
      <c r="F198" s="48" t="s">
        <v>190</v>
      </c>
      <c r="G198" s="48" t="s">
        <v>190</v>
      </c>
      <c r="H198" s="48" t="s">
        <v>190</v>
      </c>
      <c r="I198" s="48" t="s">
        <v>190</v>
      </c>
      <c r="J198" s="48" t="s">
        <v>190</v>
      </c>
      <c r="K198" s="48" t="s">
        <v>190</v>
      </c>
      <c r="L198" s="50">
        <v>5.5999999999999994E-2</v>
      </c>
      <c r="M198" s="50" t="s">
        <v>256</v>
      </c>
      <c r="N198" s="50">
        <v>4.5999999999999999E-2</v>
      </c>
      <c r="O198" s="50" t="s">
        <v>256</v>
      </c>
      <c r="P198" s="50" t="s">
        <v>208</v>
      </c>
      <c r="Q198" s="50" t="s">
        <v>208</v>
      </c>
      <c r="R198" s="50" t="s">
        <v>208</v>
      </c>
      <c r="S198" s="50" t="s">
        <v>256</v>
      </c>
      <c r="T198" s="50" t="s">
        <v>208</v>
      </c>
      <c r="U198" s="50" t="s">
        <v>208</v>
      </c>
      <c r="V198" s="50" t="s">
        <v>208</v>
      </c>
      <c r="W198" s="117" t="s">
        <v>344</v>
      </c>
      <c r="X198" s="117" t="s">
        <v>344</v>
      </c>
    </row>
    <row r="199" spans="1:24" x14ac:dyDescent="0.2">
      <c r="A199" s="30" t="s">
        <v>207</v>
      </c>
      <c r="B199" s="16" t="s">
        <v>182</v>
      </c>
      <c r="C199" s="16" t="s">
        <v>67</v>
      </c>
      <c r="D199" s="48" t="s">
        <v>190</v>
      </c>
      <c r="E199" s="48" t="s">
        <v>190</v>
      </c>
      <c r="F199" s="48" t="s">
        <v>190</v>
      </c>
      <c r="G199" s="48" t="s">
        <v>190</v>
      </c>
      <c r="H199" s="48" t="s">
        <v>190</v>
      </c>
      <c r="I199" s="48" t="s">
        <v>190</v>
      </c>
      <c r="J199" s="48" t="s">
        <v>190</v>
      </c>
      <c r="K199" s="48" t="s">
        <v>190</v>
      </c>
      <c r="L199" s="50">
        <v>0.01</v>
      </c>
      <c r="M199" s="50">
        <v>1.1000000000000001E-2</v>
      </c>
      <c r="N199" s="50">
        <v>9.0000000000000011E-3</v>
      </c>
      <c r="O199" s="50">
        <v>1.1000000000000001E-2</v>
      </c>
      <c r="P199" s="50">
        <v>0.01</v>
      </c>
      <c r="Q199" s="50">
        <v>8.0000000000000002E-3</v>
      </c>
      <c r="R199" s="50">
        <v>9.0000000000000011E-3</v>
      </c>
      <c r="S199" s="50">
        <v>8.0000000000000002E-3</v>
      </c>
      <c r="T199" s="50">
        <v>1.1000000000000001E-2</v>
      </c>
      <c r="U199" s="50">
        <v>9.0000000000000011E-3</v>
      </c>
      <c r="V199" s="97">
        <v>8.0000000000000002E-3</v>
      </c>
      <c r="W199" s="117" t="s">
        <v>344</v>
      </c>
      <c r="X199" s="117" t="s">
        <v>344</v>
      </c>
    </row>
    <row r="200" spans="1:24" x14ac:dyDescent="0.2">
      <c r="A200" s="30" t="s">
        <v>207</v>
      </c>
      <c r="B200" s="16" t="s">
        <v>182</v>
      </c>
      <c r="C200" s="16" t="s">
        <v>68</v>
      </c>
      <c r="D200" s="48" t="s">
        <v>190</v>
      </c>
      <c r="E200" s="48" t="s">
        <v>190</v>
      </c>
      <c r="F200" s="48" t="s">
        <v>190</v>
      </c>
      <c r="G200" s="48" t="s">
        <v>190</v>
      </c>
      <c r="H200" s="48" t="s">
        <v>190</v>
      </c>
      <c r="I200" s="48" t="s">
        <v>190</v>
      </c>
      <c r="J200" s="48" t="s">
        <v>190</v>
      </c>
      <c r="K200" s="48" t="s">
        <v>190</v>
      </c>
      <c r="L200" s="50">
        <v>1.3999999999999999E-2</v>
      </c>
      <c r="M200" s="50">
        <v>1.3999999999999999E-2</v>
      </c>
      <c r="N200" s="50">
        <v>1.4999999999999999E-2</v>
      </c>
      <c r="O200" s="50">
        <v>1.3999999999999999E-2</v>
      </c>
      <c r="P200" s="50">
        <v>1.7000000000000001E-2</v>
      </c>
      <c r="Q200" s="50">
        <v>1.7000000000000001E-2</v>
      </c>
      <c r="R200" s="50">
        <v>1.8000000000000002E-2</v>
      </c>
      <c r="S200" s="50">
        <v>1.4999999999999999E-2</v>
      </c>
      <c r="T200" s="50">
        <v>1.7000000000000001E-2</v>
      </c>
      <c r="U200" s="50" t="s">
        <v>256</v>
      </c>
      <c r="V200" s="97">
        <v>2.4E-2</v>
      </c>
      <c r="W200" s="117" t="s">
        <v>344</v>
      </c>
      <c r="X200" s="117" t="s">
        <v>344</v>
      </c>
    </row>
    <row r="201" spans="1:24" x14ac:dyDescent="0.2">
      <c r="A201" s="30" t="s">
        <v>207</v>
      </c>
      <c r="B201" s="16" t="s">
        <v>182</v>
      </c>
      <c r="C201" s="16" t="s">
        <v>69</v>
      </c>
      <c r="D201" s="48" t="s">
        <v>190</v>
      </c>
      <c r="E201" s="48" t="s">
        <v>190</v>
      </c>
      <c r="F201" s="48" t="s">
        <v>190</v>
      </c>
      <c r="G201" s="48" t="s">
        <v>190</v>
      </c>
      <c r="H201" s="48" t="s">
        <v>190</v>
      </c>
      <c r="I201" s="48" t="s">
        <v>190</v>
      </c>
      <c r="J201" s="48" t="s">
        <v>190</v>
      </c>
      <c r="K201" s="48" t="s">
        <v>190</v>
      </c>
      <c r="L201" s="50">
        <v>1.3999999999999999E-2</v>
      </c>
      <c r="M201" s="50">
        <v>1.3000000000000001E-2</v>
      </c>
      <c r="N201" s="50">
        <v>1.3000000000000001E-2</v>
      </c>
      <c r="O201" s="50">
        <v>1.1000000000000001E-2</v>
      </c>
      <c r="P201" s="50">
        <v>1.1000000000000001E-2</v>
      </c>
      <c r="Q201" s="50">
        <v>1.1000000000000001E-2</v>
      </c>
      <c r="R201" s="50">
        <v>8.0000000000000002E-3</v>
      </c>
      <c r="S201" s="50">
        <v>0.01</v>
      </c>
      <c r="T201" s="50">
        <v>1.3999999999999999E-2</v>
      </c>
      <c r="U201" s="50">
        <v>1.2E-2</v>
      </c>
      <c r="V201" s="97">
        <v>1.4999999999999999E-2</v>
      </c>
      <c r="W201" s="117" t="s">
        <v>344</v>
      </c>
      <c r="X201" s="117" t="s">
        <v>344</v>
      </c>
    </row>
    <row r="202" spans="1:24" x14ac:dyDescent="0.2">
      <c r="A202" s="30" t="s">
        <v>207</v>
      </c>
      <c r="B202" s="16" t="s">
        <v>182</v>
      </c>
      <c r="C202" s="16" t="s">
        <v>70</v>
      </c>
      <c r="D202" s="48" t="s">
        <v>190</v>
      </c>
      <c r="E202" s="48" t="s">
        <v>190</v>
      </c>
      <c r="F202" s="48" t="s">
        <v>190</v>
      </c>
      <c r="G202" s="48" t="s">
        <v>190</v>
      </c>
      <c r="H202" s="48" t="s">
        <v>190</v>
      </c>
      <c r="I202" s="48" t="s">
        <v>190</v>
      </c>
      <c r="J202" s="48" t="s">
        <v>190</v>
      </c>
      <c r="K202" s="48" t="s">
        <v>190</v>
      </c>
      <c r="L202" s="50" t="s">
        <v>208</v>
      </c>
      <c r="M202" s="50" t="s">
        <v>208</v>
      </c>
      <c r="N202" s="50" t="s">
        <v>208</v>
      </c>
      <c r="O202" s="50" t="s">
        <v>208</v>
      </c>
      <c r="P202" s="50" t="s">
        <v>208</v>
      </c>
      <c r="Q202" s="50" t="s">
        <v>208</v>
      </c>
      <c r="R202" s="50" t="s">
        <v>208</v>
      </c>
      <c r="S202" s="50" t="s">
        <v>208</v>
      </c>
      <c r="T202" s="50" t="s">
        <v>208</v>
      </c>
      <c r="U202" s="50" t="s">
        <v>208</v>
      </c>
      <c r="V202" s="50" t="s">
        <v>208</v>
      </c>
      <c r="W202" s="117" t="s">
        <v>344</v>
      </c>
      <c r="X202" s="117" t="s">
        <v>344</v>
      </c>
    </row>
    <row r="203" spans="1:24" x14ac:dyDescent="0.2">
      <c r="A203" s="30" t="s">
        <v>207</v>
      </c>
      <c r="B203" s="16" t="s">
        <v>182</v>
      </c>
      <c r="C203" s="16" t="s">
        <v>71</v>
      </c>
      <c r="D203" s="48" t="s">
        <v>190</v>
      </c>
      <c r="E203" s="48" t="s">
        <v>190</v>
      </c>
      <c r="F203" s="48" t="s">
        <v>190</v>
      </c>
      <c r="G203" s="48" t="s">
        <v>190</v>
      </c>
      <c r="H203" s="48" t="s">
        <v>190</v>
      </c>
      <c r="I203" s="48" t="s">
        <v>190</v>
      </c>
      <c r="J203" s="48" t="s">
        <v>190</v>
      </c>
      <c r="K203" s="48" t="s">
        <v>190</v>
      </c>
      <c r="L203" s="50" t="s">
        <v>208</v>
      </c>
      <c r="M203" s="50" t="s">
        <v>256</v>
      </c>
      <c r="N203" s="50" t="s">
        <v>256</v>
      </c>
      <c r="O203" s="50" t="s">
        <v>208</v>
      </c>
      <c r="P203" s="50" t="s">
        <v>208</v>
      </c>
      <c r="Q203" s="50" t="s">
        <v>256</v>
      </c>
      <c r="R203" s="50" t="s">
        <v>208</v>
      </c>
      <c r="S203" s="50" t="s">
        <v>208</v>
      </c>
      <c r="T203" s="50" t="s">
        <v>208</v>
      </c>
      <c r="U203" s="50" t="s">
        <v>208</v>
      </c>
      <c r="V203" s="50" t="s">
        <v>208</v>
      </c>
      <c r="W203" s="117" t="s">
        <v>344</v>
      </c>
      <c r="X203" s="117" t="s">
        <v>344</v>
      </c>
    </row>
    <row r="204" spans="1:24" x14ac:dyDescent="0.2">
      <c r="A204" s="30" t="s">
        <v>207</v>
      </c>
      <c r="B204" s="16" t="s">
        <v>182</v>
      </c>
      <c r="C204" s="16" t="s">
        <v>72</v>
      </c>
      <c r="D204" s="48" t="s">
        <v>190</v>
      </c>
      <c r="E204" s="48" t="s">
        <v>190</v>
      </c>
      <c r="F204" s="48" t="s">
        <v>190</v>
      </c>
      <c r="G204" s="48" t="s">
        <v>190</v>
      </c>
      <c r="H204" s="48" t="s">
        <v>190</v>
      </c>
      <c r="I204" s="48" t="s">
        <v>190</v>
      </c>
      <c r="J204" s="48" t="s">
        <v>190</v>
      </c>
      <c r="K204" s="48" t="s">
        <v>190</v>
      </c>
      <c r="L204" s="50">
        <v>2.6000000000000002E-2</v>
      </c>
      <c r="M204" s="50">
        <v>1.8000000000000002E-2</v>
      </c>
      <c r="N204" s="50">
        <v>1.9E-2</v>
      </c>
      <c r="O204" s="50">
        <v>2.3E-2</v>
      </c>
      <c r="P204" s="50">
        <v>2.7000000000000003E-2</v>
      </c>
      <c r="Q204" s="50">
        <v>2.4E-2</v>
      </c>
      <c r="R204" s="50" t="s">
        <v>256</v>
      </c>
      <c r="S204" s="50">
        <v>0.02</v>
      </c>
      <c r="T204" s="50" t="s">
        <v>256</v>
      </c>
      <c r="U204" s="50">
        <v>4.4000000000000004E-2</v>
      </c>
      <c r="V204" s="98" t="s">
        <v>256</v>
      </c>
      <c r="W204" s="117" t="s">
        <v>344</v>
      </c>
      <c r="X204" s="117" t="s">
        <v>344</v>
      </c>
    </row>
    <row r="205" spans="1:24" x14ac:dyDescent="0.2">
      <c r="A205" s="30" t="s">
        <v>207</v>
      </c>
      <c r="B205" s="16" t="s">
        <v>182</v>
      </c>
      <c r="C205" s="16" t="s">
        <v>73</v>
      </c>
      <c r="D205" s="48" t="s">
        <v>190</v>
      </c>
      <c r="E205" s="48" t="s">
        <v>190</v>
      </c>
      <c r="F205" s="48" t="s">
        <v>190</v>
      </c>
      <c r="G205" s="48" t="s">
        <v>190</v>
      </c>
      <c r="H205" s="48" t="s">
        <v>190</v>
      </c>
      <c r="I205" s="48" t="s">
        <v>190</v>
      </c>
      <c r="J205" s="48" t="s">
        <v>190</v>
      </c>
      <c r="K205" s="48" t="s">
        <v>190</v>
      </c>
      <c r="L205" s="50" t="s">
        <v>256</v>
      </c>
      <c r="M205" s="50" t="s">
        <v>208</v>
      </c>
      <c r="N205" s="50" t="s">
        <v>208</v>
      </c>
      <c r="O205" s="50" t="s">
        <v>256</v>
      </c>
      <c r="P205" s="50" t="s">
        <v>208</v>
      </c>
      <c r="Q205" s="50" t="s">
        <v>256</v>
      </c>
      <c r="R205" s="50" t="s">
        <v>208</v>
      </c>
      <c r="S205" s="50" t="s">
        <v>208</v>
      </c>
      <c r="T205" s="50" t="s">
        <v>256</v>
      </c>
      <c r="U205" s="50" t="s">
        <v>208</v>
      </c>
      <c r="V205" s="50" t="s">
        <v>208</v>
      </c>
      <c r="W205" s="117" t="s">
        <v>344</v>
      </c>
      <c r="X205" s="117" t="s">
        <v>344</v>
      </c>
    </row>
    <row r="206" spans="1:24" x14ac:dyDescent="0.2">
      <c r="A206" s="30" t="s">
        <v>207</v>
      </c>
      <c r="B206" s="16" t="s">
        <v>182</v>
      </c>
      <c r="C206" s="16" t="s">
        <v>53</v>
      </c>
      <c r="D206" s="48" t="s">
        <v>190</v>
      </c>
      <c r="E206" s="48" t="s">
        <v>190</v>
      </c>
      <c r="F206" s="48" t="s">
        <v>190</v>
      </c>
      <c r="G206" s="48" t="s">
        <v>190</v>
      </c>
      <c r="H206" s="48" t="s">
        <v>190</v>
      </c>
      <c r="I206" s="48" t="s">
        <v>190</v>
      </c>
      <c r="J206" s="48" t="s">
        <v>190</v>
      </c>
      <c r="K206" s="48" t="s">
        <v>190</v>
      </c>
      <c r="L206" s="50">
        <v>0.01</v>
      </c>
      <c r="M206" s="50">
        <v>9.0000000000000011E-3</v>
      </c>
      <c r="N206" s="50">
        <v>9.0000000000000011E-3</v>
      </c>
      <c r="O206" s="50">
        <v>9.0000000000000011E-3</v>
      </c>
      <c r="P206" s="50">
        <v>8.0000000000000002E-3</v>
      </c>
      <c r="Q206" s="50">
        <v>6.9999999999999993E-3</v>
      </c>
      <c r="R206" s="50">
        <v>8.0000000000000002E-3</v>
      </c>
      <c r="S206" s="50">
        <v>6.9999999999999993E-3</v>
      </c>
      <c r="T206" s="50">
        <v>9.0000000000000011E-3</v>
      </c>
      <c r="U206" s="50">
        <v>8.0000000000000002E-3</v>
      </c>
      <c r="V206" s="97">
        <v>8.0000000000000002E-3</v>
      </c>
      <c r="W206" s="117" t="s">
        <v>344</v>
      </c>
      <c r="X206" s="117" t="s">
        <v>344</v>
      </c>
    </row>
    <row r="207" spans="1:24" x14ac:dyDescent="0.2">
      <c r="A207" s="30" t="s">
        <v>207</v>
      </c>
      <c r="B207" s="16" t="s">
        <v>182</v>
      </c>
      <c r="C207" s="16" t="s">
        <v>74</v>
      </c>
      <c r="D207" s="48" t="s">
        <v>190</v>
      </c>
      <c r="E207" s="48" t="s">
        <v>190</v>
      </c>
      <c r="F207" s="48" t="s">
        <v>190</v>
      </c>
      <c r="G207" s="48" t="s">
        <v>190</v>
      </c>
      <c r="H207" s="48" t="s">
        <v>190</v>
      </c>
      <c r="I207" s="48" t="s">
        <v>190</v>
      </c>
      <c r="J207" s="48" t="s">
        <v>190</v>
      </c>
      <c r="K207" s="48" t="s">
        <v>190</v>
      </c>
      <c r="L207" s="50" t="s">
        <v>208</v>
      </c>
      <c r="M207" s="50" t="s">
        <v>208</v>
      </c>
      <c r="N207" s="50" t="s">
        <v>208</v>
      </c>
      <c r="O207" s="50" t="s">
        <v>208</v>
      </c>
      <c r="P207" s="50" t="s">
        <v>208</v>
      </c>
      <c r="Q207" s="50" t="s">
        <v>208</v>
      </c>
      <c r="R207" s="50" t="s">
        <v>208</v>
      </c>
      <c r="S207" s="50" t="s">
        <v>208</v>
      </c>
      <c r="T207" s="50" t="s">
        <v>208</v>
      </c>
      <c r="U207" s="50" t="s">
        <v>208</v>
      </c>
      <c r="V207" s="50" t="s">
        <v>208</v>
      </c>
      <c r="W207" s="117" t="s">
        <v>344</v>
      </c>
      <c r="X207" s="117" t="s">
        <v>344</v>
      </c>
    </row>
    <row r="208" spans="1:24" x14ac:dyDescent="0.2">
      <c r="A208" s="30" t="s">
        <v>207</v>
      </c>
      <c r="B208" s="16" t="s">
        <v>182</v>
      </c>
      <c r="C208" s="16" t="s">
        <v>75</v>
      </c>
      <c r="D208" s="48" t="s">
        <v>190</v>
      </c>
      <c r="E208" s="48" t="s">
        <v>190</v>
      </c>
      <c r="F208" s="48" t="s">
        <v>190</v>
      </c>
      <c r="G208" s="48" t="s">
        <v>190</v>
      </c>
      <c r="H208" s="48" t="s">
        <v>190</v>
      </c>
      <c r="I208" s="48" t="s">
        <v>190</v>
      </c>
      <c r="J208" s="48" t="s">
        <v>190</v>
      </c>
      <c r="K208" s="48" t="s">
        <v>190</v>
      </c>
      <c r="L208" s="50">
        <v>2.7000000000000003E-2</v>
      </c>
      <c r="M208" s="50">
        <v>1.8000000000000002E-2</v>
      </c>
      <c r="N208" s="50">
        <v>2.1000000000000001E-2</v>
      </c>
      <c r="O208" s="50">
        <v>2.3E-2</v>
      </c>
      <c r="P208" s="50">
        <v>1.9E-2</v>
      </c>
      <c r="Q208" s="50">
        <v>0.02</v>
      </c>
      <c r="R208" s="50">
        <v>1.8000000000000002E-2</v>
      </c>
      <c r="S208" s="50">
        <v>2.1000000000000001E-2</v>
      </c>
      <c r="T208" s="50">
        <v>2.2000000000000002E-2</v>
      </c>
      <c r="U208" s="50">
        <v>2.3E-2</v>
      </c>
      <c r="V208" s="50" t="s">
        <v>256</v>
      </c>
      <c r="W208" s="117" t="s">
        <v>344</v>
      </c>
      <c r="X208" s="117" t="s">
        <v>344</v>
      </c>
    </row>
    <row r="209" spans="1:24" x14ac:dyDescent="0.2">
      <c r="A209" s="30" t="s">
        <v>207</v>
      </c>
      <c r="B209" s="16" t="s">
        <v>182</v>
      </c>
      <c r="C209" s="16" t="s">
        <v>76</v>
      </c>
      <c r="D209" s="48" t="s">
        <v>190</v>
      </c>
      <c r="E209" s="48" t="s">
        <v>190</v>
      </c>
      <c r="F209" s="48" t="s">
        <v>190</v>
      </c>
      <c r="G209" s="48" t="s">
        <v>190</v>
      </c>
      <c r="H209" s="48" t="s">
        <v>190</v>
      </c>
      <c r="I209" s="48" t="s">
        <v>190</v>
      </c>
      <c r="J209" s="48" t="s">
        <v>190</v>
      </c>
      <c r="K209" s="48" t="s">
        <v>190</v>
      </c>
      <c r="L209" s="50">
        <v>2.7999999999999997E-2</v>
      </c>
      <c r="M209" s="50">
        <v>2.7000000000000003E-2</v>
      </c>
      <c r="N209" s="50" t="s">
        <v>256</v>
      </c>
      <c r="O209" s="50">
        <v>2.8999999999999998E-2</v>
      </c>
      <c r="P209" s="50">
        <v>4.2999999999999997E-2</v>
      </c>
      <c r="Q209" s="50" t="s">
        <v>256</v>
      </c>
      <c r="R209" s="50" t="s">
        <v>256</v>
      </c>
      <c r="S209" s="50" t="s">
        <v>256</v>
      </c>
      <c r="T209" s="50" t="s">
        <v>208</v>
      </c>
      <c r="U209" s="50" t="s">
        <v>256</v>
      </c>
      <c r="V209" s="50" t="s">
        <v>256</v>
      </c>
      <c r="W209" s="117" t="s">
        <v>344</v>
      </c>
      <c r="X209" s="117" t="s">
        <v>344</v>
      </c>
    </row>
    <row r="210" spans="1:24" x14ac:dyDescent="0.2">
      <c r="A210" s="30" t="s">
        <v>207</v>
      </c>
      <c r="B210" s="16" t="s">
        <v>182</v>
      </c>
      <c r="C210" s="16" t="s">
        <v>77</v>
      </c>
      <c r="D210" s="48" t="s">
        <v>190</v>
      </c>
      <c r="E210" s="48" t="s">
        <v>190</v>
      </c>
      <c r="F210" s="48" t="s">
        <v>190</v>
      </c>
      <c r="G210" s="48" t="s">
        <v>190</v>
      </c>
      <c r="H210" s="48" t="s">
        <v>190</v>
      </c>
      <c r="I210" s="48" t="s">
        <v>190</v>
      </c>
      <c r="J210" s="48" t="s">
        <v>190</v>
      </c>
      <c r="K210" s="48" t="s">
        <v>190</v>
      </c>
      <c r="L210" s="50">
        <v>2.4E-2</v>
      </c>
      <c r="M210" s="50">
        <v>2.4E-2</v>
      </c>
      <c r="N210" s="50">
        <v>0.02</v>
      </c>
      <c r="O210" s="50" t="s">
        <v>256</v>
      </c>
      <c r="P210" s="50" t="s">
        <v>256</v>
      </c>
      <c r="Q210" s="50">
        <v>2.7000000000000003E-2</v>
      </c>
      <c r="R210" s="50" t="s">
        <v>256</v>
      </c>
      <c r="S210" s="50" t="s">
        <v>256</v>
      </c>
      <c r="T210" s="50" t="s">
        <v>208</v>
      </c>
      <c r="U210" s="50" t="s">
        <v>256</v>
      </c>
      <c r="V210" s="50" t="s">
        <v>256</v>
      </c>
      <c r="W210" s="117" t="s">
        <v>344</v>
      </c>
      <c r="X210" s="117" t="s">
        <v>344</v>
      </c>
    </row>
    <row r="211" spans="1:24" x14ac:dyDescent="0.2">
      <c r="A211" s="30" t="s">
        <v>207</v>
      </c>
      <c r="B211" s="16" t="s">
        <v>182</v>
      </c>
      <c r="C211" s="16" t="s">
        <v>78</v>
      </c>
      <c r="D211" s="48" t="s">
        <v>190</v>
      </c>
      <c r="E211" s="48" t="s">
        <v>190</v>
      </c>
      <c r="F211" s="48" t="s">
        <v>190</v>
      </c>
      <c r="G211" s="48" t="s">
        <v>190</v>
      </c>
      <c r="H211" s="48" t="s">
        <v>190</v>
      </c>
      <c r="I211" s="48" t="s">
        <v>190</v>
      </c>
      <c r="J211" s="48" t="s">
        <v>190</v>
      </c>
      <c r="K211" s="48" t="s">
        <v>190</v>
      </c>
      <c r="L211" s="50">
        <v>0.02</v>
      </c>
      <c r="M211" s="50">
        <v>2.1000000000000001E-2</v>
      </c>
      <c r="N211" s="50">
        <v>1.7000000000000001E-2</v>
      </c>
      <c r="O211" s="50">
        <v>1.9E-2</v>
      </c>
      <c r="P211" s="50">
        <v>0.02</v>
      </c>
      <c r="Q211" s="50">
        <v>1.7000000000000001E-2</v>
      </c>
      <c r="R211" s="50">
        <v>1.3999999999999999E-2</v>
      </c>
      <c r="S211" s="50">
        <v>1.4999999999999999E-2</v>
      </c>
      <c r="T211" s="50">
        <v>1.8000000000000002E-2</v>
      </c>
      <c r="U211" s="50">
        <v>1.9E-2</v>
      </c>
      <c r="V211" s="50" t="s">
        <v>256</v>
      </c>
      <c r="W211" s="117" t="s">
        <v>344</v>
      </c>
      <c r="X211" s="117" t="s">
        <v>344</v>
      </c>
    </row>
    <row r="212" spans="1:24" x14ac:dyDescent="0.2">
      <c r="A212" s="30" t="s">
        <v>207</v>
      </c>
      <c r="B212" s="16" t="s">
        <v>182</v>
      </c>
      <c r="C212" s="16" t="s">
        <v>79</v>
      </c>
      <c r="D212" s="48" t="s">
        <v>190</v>
      </c>
      <c r="E212" s="48" t="s">
        <v>190</v>
      </c>
      <c r="F212" s="48" t="s">
        <v>190</v>
      </c>
      <c r="G212" s="48" t="s">
        <v>190</v>
      </c>
      <c r="H212" s="48" t="s">
        <v>190</v>
      </c>
      <c r="I212" s="48" t="s">
        <v>190</v>
      </c>
      <c r="J212" s="48" t="s">
        <v>190</v>
      </c>
      <c r="K212" s="48" t="s">
        <v>190</v>
      </c>
      <c r="L212" s="50">
        <v>1.6E-2</v>
      </c>
      <c r="M212" s="50">
        <v>1.8000000000000002E-2</v>
      </c>
      <c r="N212" s="50">
        <v>1.4999999999999999E-2</v>
      </c>
      <c r="O212" s="50">
        <v>1.7000000000000001E-2</v>
      </c>
      <c r="P212" s="50">
        <v>1.3999999999999999E-2</v>
      </c>
      <c r="Q212" s="50">
        <v>1.3999999999999999E-2</v>
      </c>
      <c r="R212" s="50">
        <v>1.3999999999999999E-2</v>
      </c>
      <c r="S212" s="50">
        <v>1.2E-2</v>
      </c>
      <c r="T212" s="50">
        <v>1.6E-2</v>
      </c>
      <c r="U212" s="50" t="s">
        <v>256</v>
      </c>
      <c r="V212" s="50" t="s">
        <v>256</v>
      </c>
      <c r="W212" s="117" t="s">
        <v>344</v>
      </c>
      <c r="X212" s="117" t="s">
        <v>344</v>
      </c>
    </row>
    <row r="213" spans="1:24" x14ac:dyDescent="0.2">
      <c r="A213" s="30" t="s">
        <v>207</v>
      </c>
      <c r="B213" s="16" t="s">
        <v>182</v>
      </c>
      <c r="C213" s="16" t="s">
        <v>80</v>
      </c>
      <c r="D213" s="48" t="s">
        <v>190</v>
      </c>
      <c r="E213" s="48" t="s">
        <v>190</v>
      </c>
      <c r="F213" s="48" t="s">
        <v>190</v>
      </c>
      <c r="G213" s="48" t="s">
        <v>190</v>
      </c>
      <c r="H213" s="48" t="s">
        <v>190</v>
      </c>
      <c r="I213" s="48" t="s">
        <v>190</v>
      </c>
      <c r="J213" s="48" t="s">
        <v>190</v>
      </c>
      <c r="K213" s="48" t="s">
        <v>190</v>
      </c>
      <c r="L213" s="50" t="s">
        <v>256</v>
      </c>
      <c r="M213" s="50" t="s">
        <v>256</v>
      </c>
      <c r="N213" s="50" t="s">
        <v>256</v>
      </c>
      <c r="O213" s="50" t="s">
        <v>256</v>
      </c>
      <c r="P213" s="50" t="s">
        <v>208</v>
      </c>
      <c r="Q213" s="50" t="s">
        <v>208</v>
      </c>
      <c r="R213" s="50" t="s">
        <v>208</v>
      </c>
      <c r="S213" s="50" t="s">
        <v>208</v>
      </c>
      <c r="T213" s="50" t="s">
        <v>208</v>
      </c>
      <c r="U213" s="50" t="s">
        <v>208</v>
      </c>
      <c r="V213" s="50" t="s">
        <v>208</v>
      </c>
      <c r="W213" s="117" t="s">
        <v>344</v>
      </c>
      <c r="X213" s="117" t="s">
        <v>344</v>
      </c>
    </row>
    <row r="214" spans="1:24" x14ac:dyDescent="0.2">
      <c r="A214" s="30" t="s">
        <v>207</v>
      </c>
      <c r="B214" s="16" t="s">
        <v>182</v>
      </c>
      <c r="C214" s="16" t="s">
        <v>81</v>
      </c>
      <c r="D214" s="48" t="s">
        <v>190</v>
      </c>
      <c r="E214" s="48" t="s">
        <v>190</v>
      </c>
      <c r="F214" s="48" t="s">
        <v>190</v>
      </c>
      <c r="G214" s="48" t="s">
        <v>190</v>
      </c>
      <c r="H214" s="48" t="s">
        <v>190</v>
      </c>
      <c r="I214" s="48" t="s">
        <v>190</v>
      </c>
      <c r="J214" s="48" t="s">
        <v>190</v>
      </c>
      <c r="K214" s="48" t="s">
        <v>190</v>
      </c>
      <c r="L214" s="50">
        <v>1.8000000000000002E-2</v>
      </c>
      <c r="M214" s="50">
        <v>0.02</v>
      </c>
      <c r="N214" s="50">
        <v>1.6E-2</v>
      </c>
      <c r="O214" s="50">
        <v>1.4999999999999999E-2</v>
      </c>
      <c r="P214" s="50">
        <v>1.3000000000000001E-2</v>
      </c>
      <c r="Q214" s="50">
        <v>1.3999999999999999E-2</v>
      </c>
      <c r="R214" s="50">
        <v>1.3999999999999999E-2</v>
      </c>
      <c r="S214" s="50">
        <v>1.2E-2</v>
      </c>
      <c r="T214" s="50">
        <v>1.7000000000000001E-2</v>
      </c>
      <c r="U214" s="50">
        <v>1.7000000000000001E-2</v>
      </c>
      <c r="V214" s="97">
        <v>1.6E-2</v>
      </c>
      <c r="W214" s="117" t="s">
        <v>344</v>
      </c>
      <c r="X214" s="117" t="s">
        <v>344</v>
      </c>
    </row>
    <row r="215" spans="1:24" x14ac:dyDescent="0.2">
      <c r="A215" s="30" t="s">
        <v>207</v>
      </c>
      <c r="B215" s="16" t="s">
        <v>182</v>
      </c>
      <c r="C215" s="16" t="s">
        <v>82</v>
      </c>
      <c r="D215" s="48" t="s">
        <v>190</v>
      </c>
      <c r="E215" s="48" t="s">
        <v>190</v>
      </c>
      <c r="F215" s="48" t="s">
        <v>190</v>
      </c>
      <c r="G215" s="48" t="s">
        <v>190</v>
      </c>
      <c r="H215" s="48" t="s">
        <v>190</v>
      </c>
      <c r="I215" s="48" t="s">
        <v>190</v>
      </c>
      <c r="J215" s="48" t="s">
        <v>190</v>
      </c>
      <c r="K215" s="48" t="s">
        <v>190</v>
      </c>
      <c r="L215" s="50" t="s">
        <v>208</v>
      </c>
      <c r="M215" s="50" t="s">
        <v>208</v>
      </c>
      <c r="N215" s="50" t="s">
        <v>208</v>
      </c>
      <c r="O215" s="50" t="s">
        <v>208</v>
      </c>
      <c r="P215" s="50" t="s">
        <v>208</v>
      </c>
      <c r="Q215" s="50" t="s">
        <v>208</v>
      </c>
      <c r="R215" s="50" t="s">
        <v>208</v>
      </c>
      <c r="S215" s="50" t="s">
        <v>208</v>
      </c>
      <c r="T215" s="50" t="s">
        <v>208</v>
      </c>
      <c r="U215" s="50" t="s">
        <v>208</v>
      </c>
      <c r="V215" s="50" t="s">
        <v>208</v>
      </c>
      <c r="W215" s="117" t="s">
        <v>344</v>
      </c>
      <c r="X215" s="117" t="s">
        <v>344</v>
      </c>
    </row>
    <row r="216" spans="1:24" x14ac:dyDescent="0.2">
      <c r="A216" s="30" t="s">
        <v>207</v>
      </c>
      <c r="B216" s="16" t="s">
        <v>182</v>
      </c>
      <c r="C216" s="16" t="s">
        <v>83</v>
      </c>
      <c r="D216" s="48" t="s">
        <v>190</v>
      </c>
      <c r="E216" s="48" t="s">
        <v>190</v>
      </c>
      <c r="F216" s="48" t="s">
        <v>190</v>
      </c>
      <c r="G216" s="48" t="s">
        <v>190</v>
      </c>
      <c r="H216" s="48" t="s">
        <v>190</v>
      </c>
      <c r="I216" s="48" t="s">
        <v>190</v>
      </c>
      <c r="J216" s="48" t="s">
        <v>190</v>
      </c>
      <c r="K216" s="48" t="s">
        <v>190</v>
      </c>
      <c r="L216" s="50" t="s">
        <v>256</v>
      </c>
      <c r="M216" s="50" t="s">
        <v>256</v>
      </c>
      <c r="N216" s="50" t="s">
        <v>208</v>
      </c>
      <c r="O216" s="50" t="s">
        <v>256</v>
      </c>
      <c r="P216" s="50" t="s">
        <v>208</v>
      </c>
      <c r="Q216" s="50" t="s">
        <v>208</v>
      </c>
      <c r="R216" s="50" t="s">
        <v>208</v>
      </c>
      <c r="S216" s="50" t="s">
        <v>208</v>
      </c>
      <c r="T216" s="50" t="s">
        <v>208</v>
      </c>
      <c r="U216" s="50" t="s">
        <v>256</v>
      </c>
      <c r="V216" s="50" t="s">
        <v>208</v>
      </c>
      <c r="W216" s="117" t="s">
        <v>344</v>
      </c>
      <c r="X216" s="117" t="s">
        <v>344</v>
      </c>
    </row>
    <row r="217" spans="1:24" x14ac:dyDescent="0.2">
      <c r="A217" s="30" t="s">
        <v>207</v>
      </c>
      <c r="B217" s="16" t="s">
        <v>182</v>
      </c>
      <c r="C217" s="16" t="s">
        <v>84</v>
      </c>
      <c r="D217" s="48" t="s">
        <v>190</v>
      </c>
      <c r="E217" s="48" t="s">
        <v>190</v>
      </c>
      <c r="F217" s="48" t="s">
        <v>190</v>
      </c>
      <c r="G217" s="48" t="s">
        <v>190</v>
      </c>
      <c r="H217" s="48" t="s">
        <v>190</v>
      </c>
      <c r="I217" s="48" t="s">
        <v>190</v>
      </c>
      <c r="J217" s="48" t="s">
        <v>190</v>
      </c>
      <c r="K217" s="48" t="s">
        <v>190</v>
      </c>
      <c r="L217" s="50" t="s">
        <v>208</v>
      </c>
      <c r="M217" s="50" t="s">
        <v>208</v>
      </c>
      <c r="N217" s="50" t="s">
        <v>256</v>
      </c>
      <c r="O217" s="50" t="s">
        <v>208</v>
      </c>
      <c r="P217" s="50" t="s">
        <v>208</v>
      </c>
      <c r="Q217" s="50" t="s">
        <v>208</v>
      </c>
      <c r="R217" s="50" t="s">
        <v>208</v>
      </c>
      <c r="S217" s="50" t="s">
        <v>208</v>
      </c>
      <c r="T217" s="50" t="s">
        <v>208</v>
      </c>
      <c r="U217" s="50" t="s">
        <v>208</v>
      </c>
      <c r="V217" s="50" t="s">
        <v>208</v>
      </c>
      <c r="W217" s="117" t="s">
        <v>344</v>
      </c>
      <c r="X217" s="117" t="s">
        <v>344</v>
      </c>
    </row>
    <row r="218" spans="1:24" x14ac:dyDescent="0.2">
      <c r="A218" s="30" t="s">
        <v>207</v>
      </c>
      <c r="B218" s="16" t="s">
        <v>182</v>
      </c>
      <c r="C218" s="16" t="s">
        <v>15</v>
      </c>
      <c r="D218" s="48" t="s">
        <v>190</v>
      </c>
      <c r="E218" s="48" t="s">
        <v>190</v>
      </c>
      <c r="F218" s="48" t="s">
        <v>190</v>
      </c>
      <c r="G218" s="48" t="s">
        <v>190</v>
      </c>
      <c r="H218" s="48" t="s">
        <v>190</v>
      </c>
      <c r="I218" s="48" t="s">
        <v>190</v>
      </c>
      <c r="J218" s="48" t="s">
        <v>190</v>
      </c>
      <c r="K218" s="48" t="s">
        <v>190</v>
      </c>
      <c r="L218" s="50" t="s">
        <v>256</v>
      </c>
      <c r="M218" s="50" t="s">
        <v>208</v>
      </c>
      <c r="N218" s="50" t="s">
        <v>256</v>
      </c>
      <c r="O218" s="50" t="s">
        <v>208</v>
      </c>
      <c r="P218" s="50" t="s">
        <v>208</v>
      </c>
      <c r="Q218" s="50" t="s">
        <v>208</v>
      </c>
      <c r="R218" s="50" t="s">
        <v>208</v>
      </c>
      <c r="S218" s="50" t="s">
        <v>208</v>
      </c>
      <c r="T218" s="50" t="s">
        <v>208</v>
      </c>
      <c r="U218" s="50" t="s">
        <v>256</v>
      </c>
      <c r="V218" s="50" t="s">
        <v>208</v>
      </c>
      <c r="W218" s="117" t="s">
        <v>344</v>
      </c>
      <c r="X218" s="117" t="s">
        <v>344</v>
      </c>
    </row>
    <row r="219" spans="1:24" x14ac:dyDescent="0.2">
      <c r="A219" s="30" t="s">
        <v>207</v>
      </c>
      <c r="B219" s="16" t="s">
        <v>182</v>
      </c>
      <c r="C219" s="16" t="s">
        <v>85</v>
      </c>
      <c r="D219" s="48" t="s">
        <v>190</v>
      </c>
      <c r="E219" s="48" t="s">
        <v>190</v>
      </c>
      <c r="F219" s="48" t="s">
        <v>190</v>
      </c>
      <c r="G219" s="48" t="s">
        <v>190</v>
      </c>
      <c r="H219" s="48" t="s">
        <v>190</v>
      </c>
      <c r="I219" s="48" t="s">
        <v>190</v>
      </c>
      <c r="J219" s="48" t="s">
        <v>190</v>
      </c>
      <c r="K219" s="48" t="s">
        <v>190</v>
      </c>
      <c r="L219" s="50">
        <v>0.02</v>
      </c>
      <c r="M219" s="50">
        <v>0.02</v>
      </c>
      <c r="N219" s="50">
        <v>1.6E-2</v>
      </c>
      <c r="O219" s="50">
        <v>1.8000000000000002E-2</v>
      </c>
      <c r="P219" s="50">
        <v>1.8000000000000002E-2</v>
      </c>
      <c r="Q219" s="50">
        <v>1.6E-2</v>
      </c>
      <c r="R219" s="50">
        <v>1.7000000000000001E-2</v>
      </c>
      <c r="S219" s="50">
        <v>1.3999999999999999E-2</v>
      </c>
      <c r="T219" s="50">
        <v>2.3E-2</v>
      </c>
      <c r="U219" s="50" t="s">
        <v>256</v>
      </c>
      <c r="V219" s="50" t="s">
        <v>256</v>
      </c>
      <c r="W219" s="117" t="s">
        <v>344</v>
      </c>
      <c r="X219" s="117" t="s">
        <v>344</v>
      </c>
    </row>
    <row r="220" spans="1:24" x14ac:dyDescent="0.2">
      <c r="A220" s="30" t="s">
        <v>207</v>
      </c>
      <c r="B220" s="16" t="s">
        <v>182</v>
      </c>
      <c r="C220" s="16" t="s">
        <v>86</v>
      </c>
      <c r="D220" s="48" t="s">
        <v>190</v>
      </c>
      <c r="E220" s="48" t="s">
        <v>190</v>
      </c>
      <c r="F220" s="48" t="s">
        <v>190</v>
      </c>
      <c r="G220" s="48" t="s">
        <v>190</v>
      </c>
      <c r="H220" s="48" t="s">
        <v>190</v>
      </c>
      <c r="I220" s="48" t="s">
        <v>190</v>
      </c>
      <c r="J220" s="48" t="s">
        <v>190</v>
      </c>
      <c r="K220" s="48" t="s">
        <v>190</v>
      </c>
      <c r="L220" s="50" t="s">
        <v>256</v>
      </c>
      <c r="M220" s="50" t="s">
        <v>256</v>
      </c>
      <c r="N220" s="50" t="s">
        <v>256</v>
      </c>
      <c r="O220" s="50" t="s">
        <v>208</v>
      </c>
      <c r="P220" s="50" t="s">
        <v>256</v>
      </c>
      <c r="Q220" s="50" t="s">
        <v>256</v>
      </c>
      <c r="R220" s="50" t="s">
        <v>208</v>
      </c>
      <c r="S220" s="50" t="s">
        <v>256</v>
      </c>
      <c r="T220" s="50" t="s">
        <v>208</v>
      </c>
      <c r="U220" s="50" t="s">
        <v>208</v>
      </c>
      <c r="V220" s="50" t="s">
        <v>208</v>
      </c>
      <c r="W220" s="117" t="s">
        <v>344</v>
      </c>
      <c r="X220" s="117" t="s">
        <v>344</v>
      </c>
    </row>
    <row r="221" spans="1:24" x14ac:dyDescent="0.2">
      <c r="A221" s="30" t="s">
        <v>207</v>
      </c>
      <c r="B221" s="16" t="s">
        <v>182</v>
      </c>
      <c r="C221" s="16" t="s">
        <v>87</v>
      </c>
      <c r="D221" s="48" t="s">
        <v>190</v>
      </c>
      <c r="E221" s="48" t="s">
        <v>190</v>
      </c>
      <c r="F221" s="48" t="s">
        <v>190</v>
      </c>
      <c r="G221" s="48" t="s">
        <v>190</v>
      </c>
      <c r="H221" s="48" t="s">
        <v>190</v>
      </c>
      <c r="I221" s="48" t="s">
        <v>190</v>
      </c>
      <c r="J221" s="48" t="s">
        <v>190</v>
      </c>
      <c r="K221" s="48" t="s">
        <v>190</v>
      </c>
      <c r="L221" s="50" t="s">
        <v>256</v>
      </c>
      <c r="M221" s="50" t="s">
        <v>256</v>
      </c>
      <c r="N221" s="50" t="s">
        <v>256</v>
      </c>
      <c r="O221" s="50" t="s">
        <v>208</v>
      </c>
      <c r="P221" s="50" t="s">
        <v>208</v>
      </c>
      <c r="Q221" s="50" t="s">
        <v>208</v>
      </c>
      <c r="R221" s="50" t="s">
        <v>208</v>
      </c>
      <c r="S221" s="50" t="s">
        <v>208</v>
      </c>
      <c r="T221" s="50" t="s">
        <v>208</v>
      </c>
      <c r="U221" s="50" t="s">
        <v>208</v>
      </c>
      <c r="V221" s="50" t="s">
        <v>208</v>
      </c>
      <c r="W221" s="117" t="s">
        <v>344</v>
      </c>
      <c r="X221" s="117" t="s">
        <v>344</v>
      </c>
    </row>
    <row r="222" spans="1:24" x14ac:dyDescent="0.2">
      <c r="A222" s="30" t="s">
        <v>207</v>
      </c>
      <c r="B222" s="16" t="s">
        <v>182</v>
      </c>
      <c r="C222" s="16" t="s">
        <v>88</v>
      </c>
      <c r="D222" s="48" t="s">
        <v>190</v>
      </c>
      <c r="E222" s="48" t="s">
        <v>190</v>
      </c>
      <c r="F222" s="48" t="s">
        <v>190</v>
      </c>
      <c r="G222" s="48" t="s">
        <v>190</v>
      </c>
      <c r="H222" s="48" t="s">
        <v>190</v>
      </c>
      <c r="I222" s="48" t="s">
        <v>190</v>
      </c>
      <c r="J222" s="48" t="s">
        <v>190</v>
      </c>
      <c r="K222" s="48" t="s">
        <v>190</v>
      </c>
      <c r="L222" s="50" t="s">
        <v>208</v>
      </c>
      <c r="M222" s="50" t="s">
        <v>208</v>
      </c>
      <c r="N222" s="50" t="s">
        <v>208</v>
      </c>
      <c r="O222" s="50" t="s">
        <v>208</v>
      </c>
      <c r="P222" s="50" t="s">
        <v>208</v>
      </c>
      <c r="Q222" s="50" t="s">
        <v>208</v>
      </c>
      <c r="R222" s="50" t="s">
        <v>208</v>
      </c>
      <c r="S222" s="50" t="s">
        <v>208</v>
      </c>
      <c r="T222" s="50" t="s">
        <v>208</v>
      </c>
      <c r="U222" s="50" t="s">
        <v>208</v>
      </c>
      <c r="V222" s="50" t="s">
        <v>208</v>
      </c>
      <c r="W222" s="117" t="s">
        <v>344</v>
      </c>
      <c r="X222" s="117" t="s">
        <v>344</v>
      </c>
    </row>
    <row r="223" spans="1:24" x14ac:dyDescent="0.2">
      <c r="A223" s="30" t="s">
        <v>207</v>
      </c>
      <c r="B223" s="16" t="s">
        <v>182</v>
      </c>
      <c r="C223" s="16" t="s">
        <v>18</v>
      </c>
      <c r="D223" s="48" t="s">
        <v>190</v>
      </c>
      <c r="E223" s="48" t="s">
        <v>190</v>
      </c>
      <c r="F223" s="48" t="s">
        <v>190</v>
      </c>
      <c r="G223" s="48" t="s">
        <v>190</v>
      </c>
      <c r="H223" s="48" t="s">
        <v>190</v>
      </c>
      <c r="I223" s="48" t="s">
        <v>190</v>
      </c>
      <c r="J223" s="48" t="s">
        <v>190</v>
      </c>
      <c r="K223" s="48" t="s">
        <v>190</v>
      </c>
      <c r="L223" s="50" t="s">
        <v>208</v>
      </c>
      <c r="M223" s="50" t="s">
        <v>256</v>
      </c>
      <c r="N223" s="50" t="s">
        <v>256</v>
      </c>
      <c r="O223" s="50" t="s">
        <v>208</v>
      </c>
      <c r="P223" s="50" t="s">
        <v>256</v>
      </c>
      <c r="Q223" s="50" t="s">
        <v>208</v>
      </c>
      <c r="R223" s="50" t="s">
        <v>208</v>
      </c>
      <c r="S223" s="50" t="s">
        <v>208</v>
      </c>
      <c r="T223" s="50" t="s">
        <v>208</v>
      </c>
      <c r="U223" s="50" t="s">
        <v>208</v>
      </c>
      <c r="V223" s="50" t="s">
        <v>208</v>
      </c>
      <c r="W223" s="117" t="s">
        <v>344</v>
      </c>
      <c r="X223" s="117" t="s">
        <v>344</v>
      </c>
    </row>
    <row r="224" spans="1:24" x14ac:dyDescent="0.2">
      <c r="A224" s="30" t="s">
        <v>207</v>
      </c>
      <c r="B224" s="16" t="s">
        <v>182</v>
      </c>
      <c r="C224" s="16" t="s">
        <v>89</v>
      </c>
      <c r="D224" s="48" t="s">
        <v>190</v>
      </c>
      <c r="E224" s="48" t="s">
        <v>190</v>
      </c>
      <c r="F224" s="48" t="s">
        <v>190</v>
      </c>
      <c r="G224" s="48" t="s">
        <v>190</v>
      </c>
      <c r="H224" s="48" t="s">
        <v>190</v>
      </c>
      <c r="I224" s="48" t="s">
        <v>190</v>
      </c>
      <c r="J224" s="48" t="s">
        <v>190</v>
      </c>
      <c r="K224" s="48" t="s">
        <v>190</v>
      </c>
      <c r="L224" s="50" t="s">
        <v>208</v>
      </c>
      <c r="M224" s="50" t="s">
        <v>256</v>
      </c>
      <c r="N224" s="50" t="s">
        <v>208</v>
      </c>
      <c r="O224" s="50" t="s">
        <v>256</v>
      </c>
      <c r="P224" s="50" t="s">
        <v>208</v>
      </c>
      <c r="Q224" s="50" t="s">
        <v>208</v>
      </c>
      <c r="R224" s="50" t="s">
        <v>208</v>
      </c>
      <c r="S224" s="50" t="s">
        <v>208</v>
      </c>
      <c r="T224" s="50" t="s">
        <v>256</v>
      </c>
      <c r="U224" s="50" t="s">
        <v>208</v>
      </c>
      <c r="V224" s="50" t="s">
        <v>208</v>
      </c>
      <c r="W224" s="117" t="s">
        <v>344</v>
      </c>
      <c r="X224" s="117" t="s">
        <v>344</v>
      </c>
    </row>
    <row r="225" spans="1:24" x14ac:dyDescent="0.2">
      <c r="A225" s="30" t="s">
        <v>207</v>
      </c>
      <c r="B225" s="16" t="s">
        <v>182</v>
      </c>
      <c r="C225" s="16" t="s">
        <v>90</v>
      </c>
      <c r="D225" s="48" t="s">
        <v>190</v>
      </c>
      <c r="E225" s="48" t="s">
        <v>190</v>
      </c>
      <c r="F225" s="48" t="s">
        <v>190</v>
      </c>
      <c r="G225" s="48" t="s">
        <v>190</v>
      </c>
      <c r="H225" s="48" t="s">
        <v>190</v>
      </c>
      <c r="I225" s="48" t="s">
        <v>190</v>
      </c>
      <c r="J225" s="48" t="s">
        <v>190</v>
      </c>
      <c r="K225" s="48" t="s">
        <v>190</v>
      </c>
      <c r="L225" s="50" t="s">
        <v>256</v>
      </c>
      <c r="M225" s="50">
        <v>6.7000000000000004E-2</v>
      </c>
      <c r="N225" s="50" t="s">
        <v>256</v>
      </c>
      <c r="O225" s="50" t="s">
        <v>256</v>
      </c>
      <c r="P225" s="50" t="s">
        <v>256</v>
      </c>
      <c r="Q225" s="50" t="s">
        <v>208</v>
      </c>
      <c r="R225" s="50" t="s">
        <v>208</v>
      </c>
      <c r="S225" s="50" t="s">
        <v>208</v>
      </c>
      <c r="T225" s="50" t="s">
        <v>208</v>
      </c>
      <c r="U225" s="50" t="s">
        <v>208</v>
      </c>
      <c r="V225" s="50" t="s">
        <v>208</v>
      </c>
      <c r="W225" s="117" t="s">
        <v>344</v>
      </c>
      <c r="X225" s="117" t="s">
        <v>344</v>
      </c>
    </row>
    <row r="226" spans="1:24" x14ac:dyDescent="0.2">
      <c r="A226" s="30" t="s">
        <v>207</v>
      </c>
      <c r="B226" s="16" t="s">
        <v>182</v>
      </c>
      <c r="C226" s="16" t="s">
        <v>91</v>
      </c>
      <c r="D226" s="48" t="s">
        <v>190</v>
      </c>
      <c r="E226" s="48" t="s">
        <v>190</v>
      </c>
      <c r="F226" s="48" t="s">
        <v>190</v>
      </c>
      <c r="G226" s="48" t="s">
        <v>190</v>
      </c>
      <c r="H226" s="48" t="s">
        <v>190</v>
      </c>
      <c r="I226" s="48" t="s">
        <v>190</v>
      </c>
      <c r="J226" s="48" t="s">
        <v>190</v>
      </c>
      <c r="K226" s="48" t="s">
        <v>190</v>
      </c>
      <c r="L226" s="50" t="s">
        <v>208</v>
      </c>
      <c r="M226" s="50" t="s">
        <v>208</v>
      </c>
      <c r="N226" s="50" t="s">
        <v>256</v>
      </c>
      <c r="O226" s="50" t="s">
        <v>208</v>
      </c>
      <c r="P226" s="50" t="s">
        <v>208</v>
      </c>
      <c r="Q226" s="50" t="s">
        <v>208</v>
      </c>
      <c r="R226" s="50" t="s">
        <v>208</v>
      </c>
      <c r="S226" s="50" t="s">
        <v>208</v>
      </c>
      <c r="T226" s="50" t="s">
        <v>208</v>
      </c>
      <c r="U226" s="50" t="s">
        <v>208</v>
      </c>
      <c r="V226" s="50" t="s">
        <v>208</v>
      </c>
      <c r="W226" s="117" t="s">
        <v>344</v>
      </c>
      <c r="X226" s="117" t="s">
        <v>344</v>
      </c>
    </row>
    <row r="227" spans="1:24" x14ac:dyDescent="0.2">
      <c r="A227" s="30" t="s">
        <v>207</v>
      </c>
      <c r="B227" s="16" t="s">
        <v>182</v>
      </c>
      <c r="C227" s="16" t="s">
        <v>92</v>
      </c>
      <c r="D227" s="48" t="s">
        <v>190</v>
      </c>
      <c r="E227" s="48" t="s">
        <v>190</v>
      </c>
      <c r="F227" s="48" t="s">
        <v>190</v>
      </c>
      <c r="G227" s="48" t="s">
        <v>190</v>
      </c>
      <c r="H227" s="48" t="s">
        <v>190</v>
      </c>
      <c r="I227" s="48" t="s">
        <v>190</v>
      </c>
      <c r="J227" s="48" t="s">
        <v>190</v>
      </c>
      <c r="K227" s="48" t="s">
        <v>190</v>
      </c>
      <c r="L227" s="50" t="s">
        <v>208</v>
      </c>
      <c r="M227" s="50" t="s">
        <v>208</v>
      </c>
      <c r="N227" s="50" t="s">
        <v>256</v>
      </c>
      <c r="O227" s="50" t="s">
        <v>256</v>
      </c>
      <c r="P227" s="50" t="s">
        <v>256</v>
      </c>
      <c r="Q227" s="50" t="s">
        <v>256</v>
      </c>
      <c r="R227" s="50" t="s">
        <v>208</v>
      </c>
      <c r="S227" s="50" t="s">
        <v>208</v>
      </c>
      <c r="T227" s="50" t="s">
        <v>208</v>
      </c>
      <c r="U227" s="50" t="s">
        <v>208</v>
      </c>
      <c r="V227" s="50" t="s">
        <v>208</v>
      </c>
      <c r="W227" s="117" t="s">
        <v>344</v>
      </c>
      <c r="X227" s="117" t="s">
        <v>344</v>
      </c>
    </row>
    <row r="228" spans="1:24" x14ac:dyDescent="0.2">
      <c r="A228" s="30" t="s">
        <v>207</v>
      </c>
      <c r="B228" s="16" t="s">
        <v>182</v>
      </c>
      <c r="C228" s="16" t="s">
        <v>93</v>
      </c>
      <c r="D228" s="48" t="s">
        <v>190</v>
      </c>
      <c r="E228" s="48" t="s">
        <v>190</v>
      </c>
      <c r="F228" s="48" t="s">
        <v>190</v>
      </c>
      <c r="G228" s="48" t="s">
        <v>190</v>
      </c>
      <c r="H228" s="48" t="s">
        <v>190</v>
      </c>
      <c r="I228" s="48" t="s">
        <v>190</v>
      </c>
      <c r="J228" s="48" t="s">
        <v>190</v>
      </c>
      <c r="K228" s="48" t="s">
        <v>190</v>
      </c>
      <c r="L228" s="50" t="s">
        <v>208</v>
      </c>
      <c r="M228" s="50" t="s">
        <v>208</v>
      </c>
      <c r="N228" s="50" t="s">
        <v>208</v>
      </c>
      <c r="O228" s="50" t="s">
        <v>208</v>
      </c>
      <c r="P228" s="50" t="s">
        <v>208</v>
      </c>
      <c r="Q228" s="50" t="s">
        <v>208</v>
      </c>
      <c r="R228" s="50" t="s">
        <v>208</v>
      </c>
      <c r="S228" s="50" t="s">
        <v>208</v>
      </c>
      <c r="T228" s="50" t="s">
        <v>208</v>
      </c>
      <c r="U228" s="50" t="s">
        <v>208</v>
      </c>
      <c r="V228" s="50" t="s">
        <v>208</v>
      </c>
      <c r="W228" s="117" t="s">
        <v>344</v>
      </c>
      <c r="X228" s="117" t="s">
        <v>344</v>
      </c>
    </row>
    <row r="229" spans="1:24" x14ac:dyDescent="0.2">
      <c r="A229" s="30" t="s">
        <v>207</v>
      </c>
      <c r="B229" s="16" t="s">
        <v>182</v>
      </c>
      <c r="C229" s="16" t="s">
        <v>94</v>
      </c>
      <c r="D229" s="48" t="s">
        <v>190</v>
      </c>
      <c r="E229" s="48" t="s">
        <v>190</v>
      </c>
      <c r="F229" s="48" t="s">
        <v>190</v>
      </c>
      <c r="G229" s="48" t="s">
        <v>190</v>
      </c>
      <c r="H229" s="48" t="s">
        <v>190</v>
      </c>
      <c r="I229" s="48" t="s">
        <v>190</v>
      </c>
      <c r="J229" s="48" t="s">
        <v>190</v>
      </c>
      <c r="K229" s="48" t="s">
        <v>190</v>
      </c>
      <c r="L229" s="50">
        <v>0.04</v>
      </c>
      <c r="M229" s="50">
        <v>3.6000000000000004E-2</v>
      </c>
      <c r="N229" s="50">
        <v>0.03</v>
      </c>
      <c r="O229" s="50" t="s">
        <v>256</v>
      </c>
      <c r="P229" s="50" t="s">
        <v>256</v>
      </c>
      <c r="Q229" s="50" t="s">
        <v>256</v>
      </c>
      <c r="R229" s="50" t="s">
        <v>256</v>
      </c>
      <c r="S229" s="50" t="s">
        <v>256</v>
      </c>
      <c r="T229" s="50" t="s">
        <v>256</v>
      </c>
      <c r="U229" s="50" t="s">
        <v>256</v>
      </c>
      <c r="V229" s="50" t="s">
        <v>208</v>
      </c>
      <c r="W229" s="117" t="s">
        <v>344</v>
      </c>
      <c r="X229" s="117" t="s">
        <v>344</v>
      </c>
    </row>
    <row r="230" spans="1:24" x14ac:dyDescent="0.2">
      <c r="A230" s="30" t="s">
        <v>207</v>
      </c>
      <c r="B230" s="16" t="s">
        <v>182</v>
      </c>
      <c r="C230" s="16" t="s">
        <v>95</v>
      </c>
      <c r="D230" s="48" t="s">
        <v>190</v>
      </c>
      <c r="E230" s="48" t="s">
        <v>190</v>
      </c>
      <c r="F230" s="48" t="s">
        <v>190</v>
      </c>
      <c r="G230" s="48" t="s">
        <v>190</v>
      </c>
      <c r="H230" s="48" t="s">
        <v>190</v>
      </c>
      <c r="I230" s="48" t="s">
        <v>190</v>
      </c>
      <c r="J230" s="48" t="s">
        <v>190</v>
      </c>
      <c r="K230" s="48" t="s">
        <v>190</v>
      </c>
      <c r="L230" s="50" t="s">
        <v>256</v>
      </c>
      <c r="M230" s="50" t="s">
        <v>208</v>
      </c>
      <c r="N230" s="50" t="s">
        <v>208</v>
      </c>
      <c r="O230" s="50" t="s">
        <v>208</v>
      </c>
      <c r="P230" s="50" t="s">
        <v>208</v>
      </c>
      <c r="Q230" s="50" t="s">
        <v>208</v>
      </c>
      <c r="R230" s="50" t="s">
        <v>208</v>
      </c>
      <c r="S230" s="50" t="s">
        <v>208</v>
      </c>
      <c r="T230" s="50" t="s">
        <v>208</v>
      </c>
      <c r="U230" s="50" t="s">
        <v>208</v>
      </c>
      <c r="V230" s="50" t="s">
        <v>208</v>
      </c>
      <c r="W230" s="117" t="s">
        <v>344</v>
      </c>
      <c r="X230" s="117" t="s">
        <v>344</v>
      </c>
    </row>
    <row r="231" spans="1:24" ht="31.5" customHeight="1" x14ac:dyDescent="0.2">
      <c r="A231" s="30" t="s">
        <v>207</v>
      </c>
      <c r="B231" s="17" t="s">
        <v>183</v>
      </c>
      <c r="C231" s="17" t="s">
        <v>112</v>
      </c>
      <c r="D231" s="48" t="s">
        <v>190</v>
      </c>
      <c r="E231" s="48" t="s">
        <v>190</v>
      </c>
      <c r="F231" s="48" t="s">
        <v>190</v>
      </c>
      <c r="G231" s="48" t="s">
        <v>190</v>
      </c>
      <c r="H231" s="48" t="s">
        <v>190</v>
      </c>
      <c r="I231" s="48" t="s">
        <v>190</v>
      </c>
      <c r="J231" s="48" t="s">
        <v>190</v>
      </c>
      <c r="K231" s="48" t="s">
        <v>190</v>
      </c>
      <c r="L231" s="50">
        <v>2.5000000000000001E-2</v>
      </c>
      <c r="M231" s="50">
        <v>2.1000000000000001E-2</v>
      </c>
      <c r="N231" s="50">
        <v>1.9E-2</v>
      </c>
      <c r="O231" s="50">
        <v>2.2000000000000002E-2</v>
      </c>
      <c r="P231" s="79" t="s">
        <v>256</v>
      </c>
      <c r="Q231" s="79" t="s">
        <v>256</v>
      </c>
      <c r="R231" s="79" t="s">
        <v>256</v>
      </c>
      <c r="S231" s="79" t="s">
        <v>256</v>
      </c>
      <c r="T231" s="79" t="s">
        <v>256</v>
      </c>
      <c r="U231" s="29" t="s">
        <v>208</v>
      </c>
      <c r="V231" s="29" t="s">
        <v>208</v>
      </c>
      <c r="W231" s="117" t="s">
        <v>344</v>
      </c>
      <c r="X231" s="117" t="s">
        <v>344</v>
      </c>
    </row>
    <row r="232" spans="1:24" x14ac:dyDescent="0.2">
      <c r="A232" s="30" t="s">
        <v>207</v>
      </c>
      <c r="B232" s="17" t="s">
        <v>183</v>
      </c>
      <c r="C232" s="9" t="s">
        <v>113</v>
      </c>
      <c r="D232" s="48" t="s">
        <v>190</v>
      </c>
      <c r="E232" s="48" t="s">
        <v>190</v>
      </c>
      <c r="F232" s="48" t="s">
        <v>190</v>
      </c>
      <c r="G232" s="48" t="s">
        <v>190</v>
      </c>
      <c r="H232" s="48" t="s">
        <v>190</v>
      </c>
      <c r="I232" s="48" t="s">
        <v>190</v>
      </c>
      <c r="J232" s="48" t="s">
        <v>190</v>
      </c>
      <c r="K232" s="48" t="s">
        <v>190</v>
      </c>
      <c r="L232" s="79" t="s">
        <v>256</v>
      </c>
      <c r="M232" s="79" t="s">
        <v>256</v>
      </c>
      <c r="N232" s="79" t="s">
        <v>256</v>
      </c>
      <c r="O232" s="29" t="s">
        <v>208</v>
      </c>
      <c r="P232" s="79" t="s">
        <v>256</v>
      </c>
      <c r="Q232" s="79" t="s">
        <v>256</v>
      </c>
      <c r="R232" s="79" t="s">
        <v>256</v>
      </c>
      <c r="S232" s="29" t="s">
        <v>208</v>
      </c>
      <c r="T232" s="29" t="s">
        <v>208</v>
      </c>
      <c r="U232" s="29" t="s">
        <v>208</v>
      </c>
      <c r="V232" s="29" t="s">
        <v>208</v>
      </c>
      <c r="W232" s="117" t="s">
        <v>344</v>
      </c>
      <c r="X232" s="117" t="s">
        <v>344</v>
      </c>
    </row>
    <row r="233" spans="1:24" x14ac:dyDescent="0.2">
      <c r="A233" s="30" t="s">
        <v>207</v>
      </c>
      <c r="B233" s="17" t="s">
        <v>183</v>
      </c>
      <c r="C233" s="9" t="s">
        <v>114</v>
      </c>
      <c r="D233" s="49" t="s">
        <v>190</v>
      </c>
      <c r="E233" s="49" t="s">
        <v>190</v>
      </c>
      <c r="F233" s="49" t="s">
        <v>190</v>
      </c>
      <c r="G233" s="49" t="s">
        <v>190</v>
      </c>
      <c r="H233" s="49" t="s">
        <v>190</v>
      </c>
      <c r="I233" s="49" t="s">
        <v>190</v>
      </c>
      <c r="J233" s="50" t="s">
        <v>190</v>
      </c>
      <c r="K233" s="50" t="s">
        <v>190</v>
      </c>
      <c r="L233" s="50">
        <v>0.02</v>
      </c>
      <c r="M233" s="50">
        <v>2.2000000000000002E-2</v>
      </c>
      <c r="N233" s="50">
        <v>1.8000000000000002E-2</v>
      </c>
      <c r="O233" s="50">
        <v>1.9E-2</v>
      </c>
      <c r="P233" s="50">
        <v>2.3E-2</v>
      </c>
      <c r="Q233" s="50">
        <v>2.1000000000000001E-2</v>
      </c>
      <c r="R233" s="79" t="s">
        <v>256</v>
      </c>
      <c r="S233" s="79" t="s">
        <v>256</v>
      </c>
      <c r="T233" s="79" t="s">
        <v>256</v>
      </c>
      <c r="U233" s="79" t="s">
        <v>256</v>
      </c>
      <c r="V233" s="79" t="s">
        <v>256</v>
      </c>
      <c r="W233" s="117" t="s">
        <v>344</v>
      </c>
      <c r="X233" s="117" t="s">
        <v>344</v>
      </c>
    </row>
    <row r="234" spans="1:24" x14ac:dyDescent="0.2">
      <c r="A234" s="30" t="s">
        <v>207</v>
      </c>
      <c r="B234" s="17" t="s">
        <v>183</v>
      </c>
      <c r="C234" s="9" t="s">
        <v>115</v>
      </c>
      <c r="D234" s="49" t="s">
        <v>190</v>
      </c>
      <c r="E234" s="49" t="s">
        <v>190</v>
      </c>
      <c r="F234" s="49" t="s">
        <v>190</v>
      </c>
      <c r="G234" s="49" t="s">
        <v>190</v>
      </c>
      <c r="H234" s="49" t="s">
        <v>190</v>
      </c>
      <c r="I234" s="49" t="s">
        <v>190</v>
      </c>
      <c r="J234" s="50" t="s">
        <v>190</v>
      </c>
      <c r="K234" s="50" t="s">
        <v>190</v>
      </c>
      <c r="L234" s="29" t="s">
        <v>208</v>
      </c>
      <c r="M234" s="29" t="s">
        <v>208</v>
      </c>
      <c r="N234" s="29" t="s">
        <v>208</v>
      </c>
      <c r="O234" s="29" t="s">
        <v>208</v>
      </c>
      <c r="P234" s="29" t="s">
        <v>208</v>
      </c>
      <c r="Q234" s="29" t="s">
        <v>208</v>
      </c>
      <c r="R234" s="29" t="s">
        <v>208</v>
      </c>
      <c r="S234" s="29" t="s">
        <v>208</v>
      </c>
      <c r="T234" s="29" t="s">
        <v>208</v>
      </c>
      <c r="U234" s="29" t="s">
        <v>208</v>
      </c>
      <c r="V234" s="29" t="s">
        <v>208</v>
      </c>
      <c r="W234" s="117" t="s">
        <v>344</v>
      </c>
      <c r="X234" s="117" t="s">
        <v>344</v>
      </c>
    </row>
    <row r="235" spans="1:24" x14ac:dyDescent="0.2">
      <c r="A235" s="30" t="s">
        <v>207</v>
      </c>
      <c r="B235" s="17" t="s">
        <v>183</v>
      </c>
      <c r="C235" s="9" t="s">
        <v>13</v>
      </c>
      <c r="D235" s="49" t="s">
        <v>190</v>
      </c>
      <c r="E235" s="49" t="s">
        <v>190</v>
      </c>
      <c r="F235" s="49" t="s">
        <v>190</v>
      </c>
      <c r="G235" s="49" t="s">
        <v>190</v>
      </c>
      <c r="H235" s="49" t="s">
        <v>190</v>
      </c>
      <c r="I235" s="49" t="s">
        <v>190</v>
      </c>
      <c r="J235" s="50" t="s">
        <v>190</v>
      </c>
      <c r="K235" s="50" t="s">
        <v>190</v>
      </c>
      <c r="L235" s="50">
        <v>1.3999999999999999E-2</v>
      </c>
      <c r="M235" s="50">
        <v>1.4999999999999999E-2</v>
      </c>
      <c r="N235" s="50">
        <v>1.4999999999999999E-2</v>
      </c>
      <c r="O235" s="50">
        <v>1.4999999999999999E-2</v>
      </c>
      <c r="P235" s="50">
        <v>1.8000000000000002E-2</v>
      </c>
      <c r="Q235" s="50">
        <v>1.8000000000000002E-2</v>
      </c>
      <c r="R235" s="51">
        <v>1.9E-2</v>
      </c>
      <c r="S235" s="50">
        <v>1.6E-2</v>
      </c>
      <c r="T235" s="50">
        <v>1.8000000000000002E-2</v>
      </c>
      <c r="U235" s="79" t="s">
        <v>256</v>
      </c>
      <c r="V235" s="97">
        <v>2.4E-2</v>
      </c>
      <c r="W235" s="117" t="s">
        <v>344</v>
      </c>
      <c r="X235" s="117" t="s">
        <v>344</v>
      </c>
    </row>
    <row r="236" spans="1:24" x14ac:dyDescent="0.2">
      <c r="A236" s="30" t="s">
        <v>207</v>
      </c>
      <c r="B236" s="17" t="s">
        <v>183</v>
      </c>
      <c r="C236" s="9" t="s">
        <v>116</v>
      </c>
      <c r="D236" s="49" t="s">
        <v>190</v>
      </c>
      <c r="E236" s="49" t="s">
        <v>190</v>
      </c>
      <c r="F236" s="49" t="s">
        <v>190</v>
      </c>
      <c r="G236" s="49" t="s">
        <v>190</v>
      </c>
      <c r="H236" s="49" t="s">
        <v>190</v>
      </c>
      <c r="I236" s="49" t="s">
        <v>190</v>
      </c>
      <c r="J236" s="50" t="s">
        <v>190</v>
      </c>
      <c r="K236" s="50" t="s">
        <v>190</v>
      </c>
      <c r="L236" s="79" t="s">
        <v>256</v>
      </c>
      <c r="M236" s="29" t="s">
        <v>208</v>
      </c>
      <c r="N236" s="79" t="s">
        <v>256</v>
      </c>
      <c r="O236" s="29" t="s">
        <v>208</v>
      </c>
      <c r="P236" s="29" t="s">
        <v>208</v>
      </c>
      <c r="Q236" s="29" t="s">
        <v>208</v>
      </c>
      <c r="R236" s="29" t="s">
        <v>208</v>
      </c>
      <c r="S236" s="29" t="s">
        <v>208</v>
      </c>
      <c r="T236" s="29" t="s">
        <v>208</v>
      </c>
      <c r="U236" s="79" t="s">
        <v>256</v>
      </c>
      <c r="V236" s="29" t="s">
        <v>208</v>
      </c>
      <c r="W236" s="117" t="s">
        <v>344</v>
      </c>
      <c r="X236" s="117" t="s">
        <v>344</v>
      </c>
    </row>
    <row r="237" spans="1:24" x14ac:dyDescent="0.2">
      <c r="A237" s="30" t="s">
        <v>207</v>
      </c>
      <c r="B237" s="17" t="s">
        <v>183</v>
      </c>
      <c r="C237" s="9" t="s">
        <v>117</v>
      </c>
      <c r="D237" s="49" t="s">
        <v>190</v>
      </c>
      <c r="E237" s="49" t="s">
        <v>190</v>
      </c>
      <c r="F237" s="49" t="s">
        <v>190</v>
      </c>
      <c r="G237" s="49" t="s">
        <v>190</v>
      </c>
      <c r="H237" s="49" t="s">
        <v>190</v>
      </c>
      <c r="I237" s="49" t="s">
        <v>190</v>
      </c>
      <c r="J237" s="50" t="s">
        <v>190</v>
      </c>
      <c r="K237" s="50" t="s">
        <v>190</v>
      </c>
      <c r="L237" s="50">
        <v>0.04</v>
      </c>
      <c r="M237" s="50">
        <v>3.6000000000000004E-2</v>
      </c>
      <c r="N237" s="50">
        <v>0.03</v>
      </c>
      <c r="O237" s="79" t="s">
        <v>256</v>
      </c>
      <c r="P237" s="79" t="s">
        <v>256</v>
      </c>
      <c r="Q237" s="79" t="s">
        <v>256</v>
      </c>
      <c r="R237" s="79" t="s">
        <v>256</v>
      </c>
      <c r="S237" s="79" t="s">
        <v>256</v>
      </c>
      <c r="T237" s="79" t="s">
        <v>256</v>
      </c>
      <c r="U237" s="79" t="s">
        <v>256</v>
      </c>
      <c r="V237" s="29" t="s">
        <v>208</v>
      </c>
      <c r="W237" s="117" t="s">
        <v>344</v>
      </c>
      <c r="X237" s="117" t="s">
        <v>344</v>
      </c>
    </row>
    <row r="238" spans="1:24" x14ac:dyDescent="0.2">
      <c r="A238" s="30" t="s">
        <v>207</v>
      </c>
      <c r="B238" s="17" t="s">
        <v>183</v>
      </c>
      <c r="C238" s="9" t="s">
        <v>118</v>
      </c>
      <c r="D238" s="49" t="s">
        <v>190</v>
      </c>
      <c r="E238" s="49" t="s">
        <v>190</v>
      </c>
      <c r="F238" s="49" t="s">
        <v>190</v>
      </c>
      <c r="G238" s="49" t="s">
        <v>190</v>
      </c>
      <c r="H238" s="49" t="s">
        <v>190</v>
      </c>
      <c r="I238" s="49" t="s">
        <v>190</v>
      </c>
      <c r="J238" s="50" t="s">
        <v>190</v>
      </c>
      <c r="K238" s="50" t="s">
        <v>190</v>
      </c>
      <c r="L238" s="29" t="s">
        <v>208</v>
      </c>
      <c r="M238" s="79" t="s">
        <v>256</v>
      </c>
      <c r="N238" s="79" t="s">
        <v>256</v>
      </c>
      <c r="O238" s="29" t="s">
        <v>208</v>
      </c>
      <c r="P238" s="79" t="s">
        <v>256</v>
      </c>
      <c r="Q238" s="29" t="s">
        <v>208</v>
      </c>
      <c r="R238" s="29" t="s">
        <v>208</v>
      </c>
      <c r="S238" s="29" t="s">
        <v>208</v>
      </c>
      <c r="T238" s="29" t="s">
        <v>208</v>
      </c>
      <c r="U238" s="29" t="s">
        <v>208</v>
      </c>
      <c r="V238" s="29" t="s">
        <v>208</v>
      </c>
      <c r="W238" s="117" t="s">
        <v>344</v>
      </c>
      <c r="X238" s="117" t="s">
        <v>344</v>
      </c>
    </row>
    <row r="239" spans="1:24" x14ac:dyDescent="0.2">
      <c r="A239" s="30" t="s">
        <v>207</v>
      </c>
      <c r="B239" s="17" t="s">
        <v>183</v>
      </c>
      <c r="C239" s="9" t="s">
        <v>184</v>
      </c>
      <c r="D239" s="49" t="s">
        <v>190</v>
      </c>
      <c r="E239" s="49" t="s">
        <v>190</v>
      </c>
      <c r="F239" s="49" t="s">
        <v>190</v>
      </c>
      <c r="G239" s="49" t="s">
        <v>190</v>
      </c>
      <c r="H239" s="49" t="s">
        <v>190</v>
      </c>
      <c r="I239" s="49" t="s">
        <v>190</v>
      </c>
      <c r="J239" s="50" t="s">
        <v>190</v>
      </c>
      <c r="K239" s="50" t="s">
        <v>190</v>
      </c>
      <c r="L239" s="50">
        <v>9.0000000000000011E-3</v>
      </c>
      <c r="M239" s="50">
        <v>9.0000000000000011E-3</v>
      </c>
      <c r="N239" s="50">
        <v>8.0000000000000002E-3</v>
      </c>
      <c r="O239" s="50">
        <v>8.0000000000000002E-3</v>
      </c>
      <c r="P239" s="50">
        <v>8.0000000000000002E-3</v>
      </c>
      <c r="Q239" s="50">
        <v>8.0000000000000002E-3</v>
      </c>
      <c r="R239" s="51">
        <v>6.9999999999999993E-3</v>
      </c>
      <c r="S239" s="50">
        <v>8.0000000000000002E-3</v>
      </c>
      <c r="T239" s="50">
        <v>8.0000000000000002E-3</v>
      </c>
      <c r="U239" s="48">
        <v>1.1000000000000001E-2</v>
      </c>
      <c r="V239" s="97">
        <v>1.1000000000000001E-2</v>
      </c>
      <c r="W239" s="117" t="s">
        <v>344</v>
      </c>
      <c r="X239" s="117" t="s">
        <v>344</v>
      </c>
    </row>
    <row r="240" spans="1:24" ht="31.5" customHeight="1" x14ac:dyDescent="0.2">
      <c r="A240" s="30" t="s">
        <v>207</v>
      </c>
      <c r="B240" s="17" t="s">
        <v>185</v>
      </c>
      <c r="C240" s="17" t="s">
        <v>111</v>
      </c>
      <c r="D240" s="50" t="s">
        <v>190</v>
      </c>
      <c r="E240" s="50" t="s">
        <v>190</v>
      </c>
      <c r="F240" s="50" t="s">
        <v>190</v>
      </c>
      <c r="G240" s="50" t="s">
        <v>190</v>
      </c>
      <c r="H240" s="50" t="s">
        <v>190</v>
      </c>
      <c r="I240" s="50" t="s">
        <v>190</v>
      </c>
      <c r="J240" s="50" t="s">
        <v>190</v>
      </c>
      <c r="K240" s="50" t="s">
        <v>190</v>
      </c>
      <c r="L240" s="79" t="s">
        <v>256</v>
      </c>
      <c r="M240" s="29" t="s">
        <v>208</v>
      </c>
      <c r="N240" s="29" t="s">
        <v>208</v>
      </c>
      <c r="O240" s="79" t="s">
        <v>256</v>
      </c>
      <c r="P240" s="29" t="s">
        <v>208</v>
      </c>
      <c r="Q240" s="79" t="s">
        <v>256</v>
      </c>
      <c r="R240" s="29" t="s">
        <v>208</v>
      </c>
      <c r="S240" s="29" t="s">
        <v>208</v>
      </c>
      <c r="T240" s="29" t="s">
        <v>208</v>
      </c>
      <c r="U240" s="29" t="s">
        <v>208</v>
      </c>
      <c r="V240" s="29" t="s">
        <v>208</v>
      </c>
      <c r="W240" s="117" t="s">
        <v>344</v>
      </c>
      <c r="X240" s="117" t="s">
        <v>344</v>
      </c>
    </row>
    <row r="241" spans="1:24" x14ac:dyDescent="0.2">
      <c r="A241" s="30" t="s">
        <v>207</v>
      </c>
      <c r="B241" s="17" t="s">
        <v>185</v>
      </c>
      <c r="C241" s="9" t="s">
        <v>186</v>
      </c>
      <c r="D241" s="49" t="s">
        <v>190</v>
      </c>
      <c r="E241" s="49" t="s">
        <v>190</v>
      </c>
      <c r="F241" s="49" t="s">
        <v>190</v>
      </c>
      <c r="G241" s="49" t="s">
        <v>190</v>
      </c>
      <c r="H241" s="49" t="s">
        <v>190</v>
      </c>
      <c r="I241" s="49" t="s">
        <v>190</v>
      </c>
      <c r="J241" s="50" t="s">
        <v>190</v>
      </c>
      <c r="K241" s="50" t="s">
        <v>190</v>
      </c>
      <c r="L241" s="50">
        <v>1.8000000000000002E-2</v>
      </c>
      <c r="M241" s="50">
        <v>1.6E-2</v>
      </c>
      <c r="N241" s="50">
        <v>1.6E-2</v>
      </c>
      <c r="O241" s="50">
        <v>1.6E-2</v>
      </c>
      <c r="P241" s="50">
        <v>1.2E-2</v>
      </c>
      <c r="Q241" s="50">
        <v>1.3000000000000001E-2</v>
      </c>
      <c r="R241" s="51">
        <v>1.3000000000000001E-2</v>
      </c>
      <c r="S241" s="50">
        <v>1.3999999999999999E-2</v>
      </c>
      <c r="T241" s="50">
        <v>1.4999999999999999E-2</v>
      </c>
      <c r="U241" s="48">
        <v>1.3999999999999999E-2</v>
      </c>
      <c r="V241" s="97">
        <v>1.3000000000000001E-2</v>
      </c>
      <c r="W241" s="117" t="s">
        <v>344</v>
      </c>
      <c r="X241" s="117" t="s">
        <v>344</v>
      </c>
    </row>
    <row r="242" spans="1:24" x14ac:dyDescent="0.2">
      <c r="A242" s="30" t="s">
        <v>207</v>
      </c>
      <c r="B242" s="17" t="s">
        <v>185</v>
      </c>
      <c r="C242" s="9" t="s">
        <v>151</v>
      </c>
      <c r="D242" s="49" t="s">
        <v>190</v>
      </c>
      <c r="E242" s="49" t="s">
        <v>190</v>
      </c>
      <c r="F242" s="49" t="s">
        <v>190</v>
      </c>
      <c r="G242" s="49" t="s">
        <v>190</v>
      </c>
      <c r="H242" s="49" t="s">
        <v>190</v>
      </c>
      <c r="I242" s="49" t="s">
        <v>190</v>
      </c>
      <c r="J242" s="50" t="s">
        <v>190</v>
      </c>
      <c r="K242" s="50" t="s">
        <v>190</v>
      </c>
      <c r="L242" s="50">
        <v>1.3000000000000001E-2</v>
      </c>
      <c r="M242" s="50">
        <v>1.3000000000000001E-2</v>
      </c>
      <c r="N242" s="50">
        <v>1.3000000000000001E-2</v>
      </c>
      <c r="O242" s="50">
        <v>1.3000000000000001E-2</v>
      </c>
      <c r="P242" s="50">
        <v>1.1000000000000001E-2</v>
      </c>
      <c r="Q242" s="50">
        <v>1.1000000000000001E-2</v>
      </c>
      <c r="R242" s="51">
        <v>1.1000000000000001E-2</v>
      </c>
      <c r="S242" s="50">
        <v>0.01</v>
      </c>
      <c r="T242" s="50">
        <v>1.2E-2</v>
      </c>
      <c r="U242" s="48">
        <v>1.1000000000000001E-2</v>
      </c>
      <c r="V242" s="97">
        <v>1.1000000000000001E-2</v>
      </c>
      <c r="W242" s="117" t="s">
        <v>344</v>
      </c>
      <c r="X242" s="117" t="s">
        <v>344</v>
      </c>
    </row>
    <row r="243" spans="1:24" ht="35.1" customHeight="1" x14ac:dyDescent="0.2">
      <c r="A243" s="30" t="s">
        <v>207</v>
      </c>
      <c r="B243" s="91" t="s">
        <v>270</v>
      </c>
      <c r="C243" s="92" t="s">
        <v>271</v>
      </c>
      <c r="D243" s="48" t="s">
        <v>190</v>
      </c>
      <c r="E243" s="48" t="s">
        <v>190</v>
      </c>
      <c r="F243" s="48" t="s">
        <v>190</v>
      </c>
      <c r="G243" s="48" t="s">
        <v>190</v>
      </c>
      <c r="H243" s="48" t="s">
        <v>190</v>
      </c>
      <c r="I243" s="48" t="s">
        <v>190</v>
      </c>
      <c r="J243" s="48" t="s">
        <v>190</v>
      </c>
      <c r="K243" s="48" t="s">
        <v>190</v>
      </c>
      <c r="L243" s="50" t="s">
        <v>208</v>
      </c>
      <c r="M243" s="50" t="s">
        <v>208</v>
      </c>
      <c r="N243" s="50" t="s">
        <v>208</v>
      </c>
      <c r="O243" s="50" t="s">
        <v>208</v>
      </c>
      <c r="P243" s="50" t="s">
        <v>208</v>
      </c>
      <c r="Q243" s="50" t="s">
        <v>208</v>
      </c>
      <c r="R243" s="50" t="s">
        <v>208</v>
      </c>
      <c r="S243" s="50" t="s">
        <v>208</v>
      </c>
      <c r="T243" s="50" t="s">
        <v>208</v>
      </c>
      <c r="U243" s="50" t="s">
        <v>208</v>
      </c>
      <c r="V243" s="50" t="s">
        <v>208</v>
      </c>
      <c r="W243" s="117" t="s">
        <v>344</v>
      </c>
      <c r="X243" s="117" t="s">
        <v>344</v>
      </c>
    </row>
    <row r="244" spans="1:24" x14ac:dyDescent="0.2">
      <c r="A244" s="30" t="s">
        <v>207</v>
      </c>
      <c r="B244" s="91" t="s">
        <v>270</v>
      </c>
      <c r="C244" s="92" t="s">
        <v>272</v>
      </c>
      <c r="D244" s="48" t="s">
        <v>190</v>
      </c>
      <c r="E244" s="48" t="s">
        <v>190</v>
      </c>
      <c r="F244" s="48" t="s">
        <v>190</v>
      </c>
      <c r="G244" s="48" t="s">
        <v>190</v>
      </c>
      <c r="H244" s="48" t="s">
        <v>190</v>
      </c>
      <c r="I244" s="48" t="s">
        <v>190</v>
      </c>
      <c r="J244" s="48" t="s">
        <v>190</v>
      </c>
      <c r="K244" s="48" t="s">
        <v>190</v>
      </c>
      <c r="L244" s="50" t="s">
        <v>256</v>
      </c>
      <c r="M244" s="50" t="s">
        <v>208</v>
      </c>
      <c r="N244" s="50" t="s">
        <v>208</v>
      </c>
      <c r="O244" s="50" t="s">
        <v>208</v>
      </c>
      <c r="P244" s="50" t="s">
        <v>208</v>
      </c>
      <c r="Q244" s="50" t="s">
        <v>208</v>
      </c>
      <c r="R244" s="50" t="s">
        <v>208</v>
      </c>
      <c r="S244" s="50" t="s">
        <v>208</v>
      </c>
      <c r="T244" s="50" t="s">
        <v>208</v>
      </c>
      <c r="U244" s="50" t="s">
        <v>208</v>
      </c>
      <c r="V244" s="50" t="s">
        <v>208</v>
      </c>
      <c r="W244" s="117" t="s">
        <v>344</v>
      </c>
      <c r="X244" s="117" t="s">
        <v>344</v>
      </c>
    </row>
    <row r="245" spans="1:24" x14ac:dyDescent="0.2">
      <c r="A245" s="30" t="s">
        <v>207</v>
      </c>
      <c r="B245" s="91" t="s">
        <v>270</v>
      </c>
      <c r="C245" s="92" t="s">
        <v>273</v>
      </c>
      <c r="D245" s="49" t="s">
        <v>190</v>
      </c>
      <c r="E245" s="49" t="s">
        <v>190</v>
      </c>
      <c r="F245" s="49" t="s">
        <v>190</v>
      </c>
      <c r="G245" s="49" t="s">
        <v>190</v>
      </c>
      <c r="H245" s="49" t="s">
        <v>190</v>
      </c>
      <c r="I245" s="49" t="s">
        <v>190</v>
      </c>
      <c r="J245" s="50" t="s">
        <v>190</v>
      </c>
      <c r="K245" s="50" t="s">
        <v>190</v>
      </c>
      <c r="L245" s="50" t="s">
        <v>208</v>
      </c>
      <c r="M245" s="50" t="s">
        <v>208</v>
      </c>
      <c r="N245" s="50" t="s">
        <v>208</v>
      </c>
      <c r="O245" s="50" t="s">
        <v>208</v>
      </c>
      <c r="P245" s="50" t="s">
        <v>208</v>
      </c>
      <c r="Q245" s="50" t="s">
        <v>208</v>
      </c>
      <c r="R245" s="50" t="s">
        <v>208</v>
      </c>
      <c r="S245" s="50" t="s">
        <v>208</v>
      </c>
      <c r="T245" s="50" t="s">
        <v>208</v>
      </c>
      <c r="U245" s="50" t="s">
        <v>208</v>
      </c>
      <c r="V245" s="50" t="s">
        <v>208</v>
      </c>
      <c r="W245" s="117" t="s">
        <v>344</v>
      </c>
      <c r="X245" s="117" t="s">
        <v>344</v>
      </c>
    </row>
    <row r="246" spans="1:24" x14ac:dyDescent="0.2">
      <c r="A246" s="30" t="s">
        <v>207</v>
      </c>
      <c r="B246" s="91" t="s">
        <v>270</v>
      </c>
      <c r="C246" s="92" t="s">
        <v>274</v>
      </c>
      <c r="D246" s="49" t="s">
        <v>190</v>
      </c>
      <c r="E246" s="49" t="s">
        <v>190</v>
      </c>
      <c r="F246" s="49" t="s">
        <v>190</v>
      </c>
      <c r="G246" s="49" t="s">
        <v>190</v>
      </c>
      <c r="H246" s="49" t="s">
        <v>190</v>
      </c>
      <c r="I246" s="49" t="s">
        <v>190</v>
      </c>
      <c r="J246" s="50" t="s">
        <v>190</v>
      </c>
      <c r="K246" s="50" t="s">
        <v>190</v>
      </c>
      <c r="L246" s="50">
        <v>4.9000000000000002E-2</v>
      </c>
      <c r="M246" s="50">
        <v>4.2999999999999997E-2</v>
      </c>
      <c r="N246" s="50" t="s">
        <v>256</v>
      </c>
      <c r="O246" s="50" t="s">
        <v>256</v>
      </c>
      <c r="P246" s="50" t="s">
        <v>256</v>
      </c>
      <c r="Q246" s="50" t="s">
        <v>256</v>
      </c>
      <c r="R246" s="50" t="s">
        <v>256</v>
      </c>
      <c r="S246" s="50" t="s">
        <v>256</v>
      </c>
      <c r="T246" s="50" t="s">
        <v>256</v>
      </c>
      <c r="U246" s="50" t="s">
        <v>256</v>
      </c>
      <c r="V246" s="50" t="s">
        <v>208</v>
      </c>
      <c r="W246" s="117" t="s">
        <v>344</v>
      </c>
      <c r="X246" s="117" t="s">
        <v>344</v>
      </c>
    </row>
    <row r="247" spans="1:24" x14ac:dyDescent="0.2">
      <c r="A247" s="30" t="s">
        <v>207</v>
      </c>
      <c r="B247" s="91" t="s">
        <v>270</v>
      </c>
      <c r="C247" s="92" t="s">
        <v>275</v>
      </c>
      <c r="D247" s="49" t="s">
        <v>190</v>
      </c>
      <c r="E247" s="49" t="s">
        <v>190</v>
      </c>
      <c r="F247" s="49" t="s">
        <v>190</v>
      </c>
      <c r="G247" s="49" t="s">
        <v>190</v>
      </c>
      <c r="H247" s="49" t="s">
        <v>190</v>
      </c>
      <c r="I247" s="49" t="s">
        <v>190</v>
      </c>
      <c r="J247" s="50" t="s">
        <v>190</v>
      </c>
      <c r="K247" s="50" t="s">
        <v>190</v>
      </c>
      <c r="L247" s="50" t="s">
        <v>256</v>
      </c>
      <c r="M247" s="50" t="s">
        <v>208</v>
      </c>
      <c r="N247" s="50" t="s">
        <v>256</v>
      </c>
      <c r="O247" s="50" t="s">
        <v>208</v>
      </c>
      <c r="P247" s="50" t="s">
        <v>208</v>
      </c>
      <c r="Q247" s="50" t="s">
        <v>208</v>
      </c>
      <c r="R247" s="50" t="s">
        <v>208</v>
      </c>
      <c r="S247" s="50" t="s">
        <v>208</v>
      </c>
      <c r="T247" s="50" t="s">
        <v>208</v>
      </c>
      <c r="U247" s="50" t="s">
        <v>256</v>
      </c>
      <c r="V247" s="50" t="s">
        <v>208</v>
      </c>
      <c r="W247" s="117" t="s">
        <v>344</v>
      </c>
      <c r="X247" s="117" t="s">
        <v>344</v>
      </c>
    </row>
    <row r="248" spans="1:24" x14ac:dyDescent="0.2">
      <c r="A248" s="30" t="s">
        <v>207</v>
      </c>
      <c r="B248" s="91" t="s">
        <v>270</v>
      </c>
      <c r="C248" s="92" t="s">
        <v>276</v>
      </c>
      <c r="D248" s="49" t="s">
        <v>190</v>
      </c>
      <c r="E248" s="49" t="s">
        <v>190</v>
      </c>
      <c r="F248" s="49" t="s">
        <v>190</v>
      </c>
      <c r="G248" s="49" t="s">
        <v>190</v>
      </c>
      <c r="H248" s="49" t="s">
        <v>190</v>
      </c>
      <c r="I248" s="49" t="s">
        <v>190</v>
      </c>
      <c r="J248" s="50" t="s">
        <v>190</v>
      </c>
      <c r="K248" s="50" t="s">
        <v>190</v>
      </c>
      <c r="L248" s="50" t="s">
        <v>208</v>
      </c>
      <c r="M248" s="50" t="s">
        <v>208</v>
      </c>
      <c r="N248" s="50" t="s">
        <v>208</v>
      </c>
      <c r="O248" s="50" t="s">
        <v>208</v>
      </c>
      <c r="P248" s="50" t="s">
        <v>208</v>
      </c>
      <c r="Q248" s="50" t="s">
        <v>208</v>
      </c>
      <c r="R248" s="50" t="s">
        <v>208</v>
      </c>
      <c r="S248" s="50" t="s">
        <v>208</v>
      </c>
      <c r="T248" s="50" t="s">
        <v>208</v>
      </c>
      <c r="U248" s="50" t="s">
        <v>208</v>
      </c>
      <c r="V248" s="50" t="s">
        <v>208</v>
      </c>
      <c r="W248" s="117" t="s">
        <v>344</v>
      </c>
      <c r="X248" s="117" t="s">
        <v>344</v>
      </c>
    </row>
    <row r="249" spans="1:24" x14ac:dyDescent="0.2">
      <c r="A249" s="30" t="s">
        <v>207</v>
      </c>
      <c r="B249" s="91" t="s">
        <v>270</v>
      </c>
      <c r="C249" s="92" t="s">
        <v>277</v>
      </c>
      <c r="D249" s="49" t="s">
        <v>190</v>
      </c>
      <c r="E249" s="49" t="s">
        <v>190</v>
      </c>
      <c r="F249" s="49" t="s">
        <v>190</v>
      </c>
      <c r="G249" s="49" t="s">
        <v>190</v>
      </c>
      <c r="H249" s="49" t="s">
        <v>190</v>
      </c>
      <c r="I249" s="49" t="s">
        <v>190</v>
      </c>
      <c r="J249" s="50" t="s">
        <v>190</v>
      </c>
      <c r="K249" s="50" t="s">
        <v>190</v>
      </c>
      <c r="L249" s="50" t="s">
        <v>208</v>
      </c>
      <c r="M249" s="50" t="s">
        <v>208</v>
      </c>
      <c r="N249" s="50" t="s">
        <v>256</v>
      </c>
      <c r="O249" s="50" t="s">
        <v>208</v>
      </c>
      <c r="P249" s="50" t="s">
        <v>256</v>
      </c>
      <c r="Q249" s="50" t="s">
        <v>208</v>
      </c>
      <c r="R249" s="50" t="s">
        <v>208</v>
      </c>
      <c r="S249" s="50" t="s">
        <v>208</v>
      </c>
      <c r="T249" s="50" t="s">
        <v>208</v>
      </c>
      <c r="U249" s="50" t="s">
        <v>208</v>
      </c>
      <c r="V249" s="50" t="s">
        <v>208</v>
      </c>
      <c r="W249" s="117" t="s">
        <v>344</v>
      </c>
      <c r="X249" s="117" t="s">
        <v>344</v>
      </c>
    </row>
    <row r="250" spans="1:24" x14ac:dyDescent="0.2">
      <c r="A250" s="30" t="s">
        <v>207</v>
      </c>
      <c r="B250" s="91" t="s">
        <v>270</v>
      </c>
      <c r="C250" s="92" t="s">
        <v>278</v>
      </c>
      <c r="D250" s="49" t="s">
        <v>190</v>
      </c>
      <c r="E250" s="49" t="s">
        <v>190</v>
      </c>
      <c r="F250" s="49" t="s">
        <v>190</v>
      </c>
      <c r="G250" s="49" t="s">
        <v>190</v>
      </c>
      <c r="H250" s="49" t="s">
        <v>190</v>
      </c>
      <c r="I250" s="49" t="s">
        <v>190</v>
      </c>
      <c r="J250" s="50" t="s">
        <v>190</v>
      </c>
      <c r="K250" s="50" t="s">
        <v>190</v>
      </c>
      <c r="L250" s="50" t="s">
        <v>208</v>
      </c>
      <c r="M250" s="50" t="s">
        <v>208</v>
      </c>
      <c r="N250" s="50" t="s">
        <v>208</v>
      </c>
      <c r="O250" s="50" t="s">
        <v>208</v>
      </c>
      <c r="P250" s="50" t="s">
        <v>208</v>
      </c>
      <c r="Q250" s="50" t="s">
        <v>208</v>
      </c>
      <c r="R250" s="50" t="s">
        <v>208</v>
      </c>
      <c r="S250" s="50" t="s">
        <v>208</v>
      </c>
      <c r="T250" s="50" t="s">
        <v>208</v>
      </c>
      <c r="U250" s="50" t="s">
        <v>208</v>
      </c>
      <c r="V250" s="50" t="s">
        <v>208</v>
      </c>
      <c r="W250" s="117" t="s">
        <v>344</v>
      </c>
      <c r="X250" s="117" t="s">
        <v>344</v>
      </c>
    </row>
    <row r="251" spans="1:24" x14ac:dyDescent="0.2">
      <c r="A251" s="30" t="s">
        <v>207</v>
      </c>
      <c r="B251" s="91" t="s">
        <v>270</v>
      </c>
      <c r="C251" s="92" t="s">
        <v>279</v>
      </c>
      <c r="D251" s="49" t="s">
        <v>190</v>
      </c>
      <c r="E251" s="49" t="s">
        <v>190</v>
      </c>
      <c r="F251" s="49" t="s">
        <v>190</v>
      </c>
      <c r="G251" s="49" t="s">
        <v>190</v>
      </c>
      <c r="H251" s="49" t="s">
        <v>190</v>
      </c>
      <c r="I251" s="49" t="s">
        <v>190</v>
      </c>
      <c r="J251" s="50" t="s">
        <v>190</v>
      </c>
      <c r="K251" s="50" t="s">
        <v>190</v>
      </c>
      <c r="L251" s="50" t="s">
        <v>208</v>
      </c>
      <c r="M251" s="50" t="s">
        <v>208</v>
      </c>
      <c r="N251" s="50" t="s">
        <v>208</v>
      </c>
      <c r="O251" s="50" t="s">
        <v>208</v>
      </c>
      <c r="P251" s="50" t="s">
        <v>208</v>
      </c>
      <c r="Q251" s="50" t="s">
        <v>208</v>
      </c>
      <c r="R251" s="50" t="s">
        <v>208</v>
      </c>
      <c r="S251" s="50" t="s">
        <v>208</v>
      </c>
      <c r="T251" s="50" t="s">
        <v>208</v>
      </c>
      <c r="U251" s="50" t="s">
        <v>208</v>
      </c>
      <c r="V251" s="50" t="s">
        <v>208</v>
      </c>
      <c r="W251" s="117" t="s">
        <v>344</v>
      </c>
      <c r="X251" s="117" t="s">
        <v>344</v>
      </c>
    </row>
    <row r="252" spans="1:24" ht="34.5" customHeight="1" x14ac:dyDescent="0.2">
      <c r="A252" s="30" t="s">
        <v>207</v>
      </c>
      <c r="B252" s="17" t="s">
        <v>263</v>
      </c>
      <c r="C252" s="9" t="s">
        <v>280</v>
      </c>
      <c r="D252" s="48" t="s">
        <v>190</v>
      </c>
      <c r="E252" s="48" t="s">
        <v>190</v>
      </c>
      <c r="F252" s="48" t="s">
        <v>190</v>
      </c>
      <c r="G252" s="48" t="s">
        <v>190</v>
      </c>
      <c r="H252" s="48" t="s">
        <v>190</v>
      </c>
      <c r="I252" s="48" t="s">
        <v>190</v>
      </c>
      <c r="J252" s="89" t="s">
        <v>190</v>
      </c>
      <c r="K252" s="89" t="s">
        <v>190</v>
      </c>
      <c r="L252" s="50">
        <v>1.3999999999999999E-2</v>
      </c>
      <c r="M252" s="50">
        <v>1.3000000000000001E-2</v>
      </c>
      <c r="N252" s="50">
        <v>1.3000000000000001E-2</v>
      </c>
      <c r="O252" s="50">
        <v>1.3000000000000001E-2</v>
      </c>
      <c r="P252" s="50">
        <v>1.2E-2</v>
      </c>
      <c r="Q252" s="50">
        <v>1.1000000000000001E-2</v>
      </c>
      <c r="R252" s="50">
        <v>1.1000000000000001E-2</v>
      </c>
      <c r="S252" s="50">
        <v>0.01</v>
      </c>
      <c r="T252" s="50">
        <v>1.3000000000000001E-2</v>
      </c>
      <c r="U252" s="50">
        <v>1.3999999999999999E-2</v>
      </c>
      <c r="V252" s="50">
        <v>1.3000000000000001E-2</v>
      </c>
      <c r="W252" s="117" t="s">
        <v>344</v>
      </c>
      <c r="X252" s="117" t="s">
        <v>344</v>
      </c>
    </row>
    <row r="253" spans="1:24" x14ac:dyDescent="0.2">
      <c r="A253" s="30" t="s">
        <v>207</v>
      </c>
      <c r="B253" s="17" t="s">
        <v>263</v>
      </c>
      <c r="C253" s="92" t="s">
        <v>264</v>
      </c>
      <c r="D253" s="88" t="s">
        <v>190</v>
      </c>
      <c r="E253" s="88" t="s">
        <v>190</v>
      </c>
      <c r="F253" s="88" t="s">
        <v>190</v>
      </c>
      <c r="G253" s="88" t="s">
        <v>190</v>
      </c>
      <c r="H253" s="88" t="s">
        <v>190</v>
      </c>
      <c r="I253" s="88" t="s">
        <v>190</v>
      </c>
      <c r="J253" s="89" t="s">
        <v>190</v>
      </c>
      <c r="K253" s="89" t="s">
        <v>190</v>
      </c>
      <c r="L253" s="50">
        <v>9.0000000000000011E-3</v>
      </c>
      <c r="M253" s="50">
        <v>9.0000000000000011E-3</v>
      </c>
      <c r="N253" s="50">
        <v>8.0000000000000002E-3</v>
      </c>
      <c r="O253" s="50">
        <v>8.0000000000000002E-3</v>
      </c>
      <c r="P253" s="50">
        <v>8.0000000000000002E-3</v>
      </c>
      <c r="Q253" s="50">
        <v>8.0000000000000002E-3</v>
      </c>
      <c r="R253" s="50">
        <v>6.9999999999999993E-3</v>
      </c>
      <c r="S253" s="50">
        <v>6.9999999999999993E-3</v>
      </c>
      <c r="T253" s="50">
        <v>0.01</v>
      </c>
      <c r="U253" s="50">
        <v>9.0000000000000011E-3</v>
      </c>
      <c r="V253" s="50">
        <v>0.01</v>
      </c>
      <c r="W253" s="117" t="s">
        <v>344</v>
      </c>
      <c r="X253" s="117" t="s">
        <v>344</v>
      </c>
    </row>
    <row r="254" spans="1:24" x14ac:dyDescent="0.2">
      <c r="A254" s="30" t="s">
        <v>207</v>
      </c>
      <c r="B254" s="17" t="s">
        <v>263</v>
      </c>
      <c r="C254" s="92" t="s">
        <v>265</v>
      </c>
      <c r="D254" s="88" t="s">
        <v>190</v>
      </c>
      <c r="E254" s="88" t="s">
        <v>190</v>
      </c>
      <c r="F254" s="88" t="s">
        <v>190</v>
      </c>
      <c r="G254" s="88" t="s">
        <v>190</v>
      </c>
      <c r="H254" s="88" t="s">
        <v>190</v>
      </c>
      <c r="I254" s="88" t="s">
        <v>190</v>
      </c>
      <c r="J254" s="89" t="s">
        <v>190</v>
      </c>
      <c r="K254" s="89" t="s">
        <v>190</v>
      </c>
      <c r="L254" s="50">
        <v>6.9999999999999993E-3</v>
      </c>
      <c r="M254" s="50">
        <v>6.9999999999999993E-3</v>
      </c>
      <c r="N254" s="50">
        <v>6.0000000000000001E-3</v>
      </c>
      <c r="O254" s="50">
        <v>6.0000000000000001E-3</v>
      </c>
      <c r="P254" s="50">
        <v>6.0000000000000001E-3</v>
      </c>
      <c r="Q254" s="50">
        <v>6.0000000000000001E-3</v>
      </c>
      <c r="R254" s="50">
        <v>6.0000000000000001E-3</v>
      </c>
      <c r="S254" s="50">
        <v>6.0000000000000001E-3</v>
      </c>
      <c r="T254" s="50">
        <v>6.9999999999999993E-3</v>
      </c>
      <c r="U254" s="50">
        <v>6.9999999999999993E-3</v>
      </c>
      <c r="V254" s="50">
        <v>8.0000000000000002E-3</v>
      </c>
      <c r="W254" s="117" t="s">
        <v>344</v>
      </c>
      <c r="X254" s="117" t="s">
        <v>344</v>
      </c>
    </row>
    <row r="255" spans="1:24" x14ac:dyDescent="0.2">
      <c r="A255" s="30" t="s">
        <v>207</v>
      </c>
      <c r="B255" s="17" t="s">
        <v>263</v>
      </c>
      <c r="C255" s="92" t="s">
        <v>266</v>
      </c>
      <c r="D255" s="88" t="s">
        <v>190</v>
      </c>
      <c r="E255" s="88" t="s">
        <v>190</v>
      </c>
      <c r="F255" s="88" t="s">
        <v>190</v>
      </c>
      <c r="G255" s="88" t="s">
        <v>190</v>
      </c>
      <c r="H255" s="88" t="s">
        <v>190</v>
      </c>
      <c r="I255" s="88" t="s">
        <v>190</v>
      </c>
      <c r="J255" s="89" t="s">
        <v>190</v>
      </c>
      <c r="K255" s="89" t="s">
        <v>190</v>
      </c>
      <c r="L255" s="50">
        <v>6.0000000000000001E-3</v>
      </c>
      <c r="M255" s="50">
        <v>6.0000000000000001E-3</v>
      </c>
      <c r="N255" s="50">
        <v>5.0000000000000001E-3</v>
      </c>
      <c r="O255" s="50">
        <v>6.0000000000000001E-3</v>
      </c>
      <c r="P255" s="50">
        <v>5.0000000000000001E-3</v>
      </c>
      <c r="Q255" s="50">
        <v>5.0000000000000001E-3</v>
      </c>
      <c r="R255" s="50">
        <v>5.0000000000000001E-3</v>
      </c>
      <c r="S255" s="50">
        <v>5.0000000000000001E-3</v>
      </c>
      <c r="T255" s="50">
        <v>6.0000000000000001E-3</v>
      </c>
      <c r="U255" s="50">
        <v>6.0000000000000001E-3</v>
      </c>
      <c r="V255" s="50">
        <v>6.9999999999999993E-3</v>
      </c>
      <c r="W255" s="117" t="s">
        <v>344</v>
      </c>
      <c r="X255" s="117" t="s">
        <v>344</v>
      </c>
    </row>
    <row r="256" spans="1:24" x14ac:dyDescent="0.2">
      <c r="A256" s="30" t="s">
        <v>207</v>
      </c>
      <c r="B256" s="17" t="s">
        <v>263</v>
      </c>
      <c r="C256" s="92" t="s">
        <v>281</v>
      </c>
      <c r="D256" s="88" t="s">
        <v>190</v>
      </c>
      <c r="E256" s="88" t="s">
        <v>190</v>
      </c>
      <c r="F256" s="88" t="s">
        <v>190</v>
      </c>
      <c r="G256" s="88" t="s">
        <v>190</v>
      </c>
      <c r="H256" s="88" t="s">
        <v>190</v>
      </c>
      <c r="I256" s="88" t="s">
        <v>190</v>
      </c>
      <c r="J256" s="89" t="s">
        <v>190</v>
      </c>
      <c r="K256" s="89" t="s">
        <v>190</v>
      </c>
      <c r="L256" s="50">
        <v>6.0000000000000001E-3</v>
      </c>
      <c r="M256" s="50">
        <v>6.0000000000000001E-3</v>
      </c>
      <c r="N256" s="50">
        <v>5.0000000000000001E-3</v>
      </c>
      <c r="O256" s="50">
        <v>6.0000000000000001E-3</v>
      </c>
      <c r="P256" s="50">
        <v>6.0000000000000001E-3</v>
      </c>
      <c r="Q256" s="50">
        <v>5.0000000000000001E-3</v>
      </c>
      <c r="R256" s="50">
        <v>5.0000000000000001E-3</v>
      </c>
      <c r="S256" s="50">
        <v>5.0000000000000001E-3</v>
      </c>
      <c r="T256" s="50">
        <v>6.9999999999999993E-3</v>
      </c>
      <c r="U256" s="50">
        <v>6.9999999999999993E-3</v>
      </c>
      <c r="V256" s="50">
        <v>6.0000000000000001E-3</v>
      </c>
      <c r="W256" s="117" t="s">
        <v>344</v>
      </c>
      <c r="X256" s="117" t="s">
        <v>344</v>
      </c>
    </row>
  </sheetData>
  <phoneticPr fontId="44" type="noConversion"/>
  <hyperlinks>
    <hyperlink ref="A11" location="Contents!A1" display="This cell contains a hyperlink to the Table of Contents" xr:uid="{00000000-0004-0000-1100-000000000000}"/>
    <hyperlink ref="A8" r:id="rId1" xr:uid="{BDC23EC1-319C-462A-B671-D6E34DD58DED}"/>
    <hyperlink ref="A9" r:id="rId2" display="Further data available by gender, age, work pattern, employment type, broad industrial group and qualification from Nomis. This link opens in a new window." xr:uid="{FDAC3477-2D50-4646-A411-745C9A9FB029}"/>
  </hyperlinks>
  <pageMargins left="0.7" right="0.7" top="0.75" bottom="0.75" header="0.3" footer="0.3"/>
  <pageSetup paperSize="9" scale="11" orientation="portrait"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X256"/>
  <sheetViews>
    <sheetView showGridLines="0" zoomScaleNormal="100" zoomScalePageLayoutView="90" workbookViewId="0"/>
  </sheetViews>
  <sheetFormatPr defaultColWidth="9.140625" defaultRowHeight="15" x14ac:dyDescent="0.2"/>
  <cols>
    <col min="1" max="1" width="39.28515625" style="13" customWidth="1"/>
    <col min="2" max="2" width="56" style="9" bestFit="1" customWidth="1"/>
    <col min="3" max="3" width="49.85546875" style="14" bestFit="1" customWidth="1"/>
    <col min="4" max="18" width="11.42578125" style="14" customWidth="1"/>
    <col min="19" max="22" width="11.42578125" style="13" customWidth="1"/>
    <col min="23" max="23" width="17.42578125" style="13" bestFit="1" customWidth="1"/>
    <col min="24" max="24" width="17.42578125" style="13" customWidth="1"/>
    <col min="25" max="16384" width="9.140625" style="13"/>
  </cols>
  <sheetData>
    <row r="1" spans="1:24" ht="20.25" x14ac:dyDescent="0.3">
      <c r="A1" s="22" t="s">
        <v>332</v>
      </c>
      <c r="B1" s="13"/>
    </row>
    <row r="2" spans="1:24" x14ac:dyDescent="0.2">
      <c r="A2" s="9" t="s">
        <v>152</v>
      </c>
      <c r="B2" s="13"/>
    </row>
    <row r="3" spans="1:24" s="66" customFormat="1" x14ac:dyDescent="0.2">
      <c r="A3" s="9" t="s">
        <v>259</v>
      </c>
      <c r="C3" s="67"/>
      <c r="D3" s="67"/>
      <c r="E3" s="67"/>
      <c r="F3" s="67"/>
      <c r="G3" s="67"/>
      <c r="H3" s="67"/>
      <c r="I3" s="67"/>
      <c r="J3" s="67"/>
      <c r="K3" s="67"/>
      <c r="L3" s="67"/>
      <c r="M3" s="67"/>
      <c r="N3" s="67"/>
      <c r="O3" s="67"/>
      <c r="P3" s="67"/>
      <c r="Q3" s="67"/>
      <c r="R3" s="67"/>
    </row>
    <row r="4" spans="1:24" x14ac:dyDescent="0.2">
      <c r="A4" s="9" t="s">
        <v>297</v>
      </c>
      <c r="B4" s="13"/>
    </row>
    <row r="5" spans="1:24" x14ac:dyDescent="0.2">
      <c r="A5" s="9" t="s">
        <v>302</v>
      </c>
      <c r="B5" s="13"/>
      <c r="S5" s="14"/>
      <c r="T5" s="63"/>
    </row>
    <row r="6" spans="1:24" x14ac:dyDescent="0.2">
      <c r="A6" s="9" t="s">
        <v>323</v>
      </c>
      <c r="B6" s="13"/>
      <c r="S6" s="14"/>
    </row>
    <row r="7" spans="1:24" ht="15" customHeight="1" x14ac:dyDescent="0.2">
      <c r="A7" s="9" t="s">
        <v>204</v>
      </c>
      <c r="B7" s="13"/>
      <c r="D7" s="133"/>
      <c r="E7" s="133"/>
      <c r="F7" s="133"/>
      <c r="G7" s="133"/>
      <c r="H7" s="133"/>
      <c r="I7" s="133"/>
      <c r="J7" s="133"/>
      <c r="K7" s="133"/>
      <c r="L7" s="133"/>
      <c r="M7" s="133"/>
      <c r="N7" s="133"/>
      <c r="O7" s="133"/>
      <c r="P7" s="133"/>
      <c r="Q7" s="133"/>
      <c r="R7" s="133"/>
      <c r="S7" s="133"/>
      <c r="T7" s="133"/>
      <c r="U7" s="133"/>
      <c r="V7" s="133"/>
      <c r="W7" s="133"/>
    </row>
    <row r="8" spans="1:24" x14ac:dyDescent="0.2">
      <c r="A8" s="3" t="s">
        <v>310</v>
      </c>
      <c r="B8" s="13"/>
      <c r="D8" s="133"/>
      <c r="E8" s="133"/>
      <c r="F8" s="133"/>
      <c r="G8" s="133"/>
      <c r="H8" s="133"/>
      <c r="I8" s="133"/>
      <c r="J8" s="133"/>
      <c r="K8" s="133"/>
      <c r="L8" s="133"/>
      <c r="M8" s="133"/>
      <c r="N8" s="133"/>
      <c r="O8" s="133"/>
      <c r="P8" s="133"/>
      <c r="Q8" s="133"/>
      <c r="R8" s="133"/>
      <c r="S8" s="133"/>
      <c r="T8" s="133"/>
      <c r="U8" s="133"/>
      <c r="V8" s="133"/>
      <c r="W8" s="133"/>
    </row>
    <row r="9" spans="1:24" x14ac:dyDescent="0.2">
      <c r="A9" s="35" t="s">
        <v>313</v>
      </c>
      <c r="B9" s="13"/>
    </row>
    <row r="10" spans="1:24" s="27" customFormat="1" x14ac:dyDescent="0.25">
      <c r="A10" s="26" t="s">
        <v>154</v>
      </c>
      <c r="C10" s="28"/>
      <c r="D10" s="132"/>
      <c r="E10" s="132"/>
      <c r="F10" s="132"/>
      <c r="G10" s="132"/>
      <c r="H10" s="132"/>
      <c r="I10" s="132"/>
      <c r="J10" s="132"/>
      <c r="K10" s="132"/>
      <c r="L10" s="132"/>
      <c r="M10" s="132"/>
      <c r="N10" s="132"/>
      <c r="O10" s="132"/>
      <c r="P10" s="132"/>
      <c r="Q10" s="132"/>
      <c r="R10" s="132"/>
      <c r="S10" s="132"/>
      <c r="T10" s="132"/>
      <c r="U10" s="132"/>
      <c r="V10" s="132"/>
      <c r="W10" s="132"/>
    </row>
    <row r="11" spans="1:24" s="27" customFormat="1" ht="30" customHeight="1" x14ac:dyDescent="0.25">
      <c r="A11" s="35" t="s">
        <v>232</v>
      </c>
      <c r="C11" s="28"/>
      <c r="D11" s="132"/>
      <c r="E11" s="132"/>
      <c r="F11" s="132"/>
      <c r="G11" s="132"/>
      <c r="H11" s="132"/>
      <c r="I11" s="132"/>
      <c r="J11" s="132"/>
      <c r="K11" s="132"/>
      <c r="L11" s="132"/>
      <c r="M11" s="132"/>
      <c r="N11" s="132"/>
      <c r="O11" s="132"/>
      <c r="P11" s="132"/>
      <c r="Q11" s="132"/>
      <c r="R11" s="132"/>
      <c r="S11" s="132"/>
      <c r="T11" s="132"/>
      <c r="U11" s="132"/>
      <c r="V11" s="132"/>
      <c r="W11" s="132"/>
    </row>
    <row r="12" spans="1:24" ht="15.75" customHeight="1" x14ac:dyDescent="0.25">
      <c r="A12" s="23" t="s">
        <v>193</v>
      </c>
      <c r="B12" s="23" t="s">
        <v>156</v>
      </c>
      <c r="C12" s="23" t="s">
        <v>157</v>
      </c>
      <c r="D12" s="24" t="s">
        <v>164</v>
      </c>
      <c r="E12" s="24" t="s">
        <v>165</v>
      </c>
      <c r="F12" s="24" t="s">
        <v>166</v>
      </c>
      <c r="G12" s="24" t="s">
        <v>167</v>
      </c>
      <c r="H12" s="24" t="s">
        <v>168</v>
      </c>
      <c r="I12" s="24" t="s">
        <v>169</v>
      </c>
      <c r="J12" s="24" t="s">
        <v>170</v>
      </c>
      <c r="K12" s="24" t="s">
        <v>171</v>
      </c>
      <c r="L12" s="24" t="s">
        <v>172</v>
      </c>
      <c r="M12" s="24" t="s">
        <v>173</v>
      </c>
      <c r="N12" s="24" t="s">
        <v>174</v>
      </c>
      <c r="O12" s="24" t="s">
        <v>175</v>
      </c>
      <c r="P12" s="24" t="s">
        <v>176</v>
      </c>
      <c r="Q12" s="24" t="s">
        <v>177</v>
      </c>
      <c r="R12" s="24" t="s">
        <v>123</v>
      </c>
      <c r="S12" s="25" t="s">
        <v>150</v>
      </c>
      <c r="T12" s="24" t="s">
        <v>187</v>
      </c>
      <c r="U12" s="24" t="s">
        <v>189</v>
      </c>
      <c r="V12" s="80" t="s">
        <v>257</v>
      </c>
      <c r="W12" s="24" t="s">
        <v>316</v>
      </c>
      <c r="X12" s="24" t="s">
        <v>337</v>
      </c>
    </row>
    <row r="13" spans="1:24" ht="15.75" customHeight="1" x14ac:dyDescent="0.2">
      <c r="A13" s="30" t="s">
        <v>212</v>
      </c>
      <c r="B13" s="17" t="s">
        <v>178</v>
      </c>
      <c r="C13" s="17" t="s">
        <v>48</v>
      </c>
      <c r="D13" s="29">
        <v>0.23899999999999999</v>
      </c>
      <c r="E13" s="29">
        <v>0.23699999999999999</v>
      </c>
      <c r="F13" s="29">
        <v>0.23399999999999999</v>
      </c>
      <c r="G13" s="29">
        <v>0.23600000000000002</v>
      </c>
      <c r="H13" s="29">
        <v>0.23499999999999999</v>
      </c>
      <c r="I13" s="29">
        <v>0.23499999999999999</v>
      </c>
      <c r="J13" s="29">
        <v>0.24</v>
      </c>
      <c r="K13" s="29">
        <v>0.24</v>
      </c>
      <c r="L13" s="29">
        <v>0.23399999999999999</v>
      </c>
      <c r="M13" s="29">
        <v>0.22899999999999998</v>
      </c>
      <c r="N13" s="29">
        <v>0.22800000000000001</v>
      </c>
      <c r="O13" s="29">
        <v>0.22399999999999998</v>
      </c>
      <c r="P13" s="29">
        <v>0.223</v>
      </c>
      <c r="Q13" s="29">
        <v>0.218</v>
      </c>
      <c r="R13" s="29">
        <v>0.217</v>
      </c>
      <c r="S13" s="29">
        <v>0.21199999999999999</v>
      </c>
      <c r="T13" s="29">
        <v>0.21199999999999999</v>
      </c>
      <c r="U13" s="65">
        <v>0.217</v>
      </c>
      <c r="V13" s="65">
        <v>0.217</v>
      </c>
      <c r="W13" s="65">
        <v>0.21299999999999999</v>
      </c>
      <c r="X13" s="65">
        <v>0.217</v>
      </c>
    </row>
    <row r="14" spans="1:24" ht="15.75" customHeight="1" x14ac:dyDescent="0.2">
      <c r="A14" s="30" t="s">
        <v>212</v>
      </c>
      <c r="B14" s="17" t="s">
        <v>178</v>
      </c>
      <c r="C14" s="17" t="s">
        <v>1</v>
      </c>
      <c r="D14" s="29">
        <v>0.23300000000000001</v>
      </c>
      <c r="E14" s="29">
        <v>0.22899999999999998</v>
      </c>
      <c r="F14" s="29">
        <v>0.222</v>
      </c>
      <c r="G14" s="29">
        <v>0.22399999999999998</v>
      </c>
      <c r="H14" s="29">
        <v>0.22600000000000001</v>
      </c>
      <c r="I14" s="29">
        <v>0.22600000000000001</v>
      </c>
      <c r="J14" s="29">
        <v>0.23</v>
      </c>
      <c r="K14" s="29">
        <v>0.23100000000000001</v>
      </c>
      <c r="L14" s="29">
        <v>0.23199999999999998</v>
      </c>
      <c r="M14" s="29">
        <v>0.23100000000000001</v>
      </c>
      <c r="N14" s="29">
        <v>0.22500000000000001</v>
      </c>
      <c r="O14" s="29">
        <v>0.223</v>
      </c>
      <c r="P14" s="29">
        <v>0.23300000000000001</v>
      </c>
      <c r="Q14" s="29">
        <v>0.22600000000000001</v>
      </c>
      <c r="R14" s="29">
        <v>0.22600000000000001</v>
      </c>
      <c r="S14" s="29">
        <v>0.22500000000000001</v>
      </c>
      <c r="T14" s="29">
        <v>0.23199999999999998</v>
      </c>
      <c r="U14" s="65">
        <v>0.23800000000000002</v>
      </c>
      <c r="V14" s="65">
        <v>0.22900000000000001</v>
      </c>
      <c r="W14" s="65">
        <v>0.22500000000000001</v>
      </c>
      <c r="X14" s="65">
        <v>0.23199999999999998</v>
      </c>
    </row>
    <row r="15" spans="1:24" ht="31.5" customHeight="1" x14ac:dyDescent="0.2">
      <c r="A15" s="30" t="s">
        <v>212</v>
      </c>
      <c r="B15" s="17" t="s">
        <v>179</v>
      </c>
      <c r="C15" s="17" t="s">
        <v>35</v>
      </c>
      <c r="D15" s="29">
        <v>0.19600000000000001</v>
      </c>
      <c r="E15" s="29">
        <v>0.18100000000000002</v>
      </c>
      <c r="F15" s="29">
        <v>0.17300000000000001</v>
      </c>
      <c r="G15" s="29">
        <v>0.182</v>
      </c>
      <c r="H15" s="29">
        <v>0.182</v>
      </c>
      <c r="I15" s="29">
        <v>0.183</v>
      </c>
      <c r="J15" s="29">
        <v>0.161</v>
      </c>
      <c r="K15" s="29">
        <v>0.17899999999999999</v>
      </c>
      <c r="L15" s="29">
        <v>0.17600000000000002</v>
      </c>
      <c r="M15" s="29">
        <v>0.188</v>
      </c>
      <c r="N15" s="29">
        <v>0.185</v>
      </c>
      <c r="O15" s="29">
        <v>0.187</v>
      </c>
      <c r="P15" s="29">
        <v>0.21</v>
      </c>
      <c r="Q15" s="29">
        <v>0.17800000000000002</v>
      </c>
      <c r="R15" s="29">
        <v>0.183</v>
      </c>
      <c r="S15" s="29">
        <v>0.17699999999999999</v>
      </c>
      <c r="T15" s="29">
        <v>0.20399999999999999</v>
      </c>
      <c r="U15" s="29">
        <v>0.21100000000000002</v>
      </c>
      <c r="V15" s="29">
        <v>0.21199999999999999</v>
      </c>
      <c r="W15" s="117" t="s">
        <v>344</v>
      </c>
      <c r="X15" s="117" t="s">
        <v>344</v>
      </c>
    </row>
    <row r="16" spans="1:24" ht="15.75" customHeight="1" x14ac:dyDescent="0.2">
      <c r="A16" s="30" t="s">
        <v>212</v>
      </c>
      <c r="B16" s="17" t="s">
        <v>179</v>
      </c>
      <c r="C16" s="17" t="s">
        <v>36</v>
      </c>
      <c r="D16" s="29">
        <v>0.26700000000000002</v>
      </c>
      <c r="E16" s="29">
        <v>0.25900000000000001</v>
      </c>
      <c r="F16" s="29">
        <v>0.255</v>
      </c>
      <c r="G16" s="29">
        <v>0.254</v>
      </c>
      <c r="H16" s="29">
        <v>0.26100000000000001</v>
      </c>
      <c r="I16" s="29">
        <v>0.254</v>
      </c>
      <c r="J16" s="29">
        <v>0.253</v>
      </c>
      <c r="K16" s="29">
        <v>0.25</v>
      </c>
      <c r="L16" s="29">
        <v>0.255</v>
      </c>
      <c r="M16" s="29">
        <v>0.25</v>
      </c>
      <c r="N16" s="29">
        <v>0.25</v>
      </c>
      <c r="O16" s="29">
        <v>0.24100000000000002</v>
      </c>
      <c r="P16" s="29">
        <v>0.24199999999999999</v>
      </c>
      <c r="Q16" s="29">
        <v>0.251</v>
      </c>
      <c r="R16" s="29">
        <v>0.253</v>
      </c>
      <c r="S16" s="29">
        <v>0.247</v>
      </c>
      <c r="T16" s="29">
        <v>0.24299999999999999</v>
      </c>
      <c r="U16" s="29">
        <v>0.254</v>
      </c>
      <c r="V16" s="29">
        <v>0.24299999999999999</v>
      </c>
      <c r="W16" s="117" t="s">
        <v>344</v>
      </c>
      <c r="X16" s="117" t="s">
        <v>344</v>
      </c>
    </row>
    <row r="17" spans="1:24" ht="15.75" customHeight="1" x14ac:dyDescent="0.2">
      <c r="A17" s="30" t="s">
        <v>212</v>
      </c>
      <c r="B17" s="17" t="s">
        <v>179</v>
      </c>
      <c r="C17" s="17" t="s">
        <v>37</v>
      </c>
      <c r="D17" s="29">
        <v>0.21100000000000002</v>
      </c>
      <c r="E17" s="29">
        <v>0.21199999999999999</v>
      </c>
      <c r="F17" s="29">
        <v>0.20499999999999999</v>
      </c>
      <c r="G17" s="29">
        <v>0.20899999999999999</v>
      </c>
      <c r="H17" s="29">
        <v>0.20800000000000002</v>
      </c>
      <c r="I17" s="29">
        <v>0.217</v>
      </c>
      <c r="J17" s="29">
        <v>0.23300000000000001</v>
      </c>
      <c r="K17" s="29">
        <v>0.22800000000000001</v>
      </c>
      <c r="L17" s="29">
        <v>0.22600000000000001</v>
      </c>
      <c r="M17" s="29">
        <v>0.22600000000000001</v>
      </c>
      <c r="N17" s="29">
        <v>0.21199999999999999</v>
      </c>
      <c r="O17" s="29">
        <v>0.218</v>
      </c>
      <c r="P17" s="29">
        <v>0.23800000000000002</v>
      </c>
      <c r="Q17" s="29">
        <v>0.21600000000000003</v>
      </c>
      <c r="R17" s="29">
        <v>0.20100000000000001</v>
      </c>
      <c r="S17" s="29">
        <v>0.218</v>
      </c>
      <c r="T17" s="29">
        <v>0.22800000000000001</v>
      </c>
      <c r="U17" s="29">
        <v>0.22</v>
      </c>
      <c r="V17" s="29">
        <v>0.20399999999999999</v>
      </c>
      <c r="W17" s="117" t="s">
        <v>344</v>
      </c>
      <c r="X17" s="117" t="s">
        <v>344</v>
      </c>
    </row>
    <row r="18" spans="1:24" ht="15.75" customHeight="1" x14ac:dyDescent="0.2">
      <c r="A18" s="30" t="s">
        <v>212</v>
      </c>
      <c r="B18" s="17" t="s">
        <v>179</v>
      </c>
      <c r="C18" s="17" t="s">
        <v>236</v>
      </c>
      <c r="D18" s="29">
        <v>0.22399999999999998</v>
      </c>
      <c r="E18" s="29">
        <v>0.23199999999999998</v>
      </c>
      <c r="F18" s="29">
        <v>0.214</v>
      </c>
      <c r="G18" s="29">
        <v>0.223</v>
      </c>
      <c r="H18" s="29">
        <v>0.21899999999999997</v>
      </c>
      <c r="I18" s="29">
        <v>0.22</v>
      </c>
      <c r="J18" s="29">
        <v>0.222</v>
      </c>
      <c r="K18" s="29">
        <v>0.23199999999999998</v>
      </c>
      <c r="L18" s="29">
        <v>0.23300000000000001</v>
      </c>
      <c r="M18" s="29">
        <v>0.222</v>
      </c>
      <c r="N18" s="29">
        <v>0.222</v>
      </c>
      <c r="O18" s="29">
        <v>0.22899999999999998</v>
      </c>
      <c r="P18" s="29">
        <v>0.222</v>
      </c>
      <c r="Q18" s="29">
        <v>0.222</v>
      </c>
      <c r="R18" s="29">
        <v>0.23499999999999999</v>
      </c>
      <c r="S18" s="29">
        <v>0.23300000000000001</v>
      </c>
      <c r="T18" s="29">
        <v>0.21899999999999997</v>
      </c>
      <c r="U18" s="29">
        <v>0.23199999999999998</v>
      </c>
      <c r="V18" s="29">
        <v>0.217</v>
      </c>
      <c r="W18" s="117" t="s">
        <v>344</v>
      </c>
      <c r="X18" s="117" t="s">
        <v>344</v>
      </c>
    </row>
    <row r="19" spans="1:24" ht="15.75" customHeight="1" x14ac:dyDescent="0.2">
      <c r="A19" s="30" t="s">
        <v>212</v>
      </c>
      <c r="B19" s="17" t="s">
        <v>179</v>
      </c>
      <c r="C19" s="17" t="s">
        <v>38</v>
      </c>
      <c r="D19" s="29">
        <v>0.22500000000000001</v>
      </c>
      <c r="E19" s="29">
        <v>0.22500000000000001</v>
      </c>
      <c r="F19" s="29">
        <v>0.215</v>
      </c>
      <c r="G19" s="29">
        <v>0.217</v>
      </c>
      <c r="H19" s="29">
        <v>0.214</v>
      </c>
      <c r="I19" s="29">
        <v>0.223</v>
      </c>
      <c r="J19" s="29">
        <v>0.218</v>
      </c>
      <c r="K19" s="29">
        <v>0.22800000000000001</v>
      </c>
      <c r="L19" s="29">
        <v>0.22800000000000001</v>
      </c>
      <c r="M19" s="29">
        <v>0.23300000000000001</v>
      </c>
      <c r="N19" s="29">
        <v>0.23199999999999998</v>
      </c>
      <c r="O19" s="29">
        <v>0.221</v>
      </c>
      <c r="P19" s="29">
        <v>0.23600000000000002</v>
      </c>
      <c r="Q19" s="29">
        <v>0.23800000000000002</v>
      </c>
      <c r="R19" s="29">
        <v>0.22399999999999998</v>
      </c>
      <c r="S19" s="29">
        <v>0.223</v>
      </c>
      <c r="T19" s="29">
        <v>0.23699999999999999</v>
      </c>
      <c r="U19" s="29">
        <v>0.24199999999999999</v>
      </c>
      <c r="V19" s="29">
        <v>0.22699999999999998</v>
      </c>
      <c r="W19" s="117" t="s">
        <v>344</v>
      </c>
      <c r="X19" s="117" t="s">
        <v>344</v>
      </c>
    </row>
    <row r="20" spans="1:24" ht="15.75" customHeight="1" x14ac:dyDescent="0.2">
      <c r="A20" s="30" t="s">
        <v>212</v>
      </c>
      <c r="B20" s="17" t="s">
        <v>179</v>
      </c>
      <c r="C20" s="17" t="s">
        <v>121</v>
      </c>
      <c r="D20" s="29">
        <v>0.17899999999999999</v>
      </c>
      <c r="E20" s="29">
        <v>0.19</v>
      </c>
      <c r="F20" s="29">
        <v>0.19</v>
      </c>
      <c r="G20" s="29">
        <v>0.184</v>
      </c>
      <c r="H20" s="29">
        <v>0.184</v>
      </c>
      <c r="I20" s="29">
        <v>0.17300000000000001</v>
      </c>
      <c r="J20" s="29">
        <v>0.19399999999999998</v>
      </c>
      <c r="K20" s="29">
        <v>0.19500000000000001</v>
      </c>
      <c r="L20" s="29">
        <v>0.20300000000000001</v>
      </c>
      <c r="M20" s="29">
        <v>0.20300000000000001</v>
      </c>
      <c r="N20" s="29">
        <v>0.182</v>
      </c>
      <c r="O20" s="29">
        <v>0.18</v>
      </c>
      <c r="P20" s="29">
        <v>0.18899999999999997</v>
      </c>
      <c r="Q20" s="29">
        <v>0.17699999999999999</v>
      </c>
      <c r="R20" s="29">
        <v>0.187</v>
      </c>
      <c r="S20" s="29">
        <v>0.19800000000000001</v>
      </c>
      <c r="T20" s="29">
        <v>0.20899999999999999</v>
      </c>
      <c r="U20" s="29">
        <v>0.24299999999999999</v>
      </c>
      <c r="V20" s="29">
        <v>0.23100000000000001</v>
      </c>
      <c r="W20" s="117" t="s">
        <v>344</v>
      </c>
      <c r="X20" s="117" t="s">
        <v>344</v>
      </c>
    </row>
    <row r="21" spans="1:24" ht="15.75" customHeight="1" x14ac:dyDescent="0.2">
      <c r="A21" s="30" t="s">
        <v>212</v>
      </c>
      <c r="B21" s="17" t="s">
        <v>179</v>
      </c>
      <c r="C21" s="17" t="s">
        <v>39</v>
      </c>
      <c r="D21" s="29">
        <v>0.26</v>
      </c>
      <c r="E21" s="29">
        <v>0.25600000000000001</v>
      </c>
      <c r="F21" s="29">
        <v>0.245</v>
      </c>
      <c r="G21" s="29">
        <v>0.24299999999999999</v>
      </c>
      <c r="H21" s="29">
        <v>0.24100000000000002</v>
      </c>
      <c r="I21" s="29">
        <v>0.249</v>
      </c>
      <c r="J21" s="29">
        <v>0.253</v>
      </c>
      <c r="K21" s="29">
        <v>0.26800000000000002</v>
      </c>
      <c r="L21" s="29">
        <v>0.249</v>
      </c>
      <c r="M21" s="29">
        <v>0.25</v>
      </c>
      <c r="N21" s="29">
        <v>0.23199999999999998</v>
      </c>
      <c r="O21" s="29">
        <v>0.253</v>
      </c>
      <c r="P21" s="29">
        <v>0.27100000000000002</v>
      </c>
      <c r="Q21" s="29">
        <v>0.24199999999999999</v>
      </c>
      <c r="R21" s="29">
        <v>0.26400000000000001</v>
      </c>
      <c r="S21" s="29">
        <v>0.23499999999999999</v>
      </c>
      <c r="T21" s="29">
        <v>0.26</v>
      </c>
      <c r="U21" s="29">
        <v>0.26500000000000001</v>
      </c>
      <c r="V21" s="29">
        <v>0.26400000000000001</v>
      </c>
      <c r="W21" s="117" t="s">
        <v>344</v>
      </c>
      <c r="X21" s="117" t="s">
        <v>344</v>
      </c>
    </row>
    <row r="22" spans="1:24" ht="15.75" customHeight="1" x14ac:dyDescent="0.2">
      <c r="A22" s="30" t="s">
        <v>212</v>
      </c>
      <c r="B22" s="17" t="s">
        <v>179</v>
      </c>
      <c r="C22" s="17" t="s">
        <v>40</v>
      </c>
      <c r="D22" s="29">
        <v>0.20800000000000002</v>
      </c>
      <c r="E22" s="29">
        <v>0.20699999999999999</v>
      </c>
      <c r="F22" s="29">
        <v>0.19800000000000001</v>
      </c>
      <c r="G22" s="29">
        <v>0.20899999999999999</v>
      </c>
      <c r="H22" s="29">
        <v>0.20699999999999999</v>
      </c>
      <c r="I22" s="29">
        <v>0.20399999999999999</v>
      </c>
      <c r="J22" s="29">
        <v>0.24</v>
      </c>
      <c r="K22" s="29">
        <v>0.23100000000000001</v>
      </c>
      <c r="L22" s="29">
        <v>0.24100000000000002</v>
      </c>
      <c r="M22" s="29">
        <v>0.23399999999999999</v>
      </c>
      <c r="N22" s="29">
        <v>0.21899999999999997</v>
      </c>
      <c r="O22" s="29">
        <v>0.20399999999999999</v>
      </c>
      <c r="P22" s="29">
        <v>0.215</v>
      </c>
      <c r="Q22" s="29">
        <v>0.217</v>
      </c>
      <c r="R22" s="29">
        <v>0.249</v>
      </c>
      <c r="S22" s="29">
        <v>0.22</v>
      </c>
      <c r="T22" s="29">
        <v>0.24100000000000002</v>
      </c>
      <c r="U22" s="29">
        <v>0.25900000000000001</v>
      </c>
      <c r="V22" s="29">
        <v>0.23100000000000001</v>
      </c>
      <c r="W22" s="117" t="s">
        <v>344</v>
      </c>
      <c r="X22" s="117" t="s">
        <v>344</v>
      </c>
    </row>
    <row r="23" spans="1:24" ht="31.5" customHeight="1" x14ac:dyDescent="0.2">
      <c r="A23" s="30" t="s">
        <v>212</v>
      </c>
      <c r="B23" s="17" t="s">
        <v>180</v>
      </c>
      <c r="C23" s="17" t="s">
        <v>41</v>
      </c>
      <c r="D23" s="29">
        <v>0.188</v>
      </c>
      <c r="E23" s="29">
        <v>0.18600000000000003</v>
      </c>
      <c r="F23" s="29">
        <v>0.17699999999999999</v>
      </c>
      <c r="G23" s="29">
        <v>0.17499999999999999</v>
      </c>
      <c r="H23" s="29">
        <v>0.184</v>
      </c>
      <c r="I23" s="29">
        <v>0.18899999999999997</v>
      </c>
      <c r="J23" s="29">
        <v>0.21600000000000003</v>
      </c>
      <c r="K23" s="29">
        <v>0.22899999999999998</v>
      </c>
      <c r="L23" s="29">
        <v>0.217</v>
      </c>
      <c r="M23" s="29">
        <v>0.19699999999999998</v>
      </c>
      <c r="N23" s="29">
        <v>0.16600000000000001</v>
      </c>
      <c r="O23" s="29">
        <v>0.17600000000000002</v>
      </c>
      <c r="P23" s="29">
        <v>0.16600000000000001</v>
      </c>
      <c r="Q23" s="29">
        <v>0.188</v>
      </c>
      <c r="R23" s="29">
        <v>0.192</v>
      </c>
      <c r="S23" s="29">
        <v>0.19600000000000001</v>
      </c>
      <c r="T23" s="29">
        <v>0.20699999999999999</v>
      </c>
      <c r="U23" s="29">
        <v>0.22600000000000001</v>
      </c>
      <c r="V23" s="29">
        <v>0.21299999999999999</v>
      </c>
      <c r="W23" s="117" t="s">
        <v>344</v>
      </c>
      <c r="X23" s="117" t="s">
        <v>344</v>
      </c>
    </row>
    <row r="24" spans="1:24" ht="15.75" customHeight="1" x14ac:dyDescent="0.2">
      <c r="A24" s="30" t="s">
        <v>212</v>
      </c>
      <c r="B24" s="17" t="s">
        <v>180</v>
      </c>
      <c r="C24" s="17" t="s">
        <v>42</v>
      </c>
      <c r="D24" s="29">
        <v>0.20800000000000002</v>
      </c>
      <c r="E24" s="29">
        <v>0.21100000000000002</v>
      </c>
      <c r="F24" s="29">
        <v>0.20199999999999999</v>
      </c>
      <c r="G24" s="29">
        <v>0.20399999999999999</v>
      </c>
      <c r="H24" s="29">
        <v>0.20199999999999999</v>
      </c>
      <c r="I24" s="29">
        <v>0.2</v>
      </c>
      <c r="J24" s="29">
        <v>0.20600000000000002</v>
      </c>
      <c r="K24" s="29">
        <v>0.21</v>
      </c>
      <c r="L24" s="29">
        <v>0.20800000000000002</v>
      </c>
      <c r="M24" s="29">
        <v>0.20899999999999999</v>
      </c>
      <c r="N24" s="29">
        <v>0.20300000000000001</v>
      </c>
      <c r="O24" s="29">
        <v>0.19699999999999998</v>
      </c>
      <c r="P24" s="29">
        <v>0.21100000000000002</v>
      </c>
      <c r="Q24" s="29">
        <v>0.19399999999999998</v>
      </c>
      <c r="R24" s="29">
        <v>0.20800000000000002</v>
      </c>
      <c r="S24" s="29">
        <v>0.2</v>
      </c>
      <c r="T24" s="29">
        <v>0.21899999999999997</v>
      </c>
      <c r="U24" s="29">
        <v>0.23499999999999999</v>
      </c>
      <c r="V24" s="29">
        <v>0.23</v>
      </c>
      <c r="W24" s="117" t="s">
        <v>344</v>
      </c>
      <c r="X24" s="117" t="s">
        <v>344</v>
      </c>
    </row>
    <row r="25" spans="1:24" ht="15.75" customHeight="1" x14ac:dyDescent="0.2">
      <c r="A25" s="30" t="s">
        <v>212</v>
      </c>
      <c r="B25" s="17" t="s">
        <v>180</v>
      </c>
      <c r="C25" s="17" t="s">
        <v>43</v>
      </c>
      <c r="D25" s="29">
        <v>0.23100000000000001</v>
      </c>
      <c r="E25" s="29">
        <v>0.23199999999999998</v>
      </c>
      <c r="F25" s="29">
        <v>0.217</v>
      </c>
      <c r="G25" s="29">
        <v>0.222</v>
      </c>
      <c r="H25" s="29">
        <v>0.22600000000000001</v>
      </c>
      <c r="I25" s="29">
        <v>0.223</v>
      </c>
      <c r="J25" s="29">
        <v>0.22699999999999998</v>
      </c>
      <c r="K25" s="29">
        <v>0.23199999999999998</v>
      </c>
      <c r="L25" s="29">
        <v>0.223</v>
      </c>
      <c r="M25" s="29">
        <v>0.22600000000000001</v>
      </c>
      <c r="N25" s="29">
        <v>0.221</v>
      </c>
      <c r="O25" s="29">
        <v>0.22399999999999998</v>
      </c>
      <c r="P25" s="29">
        <v>0.22600000000000001</v>
      </c>
      <c r="Q25" s="29">
        <v>0.221</v>
      </c>
      <c r="R25" s="29">
        <v>0.22</v>
      </c>
      <c r="S25" s="29">
        <v>0.222</v>
      </c>
      <c r="T25" s="29">
        <v>0.23199999999999998</v>
      </c>
      <c r="U25" s="29">
        <v>0.24299999999999999</v>
      </c>
      <c r="V25" s="29">
        <v>0.22699999999999998</v>
      </c>
      <c r="W25" s="117" t="s">
        <v>344</v>
      </c>
      <c r="X25" s="117" t="s">
        <v>344</v>
      </c>
    </row>
    <row r="26" spans="1:24" ht="15.75" customHeight="1" x14ac:dyDescent="0.2">
      <c r="A26" s="30" t="s">
        <v>212</v>
      </c>
      <c r="B26" s="17" t="s">
        <v>180</v>
      </c>
      <c r="C26" s="17" t="s">
        <v>44</v>
      </c>
      <c r="D26" s="29">
        <v>0.26400000000000001</v>
      </c>
      <c r="E26" s="29">
        <v>0.247</v>
      </c>
      <c r="F26" s="29">
        <v>0.252</v>
      </c>
      <c r="G26" s="29">
        <v>0.252</v>
      </c>
      <c r="H26" s="29">
        <v>0.255</v>
      </c>
      <c r="I26" s="29">
        <v>0.26</v>
      </c>
      <c r="J26" s="29">
        <v>0.25900000000000001</v>
      </c>
      <c r="K26" s="29">
        <v>0.251</v>
      </c>
      <c r="L26" s="29">
        <v>0.26899999999999996</v>
      </c>
      <c r="M26" s="29">
        <v>0.26300000000000001</v>
      </c>
      <c r="N26" s="29">
        <v>0.25800000000000001</v>
      </c>
      <c r="O26" s="29">
        <v>0.249</v>
      </c>
      <c r="P26" s="29">
        <v>0.26700000000000002</v>
      </c>
      <c r="Q26" s="29">
        <v>0.26300000000000001</v>
      </c>
      <c r="R26" s="29">
        <v>0.252</v>
      </c>
      <c r="S26" s="29">
        <v>0.252</v>
      </c>
      <c r="T26" s="29">
        <v>0.245</v>
      </c>
      <c r="U26" s="29">
        <v>0.23399999999999999</v>
      </c>
      <c r="V26" s="29">
        <v>0.23399999999999999</v>
      </c>
      <c r="W26" s="117" t="s">
        <v>344</v>
      </c>
      <c r="X26" s="117" t="s">
        <v>344</v>
      </c>
    </row>
    <row r="27" spans="1:24" ht="31.5" customHeight="1" x14ac:dyDescent="0.2">
      <c r="A27" s="30" t="s">
        <v>212</v>
      </c>
      <c r="B27" s="17" t="s">
        <v>181</v>
      </c>
      <c r="C27" s="17" t="s">
        <v>45</v>
      </c>
      <c r="D27" s="29">
        <f>D20</f>
        <v>0.17899999999999999</v>
      </c>
      <c r="E27" s="29">
        <f t="shared" ref="E27:T27" si="0">E20</f>
        <v>0.19</v>
      </c>
      <c r="F27" s="29">
        <f t="shared" si="0"/>
        <v>0.19</v>
      </c>
      <c r="G27" s="29">
        <f t="shared" si="0"/>
        <v>0.184</v>
      </c>
      <c r="H27" s="29">
        <f t="shared" si="0"/>
        <v>0.184</v>
      </c>
      <c r="I27" s="29">
        <f t="shared" si="0"/>
        <v>0.17300000000000001</v>
      </c>
      <c r="J27" s="29">
        <f t="shared" si="0"/>
        <v>0.19399999999999998</v>
      </c>
      <c r="K27" s="29">
        <f t="shared" si="0"/>
        <v>0.19500000000000001</v>
      </c>
      <c r="L27" s="29">
        <f t="shared" si="0"/>
        <v>0.20300000000000001</v>
      </c>
      <c r="M27" s="29">
        <f t="shared" si="0"/>
        <v>0.20300000000000001</v>
      </c>
      <c r="N27" s="29">
        <f t="shared" si="0"/>
        <v>0.182</v>
      </c>
      <c r="O27" s="29">
        <f t="shared" si="0"/>
        <v>0.18</v>
      </c>
      <c r="P27" s="29">
        <f t="shared" si="0"/>
        <v>0.18899999999999997</v>
      </c>
      <c r="Q27" s="29">
        <f t="shared" si="0"/>
        <v>0.17699999999999999</v>
      </c>
      <c r="R27" s="29">
        <f t="shared" si="0"/>
        <v>0.187</v>
      </c>
      <c r="S27" s="29">
        <f t="shared" si="0"/>
        <v>0.19800000000000001</v>
      </c>
      <c r="T27" s="29">
        <f t="shared" si="0"/>
        <v>0.20899999999999999</v>
      </c>
      <c r="U27" s="29">
        <v>0.24299999999999999</v>
      </c>
      <c r="V27" s="29">
        <v>0.23100000000000001</v>
      </c>
      <c r="W27" s="117" t="s">
        <v>344</v>
      </c>
      <c r="X27" s="117" t="s">
        <v>344</v>
      </c>
    </row>
    <row r="28" spans="1:24" ht="15.75" customHeight="1" x14ac:dyDescent="0.2">
      <c r="A28" s="30" t="s">
        <v>212</v>
      </c>
      <c r="B28" s="17" t="s">
        <v>181</v>
      </c>
      <c r="C28" s="17" t="s">
        <v>120</v>
      </c>
      <c r="D28" s="29">
        <f>D22</f>
        <v>0.20800000000000002</v>
      </c>
      <c r="E28" s="29">
        <f t="shared" ref="E28:T28" si="1">E22</f>
        <v>0.20699999999999999</v>
      </c>
      <c r="F28" s="29">
        <f t="shared" si="1"/>
        <v>0.19800000000000001</v>
      </c>
      <c r="G28" s="29">
        <f t="shared" si="1"/>
        <v>0.20899999999999999</v>
      </c>
      <c r="H28" s="29">
        <f t="shared" si="1"/>
        <v>0.20699999999999999</v>
      </c>
      <c r="I28" s="29">
        <f t="shared" si="1"/>
        <v>0.20399999999999999</v>
      </c>
      <c r="J28" s="29">
        <f t="shared" si="1"/>
        <v>0.24</v>
      </c>
      <c r="K28" s="29">
        <f t="shared" si="1"/>
        <v>0.23100000000000001</v>
      </c>
      <c r="L28" s="29">
        <f t="shared" si="1"/>
        <v>0.24100000000000002</v>
      </c>
      <c r="M28" s="29">
        <f t="shared" si="1"/>
        <v>0.23399999999999999</v>
      </c>
      <c r="N28" s="29">
        <f t="shared" si="1"/>
        <v>0.21899999999999997</v>
      </c>
      <c r="O28" s="29">
        <f t="shared" si="1"/>
        <v>0.20399999999999999</v>
      </c>
      <c r="P28" s="29">
        <f t="shared" si="1"/>
        <v>0.215</v>
      </c>
      <c r="Q28" s="29">
        <f t="shared" si="1"/>
        <v>0.217</v>
      </c>
      <c r="R28" s="29">
        <f t="shared" si="1"/>
        <v>0.249</v>
      </c>
      <c r="S28" s="29">
        <f t="shared" si="1"/>
        <v>0.22</v>
      </c>
      <c r="T28" s="29">
        <f t="shared" si="1"/>
        <v>0.24100000000000002</v>
      </c>
      <c r="U28" s="29">
        <v>0.25900000000000001</v>
      </c>
      <c r="V28" s="29">
        <v>0.23100000000000001</v>
      </c>
      <c r="W28" s="117" t="s">
        <v>344</v>
      </c>
      <c r="X28" s="117" t="s">
        <v>344</v>
      </c>
    </row>
    <row r="29" spans="1:24" ht="15.75" customHeight="1" x14ac:dyDescent="0.2">
      <c r="A29" s="30" t="s">
        <v>212</v>
      </c>
      <c r="B29" s="17" t="s">
        <v>181</v>
      </c>
      <c r="C29" s="17" t="s">
        <v>46</v>
      </c>
      <c r="D29" s="29">
        <v>0.23899999999999999</v>
      </c>
      <c r="E29" s="29">
        <v>0.23399999999999999</v>
      </c>
      <c r="F29" s="29">
        <v>0.22600000000000001</v>
      </c>
      <c r="G29" s="29">
        <v>0.22899999999999998</v>
      </c>
      <c r="H29" s="29">
        <v>0.23199999999999998</v>
      </c>
      <c r="I29" s="29">
        <v>0.23300000000000001</v>
      </c>
      <c r="J29" s="29">
        <v>0.23300000000000001</v>
      </c>
      <c r="K29" s="29">
        <v>0.23499999999999999</v>
      </c>
      <c r="L29" s="29">
        <v>0.23499999999999999</v>
      </c>
      <c r="M29" s="29">
        <v>0.23399999999999999</v>
      </c>
      <c r="N29" s="29">
        <v>0.23</v>
      </c>
      <c r="O29" s="29">
        <v>0.22800000000000001</v>
      </c>
      <c r="P29" s="29">
        <v>0.23800000000000002</v>
      </c>
      <c r="Q29" s="29">
        <v>0.23100000000000001</v>
      </c>
      <c r="R29" s="29">
        <v>0.22800000000000001</v>
      </c>
      <c r="S29" s="29">
        <v>0.22699999999999998</v>
      </c>
      <c r="T29" s="29">
        <v>0.23399999999999999</v>
      </c>
      <c r="U29" s="29">
        <v>0.23600000000000002</v>
      </c>
      <c r="V29" s="65">
        <v>0.22900000000000001</v>
      </c>
      <c r="W29" s="117" t="s">
        <v>344</v>
      </c>
      <c r="X29" s="117" t="s">
        <v>344</v>
      </c>
    </row>
    <row r="30" spans="1:24" ht="31.5" customHeight="1" x14ac:dyDescent="0.2">
      <c r="A30" s="30" t="s">
        <v>212</v>
      </c>
      <c r="B30" s="17" t="s">
        <v>47</v>
      </c>
      <c r="C30" s="17" t="s">
        <v>22</v>
      </c>
      <c r="D30" s="29">
        <v>0.21</v>
      </c>
      <c r="E30" s="29">
        <v>0.18</v>
      </c>
      <c r="F30" s="29">
        <v>0.16699999999999998</v>
      </c>
      <c r="G30" s="29">
        <v>0.18600000000000003</v>
      </c>
      <c r="H30" s="29">
        <v>0.19</v>
      </c>
      <c r="I30" s="29">
        <v>0.19399999999999998</v>
      </c>
      <c r="J30" s="29">
        <v>0.16899999999999998</v>
      </c>
      <c r="K30" s="29">
        <v>0.188</v>
      </c>
      <c r="L30" s="29">
        <v>0.18</v>
      </c>
      <c r="M30" s="29">
        <v>0.19600000000000001</v>
      </c>
      <c r="N30" s="29">
        <v>0.21299999999999999</v>
      </c>
      <c r="O30" s="29">
        <v>0.2</v>
      </c>
      <c r="P30" s="29">
        <v>0.247</v>
      </c>
      <c r="Q30" s="29">
        <v>0.21</v>
      </c>
      <c r="R30" s="29">
        <v>0.20300000000000001</v>
      </c>
      <c r="S30" s="29">
        <v>0.184</v>
      </c>
      <c r="T30" s="29">
        <v>0.22699999999999998</v>
      </c>
      <c r="U30" s="65">
        <v>0.19600000000000001</v>
      </c>
      <c r="V30" s="65">
        <v>0.249</v>
      </c>
      <c r="W30" s="117" t="s">
        <v>344</v>
      </c>
      <c r="X30" s="117" t="s">
        <v>344</v>
      </c>
    </row>
    <row r="31" spans="1:24" ht="15.75" customHeight="1" x14ac:dyDescent="0.2">
      <c r="A31" s="30" t="s">
        <v>212</v>
      </c>
      <c r="B31" s="17" t="s">
        <v>47</v>
      </c>
      <c r="C31" s="17" t="s">
        <v>23</v>
      </c>
      <c r="D31" s="29">
        <v>0.184</v>
      </c>
      <c r="E31" s="29">
        <v>0.182</v>
      </c>
      <c r="F31" s="29">
        <v>0.17899999999999999</v>
      </c>
      <c r="G31" s="29">
        <v>0.17800000000000002</v>
      </c>
      <c r="H31" s="29">
        <v>0.17499999999999999</v>
      </c>
      <c r="I31" s="29">
        <v>0.17300000000000001</v>
      </c>
      <c r="J31" s="29">
        <v>0.154</v>
      </c>
      <c r="K31" s="29">
        <v>0.17100000000000001</v>
      </c>
      <c r="L31" s="29">
        <v>0.17300000000000001</v>
      </c>
      <c r="M31" s="29">
        <v>0.18</v>
      </c>
      <c r="N31" s="29">
        <v>0.158</v>
      </c>
      <c r="O31" s="29">
        <v>0.17399999999999999</v>
      </c>
      <c r="P31" s="29">
        <v>0.17399999999999999</v>
      </c>
      <c r="Q31" s="29">
        <v>0.14800000000000002</v>
      </c>
      <c r="R31" s="29">
        <v>0.16300000000000001</v>
      </c>
      <c r="S31" s="29">
        <v>0.17</v>
      </c>
      <c r="T31" s="29">
        <v>0.182</v>
      </c>
      <c r="U31" s="65">
        <v>0.22399999999999998</v>
      </c>
      <c r="V31" s="65">
        <v>0.17699999999999999</v>
      </c>
      <c r="W31" s="117" t="s">
        <v>344</v>
      </c>
      <c r="X31" s="117" t="s">
        <v>344</v>
      </c>
    </row>
    <row r="32" spans="1:24" ht="15.75" customHeight="1" x14ac:dyDescent="0.2">
      <c r="A32" s="30" t="s">
        <v>212</v>
      </c>
      <c r="B32" s="17" t="s">
        <v>47</v>
      </c>
      <c r="C32" s="17" t="s">
        <v>29</v>
      </c>
      <c r="D32" s="29">
        <v>0.22600000000000001</v>
      </c>
      <c r="E32" s="29">
        <v>0.21</v>
      </c>
      <c r="F32" s="29">
        <v>0.17899999999999999</v>
      </c>
      <c r="G32" s="29">
        <v>0.18899999999999997</v>
      </c>
      <c r="H32" s="29">
        <v>0.187</v>
      </c>
      <c r="I32" s="29">
        <v>0.21</v>
      </c>
      <c r="J32" s="29">
        <v>0.21299999999999999</v>
      </c>
      <c r="K32" s="29">
        <v>0.221</v>
      </c>
      <c r="L32" s="29">
        <v>0.20699999999999999</v>
      </c>
      <c r="M32" s="29">
        <v>0.20399999999999999</v>
      </c>
      <c r="N32" s="29">
        <v>0.23300000000000001</v>
      </c>
      <c r="O32" s="29">
        <v>0.21299999999999999</v>
      </c>
      <c r="P32" s="29">
        <v>0.192</v>
      </c>
      <c r="Q32" s="29">
        <v>0.20899999999999999</v>
      </c>
      <c r="R32" s="29">
        <v>0.20800000000000002</v>
      </c>
      <c r="S32" s="29">
        <v>0.22399999999999998</v>
      </c>
      <c r="T32" s="29">
        <v>0.251</v>
      </c>
      <c r="U32" s="65">
        <v>0.23499999999999999</v>
      </c>
      <c r="V32" s="65">
        <v>0.23499999999999999</v>
      </c>
      <c r="W32" s="117" t="s">
        <v>344</v>
      </c>
      <c r="X32" s="117" t="s">
        <v>344</v>
      </c>
    </row>
    <row r="33" spans="1:24" ht="15.75" customHeight="1" x14ac:dyDescent="0.2">
      <c r="A33" s="30" t="s">
        <v>212</v>
      </c>
      <c r="B33" s="17" t="s">
        <v>47</v>
      </c>
      <c r="C33" s="17" t="s">
        <v>24</v>
      </c>
      <c r="D33" s="29">
        <v>0.21199999999999999</v>
      </c>
      <c r="E33" s="29">
        <v>0.21</v>
      </c>
      <c r="F33" s="29">
        <v>0.187</v>
      </c>
      <c r="G33" s="29">
        <v>0.192</v>
      </c>
      <c r="H33" s="29">
        <v>0.20600000000000002</v>
      </c>
      <c r="I33" s="29">
        <v>0.21600000000000003</v>
      </c>
      <c r="J33" s="29">
        <v>0.22800000000000001</v>
      </c>
      <c r="K33" s="29">
        <v>0.23600000000000002</v>
      </c>
      <c r="L33" s="29">
        <v>0.24299999999999999</v>
      </c>
      <c r="M33" s="29">
        <v>0.21299999999999999</v>
      </c>
      <c r="N33" s="29">
        <v>0.193</v>
      </c>
      <c r="O33" s="29">
        <v>0.20499999999999999</v>
      </c>
      <c r="P33" s="29">
        <v>0.193</v>
      </c>
      <c r="Q33" s="29">
        <v>0.22699999999999998</v>
      </c>
      <c r="R33" s="29">
        <v>0.21</v>
      </c>
      <c r="S33" s="29">
        <v>0.22899999999999998</v>
      </c>
      <c r="T33" s="29">
        <v>0.22899999999999998</v>
      </c>
      <c r="U33" s="65">
        <v>0.24</v>
      </c>
      <c r="V33" s="65">
        <v>0.24299999999999999</v>
      </c>
      <c r="W33" s="117" t="s">
        <v>344</v>
      </c>
      <c r="X33" s="117" t="s">
        <v>344</v>
      </c>
    </row>
    <row r="34" spans="1:24" ht="15.75" customHeight="1" x14ac:dyDescent="0.2">
      <c r="A34" s="30" t="s">
        <v>212</v>
      </c>
      <c r="B34" s="17" t="s">
        <v>47</v>
      </c>
      <c r="C34" s="17" t="s">
        <v>25</v>
      </c>
      <c r="D34" s="29">
        <v>0.218</v>
      </c>
      <c r="E34" s="29">
        <v>0.21199999999999999</v>
      </c>
      <c r="F34" s="29">
        <v>0.21</v>
      </c>
      <c r="G34" s="29">
        <v>0.218</v>
      </c>
      <c r="H34" s="29">
        <v>0.22</v>
      </c>
      <c r="I34" s="29">
        <v>0.22800000000000001</v>
      </c>
      <c r="J34" s="29">
        <v>0.25800000000000001</v>
      </c>
      <c r="K34" s="29">
        <v>0.23899999999999999</v>
      </c>
      <c r="L34" s="29">
        <v>0.23300000000000001</v>
      </c>
      <c r="M34" s="29">
        <v>0.23600000000000002</v>
      </c>
      <c r="N34" s="29">
        <v>0.22800000000000001</v>
      </c>
      <c r="O34" s="29">
        <v>0.23100000000000001</v>
      </c>
      <c r="P34" s="29">
        <v>0.253</v>
      </c>
      <c r="Q34" s="29">
        <v>0.22500000000000001</v>
      </c>
      <c r="R34" s="29">
        <v>0.191</v>
      </c>
      <c r="S34" s="29">
        <v>0.22600000000000001</v>
      </c>
      <c r="T34" s="29">
        <v>0.22600000000000001</v>
      </c>
      <c r="U34" s="65">
        <v>0.19600000000000001</v>
      </c>
      <c r="V34" s="65">
        <v>0.19800000000000001</v>
      </c>
      <c r="W34" s="117" t="s">
        <v>344</v>
      </c>
      <c r="X34" s="117" t="s">
        <v>344</v>
      </c>
    </row>
    <row r="35" spans="1:24" ht="15.75" customHeight="1" x14ac:dyDescent="0.2">
      <c r="A35" s="30" t="s">
        <v>212</v>
      </c>
      <c r="B35" s="17" t="s">
        <v>47</v>
      </c>
      <c r="C35" s="17" t="s">
        <v>2</v>
      </c>
      <c r="D35" s="29">
        <v>0.251</v>
      </c>
      <c r="E35" s="29">
        <v>0.253</v>
      </c>
      <c r="F35" s="29">
        <v>0.25</v>
      </c>
      <c r="G35" s="29">
        <v>0.27699999999999997</v>
      </c>
      <c r="H35" s="29">
        <v>0.26600000000000001</v>
      </c>
      <c r="I35" s="29">
        <v>0.253</v>
      </c>
      <c r="J35" s="29">
        <v>0.20399999999999999</v>
      </c>
      <c r="K35" s="29">
        <v>0.26600000000000001</v>
      </c>
      <c r="L35" s="29">
        <v>0.26400000000000001</v>
      </c>
      <c r="M35" s="29">
        <v>0.25700000000000001</v>
      </c>
      <c r="N35" s="29">
        <v>0.25800000000000001</v>
      </c>
      <c r="O35" s="29">
        <v>0.247</v>
      </c>
      <c r="P35" s="29">
        <v>0.25900000000000001</v>
      </c>
      <c r="Q35" s="29">
        <v>0.23</v>
      </c>
      <c r="R35" s="29">
        <v>0.22699999999999998</v>
      </c>
      <c r="S35" s="29">
        <v>0.248</v>
      </c>
      <c r="T35" s="29">
        <v>0.223</v>
      </c>
      <c r="U35" s="65">
        <v>0.27</v>
      </c>
      <c r="V35" s="65">
        <v>0.30499999999999999</v>
      </c>
      <c r="W35" s="117" t="s">
        <v>344</v>
      </c>
      <c r="X35" s="117" t="s">
        <v>344</v>
      </c>
    </row>
    <row r="36" spans="1:24" ht="15.75" customHeight="1" x14ac:dyDescent="0.2">
      <c r="A36" s="30" t="s">
        <v>212</v>
      </c>
      <c r="B36" s="17" t="s">
        <v>47</v>
      </c>
      <c r="C36" s="17" t="s">
        <v>3</v>
      </c>
      <c r="D36" s="29">
        <v>0.21199999999999999</v>
      </c>
      <c r="E36" s="29">
        <v>0.21100000000000002</v>
      </c>
      <c r="F36" s="29">
        <v>0.19899999999999998</v>
      </c>
      <c r="G36" s="29">
        <v>0.22500000000000001</v>
      </c>
      <c r="H36" s="29">
        <v>0.223</v>
      </c>
      <c r="I36" s="29">
        <v>0.21299999999999999</v>
      </c>
      <c r="J36" s="29">
        <v>0.23600000000000002</v>
      </c>
      <c r="K36" s="29">
        <v>0.23499999999999999</v>
      </c>
      <c r="L36" s="29">
        <v>0.251</v>
      </c>
      <c r="M36" s="29">
        <v>0.24299999999999999</v>
      </c>
      <c r="N36" s="29">
        <v>0.24100000000000002</v>
      </c>
      <c r="O36" s="29">
        <v>0.20499999999999999</v>
      </c>
      <c r="P36" s="29">
        <v>0.21600000000000003</v>
      </c>
      <c r="Q36" s="29">
        <v>0.214</v>
      </c>
      <c r="R36" s="29">
        <v>0.26300000000000001</v>
      </c>
      <c r="S36" s="29">
        <v>0.22600000000000001</v>
      </c>
      <c r="T36" s="29">
        <v>0.27399999999999997</v>
      </c>
      <c r="U36" s="65">
        <v>0.26</v>
      </c>
      <c r="V36" s="65">
        <v>0.29299999999999998</v>
      </c>
      <c r="W36" s="117" t="s">
        <v>344</v>
      </c>
      <c r="X36" s="117" t="s">
        <v>344</v>
      </c>
    </row>
    <row r="37" spans="1:24" ht="15.75" customHeight="1" x14ac:dyDescent="0.2">
      <c r="A37" s="30" t="s">
        <v>212</v>
      </c>
      <c r="B37" s="17" t="s">
        <v>47</v>
      </c>
      <c r="C37" s="17" t="s">
        <v>30</v>
      </c>
      <c r="D37" s="29">
        <v>0.27</v>
      </c>
      <c r="E37" s="29">
        <v>0.255</v>
      </c>
      <c r="F37" s="29">
        <v>0.252</v>
      </c>
      <c r="G37" s="29">
        <v>0.249</v>
      </c>
      <c r="H37" s="29">
        <v>0.26300000000000001</v>
      </c>
      <c r="I37" s="29">
        <v>0.25700000000000001</v>
      </c>
      <c r="J37" s="29">
        <v>0.23699999999999999</v>
      </c>
      <c r="K37" s="29">
        <v>0.254</v>
      </c>
      <c r="L37" s="29">
        <v>0.27800000000000002</v>
      </c>
      <c r="M37" s="29">
        <v>0.29399999999999998</v>
      </c>
      <c r="N37" s="29">
        <v>0.311</v>
      </c>
      <c r="O37" s="29">
        <v>0.29899999999999999</v>
      </c>
      <c r="P37" s="29">
        <v>0.28499999999999998</v>
      </c>
      <c r="Q37" s="29">
        <v>0.32200000000000001</v>
      </c>
      <c r="R37" s="29">
        <v>0.28300000000000003</v>
      </c>
      <c r="S37" s="29">
        <v>0.27200000000000002</v>
      </c>
      <c r="T37" s="29">
        <v>0.23699999999999999</v>
      </c>
      <c r="U37" s="65">
        <v>0.247</v>
      </c>
      <c r="V37" s="65">
        <v>0.25</v>
      </c>
      <c r="W37" s="117" t="s">
        <v>344</v>
      </c>
      <c r="X37" s="117" t="s">
        <v>344</v>
      </c>
    </row>
    <row r="38" spans="1:24" ht="15.75" customHeight="1" x14ac:dyDescent="0.2">
      <c r="A38" s="30" t="s">
        <v>212</v>
      </c>
      <c r="B38" s="17" t="s">
        <v>47</v>
      </c>
      <c r="C38" s="17" t="s">
        <v>4</v>
      </c>
      <c r="D38" s="29">
        <v>0.26500000000000001</v>
      </c>
      <c r="E38" s="29">
        <v>0.26800000000000002</v>
      </c>
      <c r="F38" s="29">
        <v>0.247</v>
      </c>
      <c r="G38" s="29">
        <v>0.24399999999999999</v>
      </c>
      <c r="H38" s="29">
        <v>0.23399999999999999</v>
      </c>
      <c r="I38" s="29">
        <v>0.24399999999999999</v>
      </c>
      <c r="J38" s="29">
        <v>0.23100000000000001</v>
      </c>
      <c r="K38" s="29">
        <v>0.25</v>
      </c>
      <c r="L38" s="29">
        <v>0.23699999999999999</v>
      </c>
      <c r="M38" s="29">
        <v>0.223</v>
      </c>
      <c r="N38" s="29">
        <v>0.22600000000000001</v>
      </c>
      <c r="O38" s="29">
        <v>0.24600000000000002</v>
      </c>
      <c r="P38" s="29">
        <v>0.28199999999999997</v>
      </c>
      <c r="Q38" s="29">
        <v>0.23199999999999998</v>
      </c>
      <c r="R38" s="29">
        <v>0.26500000000000001</v>
      </c>
      <c r="S38" s="29">
        <v>0.221</v>
      </c>
      <c r="T38" s="29">
        <v>0.24299999999999999</v>
      </c>
      <c r="U38" s="65">
        <v>0.21899999999999997</v>
      </c>
      <c r="V38" s="65">
        <v>0.26700000000000002</v>
      </c>
      <c r="W38" s="117" t="s">
        <v>344</v>
      </c>
      <c r="X38" s="117" t="s">
        <v>344</v>
      </c>
    </row>
    <row r="39" spans="1:24" ht="15.75" customHeight="1" x14ac:dyDescent="0.2">
      <c r="A39" s="30" t="s">
        <v>212</v>
      </c>
      <c r="B39" s="17" t="s">
        <v>47</v>
      </c>
      <c r="C39" s="17" t="s">
        <v>32</v>
      </c>
      <c r="D39" s="29">
        <v>0.19699999999999998</v>
      </c>
      <c r="E39" s="29">
        <v>0.19399999999999998</v>
      </c>
      <c r="F39" s="29">
        <v>0.17899999999999999</v>
      </c>
      <c r="G39" s="29">
        <v>0.214</v>
      </c>
      <c r="H39" s="29">
        <v>0.21299999999999999</v>
      </c>
      <c r="I39" s="29">
        <v>0.20300000000000001</v>
      </c>
      <c r="J39" s="29">
        <v>0.20699999999999999</v>
      </c>
      <c r="K39" s="29">
        <v>0.221</v>
      </c>
      <c r="L39" s="29">
        <v>0.222</v>
      </c>
      <c r="M39" s="29">
        <v>0.19899999999999998</v>
      </c>
      <c r="N39" s="29">
        <v>0.23499999999999999</v>
      </c>
      <c r="O39" s="29">
        <v>0.21899999999999997</v>
      </c>
      <c r="P39" s="29">
        <v>0.217</v>
      </c>
      <c r="Q39" s="29">
        <v>0.22699999999999998</v>
      </c>
      <c r="R39" s="29">
        <v>0.2</v>
      </c>
      <c r="S39" s="29">
        <v>0.20800000000000002</v>
      </c>
      <c r="T39" s="29">
        <v>0.22399999999999998</v>
      </c>
      <c r="U39" s="65">
        <v>0.24600000000000002</v>
      </c>
      <c r="V39" s="65">
        <v>0.221</v>
      </c>
      <c r="W39" s="117" t="s">
        <v>344</v>
      </c>
      <c r="X39" s="117" t="s">
        <v>344</v>
      </c>
    </row>
    <row r="40" spans="1:24" ht="15.75" customHeight="1" x14ac:dyDescent="0.2">
      <c r="A40" s="30" t="s">
        <v>212</v>
      </c>
      <c r="B40" s="17" t="s">
        <v>47</v>
      </c>
      <c r="C40" s="17" t="s">
        <v>5</v>
      </c>
      <c r="D40" s="29">
        <v>0.222</v>
      </c>
      <c r="E40" s="29">
        <v>0.20300000000000001</v>
      </c>
      <c r="F40" s="29">
        <v>0.20300000000000001</v>
      </c>
      <c r="G40" s="29">
        <v>0.20600000000000002</v>
      </c>
      <c r="H40" s="29">
        <v>0.22</v>
      </c>
      <c r="I40" s="29">
        <v>0.21299999999999999</v>
      </c>
      <c r="J40" s="29">
        <v>0.22</v>
      </c>
      <c r="K40" s="29">
        <v>0.21600000000000003</v>
      </c>
      <c r="L40" s="29">
        <v>0.20600000000000002</v>
      </c>
      <c r="M40" s="29">
        <v>0.191</v>
      </c>
      <c r="N40" s="29">
        <v>0.217</v>
      </c>
      <c r="O40" s="29">
        <v>0.20300000000000001</v>
      </c>
      <c r="P40" s="29">
        <v>0.23300000000000001</v>
      </c>
      <c r="Q40" s="29">
        <v>0.191</v>
      </c>
      <c r="R40" s="29">
        <v>0.17300000000000001</v>
      </c>
      <c r="S40" s="29">
        <v>0.19500000000000001</v>
      </c>
      <c r="T40" s="29">
        <v>0.218</v>
      </c>
      <c r="U40" s="65">
        <v>0.17399999999999999</v>
      </c>
      <c r="V40" s="65">
        <v>0.22699999999999998</v>
      </c>
      <c r="W40" s="117" t="s">
        <v>344</v>
      </c>
      <c r="X40" s="117" t="s">
        <v>344</v>
      </c>
    </row>
    <row r="41" spans="1:24" ht="15.75" customHeight="1" x14ac:dyDescent="0.2">
      <c r="A41" s="30" t="s">
        <v>212</v>
      </c>
      <c r="B41" s="17" t="s">
        <v>47</v>
      </c>
      <c r="C41" s="17" t="s">
        <v>6</v>
      </c>
      <c r="D41" s="29">
        <v>0.19399999999999998</v>
      </c>
      <c r="E41" s="29">
        <v>0.19899999999999998</v>
      </c>
      <c r="F41" s="29">
        <v>0.20899999999999999</v>
      </c>
      <c r="G41" s="29">
        <v>0.21299999999999999</v>
      </c>
      <c r="H41" s="29">
        <v>0.222</v>
      </c>
      <c r="I41" s="29">
        <v>0.22800000000000001</v>
      </c>
      <c r="J41" s="29">
        <v>0.222</v>
      </c>
      <c r="K41" s="29">
        <v>0.22500000000000001</v>
      </c>
      <c r="L41" s="29">
        <v>0.23300000000000001</v>
      </c>
      <c r="M41" s="29">
        <v>0.2</v>
      </c>
      <c r="N41" s="29">
        <v>0.20499999999999999</v>
      </c>
      <c r="O41" s="29">
        <v>0.22600000000000001</v>
      </c>
      <c r="P41" s="29">
        <v>0.20300000000000001</v>
      </c>
      <c r="Q41" s="29">
        <v>0.22899999999999998</v>
      </c>
      <c r="R41" s="29">
        <v>0.24100000000000002</v>
      </c>
      <c r="S41" s="29">
        <v>0.24600000000000002</v>
      </c>
      <c r="T41" s="29">
        <v>0.23300000000000001</v>
      </c>
      <c r="U41" s="65">
        <v>0.27600000000000002</v>
      </c>
      <c r="V41" s="65">
        <v>0.20499999999999999</v>
      </c>
      <c r="W41" s="117" t="s">
        <v>344</v>
      </c>
      <c r="X41" s="117" t="s">
        <v>344</v>
      </c>
    </row>
    <row r="42" spans="1:24" ht="15.75" customHeight="1" x14ac:dyDescent="0.2">
      <c r="A42" s="30" t="s">
        <v>212</v>
      </c>
      <c r="B42" s="17" t="s">
        <v>47</v>
      </c>
      <c r="C42" s="17" t="s">
        <v>8</v>
      </c>
      <c r="D42" s="29">
        <v>0.21899999999999997</v>
      </c>
      <c r="E42" s="29">
        <v>0.22399999999999998</v>
      </c>
      <c r="F42" s="29">
        <v>0.19500000000000001</v>
      </c>
      <c r="G42" s="29">
        <v>0.21</v>
      </c>
      <c r="H42" s="29">
        <v>0.20600000000000002</v>
      </c>
      <c r="I42" s="29">
        <v>0.22</v>
      </c>
      <c r="J42" s="29">
        <v>0.217</v>
      </c>
      <c r="K42" s="29">
        <v>0.215</v>
      </c>
      <c r="L42" s="29">
        <v>0.20899999999999999</v>
      </c>
      <c r="M42" s="29">
        <v>0.21</v>
      </c>
      <c r="N42" s="29">
        <v>0.217</v>
      </c>
      <c r="O42" s="29">
        <v>0.20600000000000002</v>
      </c>
      <c r="P42" s="29">
        <v>0.20100000000000001</v>
      </c>
      <c r="Q42" s="29">
        <v>0.20600000000000002</v>
      </c>
      <c r="R42" s="29">
        <v>0.221</v>
      </c>
      <c r="S42" s="29">
        <v>0.22500000000000001</v>
      </c>
      <c r="T42" s="29">
        <v>0.21199999999999999</v>
      </c>
      <c r="U42" s="65">
        <v>0.21899999999999997</v>
      </c>
      <c r="V42" s="65">
        <v>0.19500000000000001</v>
      </c>
      <c r="W42" s="117" t="s">
        <v>344</v>
      </c>
      <c r="X42" s="117" t="s">
        <v>344</v>
      </c>
    </row>
    <row r="43" spans="1:24" ht="15.75" customHeight="1" x14ac:dyDescent="0.2">
      <c r="A43" s="30" t="s">
        <v>212</v>
      </c>
      <c r="B43" s="17" t="s">
        <v>47</v>
      </c>
      <c r="C43" s="17" t="s">
        <v>9</v>
      </c>
      <c r="D43" s="29">
        <v>0.20899999999999999</v>
      </c>
      <c r="E43" s="29">
        <v>0.21899999999999997</v>
      </c>
      <c r="F43" s="29">
        <v>0.21600000000000003</v>
      </c>
      <c r="G43" s="29">
        <v>0.21299999999999999</v>
      </c>
      <c r="H43" s="29">
        <v>0.20499999999999999</v>
      </c>
      <c r="I43" s="29">
        <v>0.21600000000000003</v>
      </c>
      <c r="J43" s="29">
        <v>0.21100000000000002</v>
      </c>
      <c r="K43" s="29">
        <v>0.22800000000000001</v>
      </c>
      <c r="L43" s="29">
        <v>0.22800000000000001</v>
      </c>
      <c r="M43" s="29">
        <v>0.23100000000000001</v>
      </c>
      <c r="N43" s="29">
        <v>0.21199999999999999</v>
      </c>
      <c r="O43" s="29">
        <v>0.21</v>
      </c>
      <c r="P43" s="29">
        <v>0.24299999999999999</v>
      </c>
      <c r="Q43" s="29">
        <v>0.22399999999999998</v>
      </c>
      <c r="R43" s="29">
        <v>0.218</v>
      </c>
      <c r="S43" s="29">
        <v>0.23199999999999998</v>
      </c>
      <c r="T43" s="29">
        <v>0.24600000000000002</v>
      </c>
      <c r="U43" s="65">
        <v>0.26</v>
      </c>
      <c r="V43" s="65">
        <v>0.221</v>
      </c>
      <c r="W43" s="117" t="s">
        <v>344</v>
      </c>
      <c r="X43" s="117" t="s">
        <v>344</v>
      </c>
    </row>
    <row r="44" spans="1:24" ht="15.75" customHeight="1" x14ac:dyDescent="0.2">
      <c r="A44" s="30" t="s">
        <v>212</v>
      </c>
      <c r="B44" s="17" t="s">
        <v>47</v>
      </c>
      <c r="C44" s="17" t="s">
        <v>33</v>
      </c>
      <c r="D44" s="29">
        <v>0.32</v>
      </c>
      <c r="E44" s="29">
        <v>0.29799999999999999</v>
      </c>
      <c r="F44" s="29">
        <v>0.31900000000000001</v>
      </c>
      <c r="G44" s="29">
        <v>0.30599999999999999</v>
      </c>
      <c r="H44" s="29">
        <v>0.30599999999999999</v>
      </c>
      <c r="I44" s="29">
        <v>0.311</v>
      </c>
      <c r="J44" s="29">
        <v>0.29799999999999999</v>
      </c>
      <c r="K44" s="29">
        <v>0.28399999999999997</v>
      </c>
      <c r="L44" s="29">
        <v>0.33200000000000002</v>
      </c>
      <c r="M44" s="29">
        <v>0.30399999999999999</v>
      </c>
      <c r="N44" s="29">
        <v>0.28800000000000003</v>
      </c>
      <c r="O44" s="29">
        <v>0.27100000000000002</v>
      </c>
      <c r="P44" s="29">
        <v>0.28300000000000003</v>
      </c>
      <c r="Q44" s="29">
        <v>0.30099999999999999</v>
      </c>
      <c r="R44" s="29">
        <v>0.314</v>
      </c>
      <c r="S44" s="29">
        <v>0.29299999999999998</v>
      </c>
      <c r="T44" s="29">
        <v>0.26899999999999996</v>
      </c>
      <c r="U44" s="65">
        <v>0.27500000000000002</v>
      </c>
      <c r="V44" s="65">
        <v>0.254</v>
      </c>
      <c r="W44" s="117" t="s">
        <v>344</v>
      </c>
      <c r="X44" s="117" t="s">
        <v>344</v>
      </c>
    </row>
    <row r="45" spans="1:24" ht="15.75" customHeight="1" x14ac:dyDescent="0.2">
      <c r="A45" s="30" t="s">
        <v>212</v>
      </c>
      <c r="B45" s="17" t="s">
        <v>47</v>
      </c>
      <c r="C45" s="17" t="s">
        <v>10</v>
      </c>
      <c r="D45" s="29">
        <v>0.158</v>
      </c>
      <c r="E45" s="29">
        <v>0.18</v>
      </c>
      <c r="F45" s="29">
        <v>0.19500000000000001</v>
      </c>
      <c r="G45" s="29">
        <v>0.185</v>
      </c>
      <c r="H45" s="29">
        <v>0.188</v>
      </c>
      <c r="I45" s="29">
        <v>0.159</v>
      </c>
      <c r="J45" s="29">
        <v>0.18600000000000003</v>
      </c>
      <c r="K45" s="29">
        <v>0.17699999999999999</v>
      </c>
      <c r="L45" s="29">
        <v>0.19899999999999998</v>
      </c>
      <c r="M45" s="29">
        <v>0.22</v>
      </c>
      <c r="N45" s="29">
        <v>0.191</v>
      </c>
      <c r="O45" s="29">
        <v>0.16</v>
      </c>
      <c r="P45" s="29">
        <v>0.19600000000000001</v>
      </c>
      <c r="Q45" s="29">
        <v>0.154</v>
      </c>
      <c r="R45" s="29">
        <v>0.16699999999999998</v>
      </c>
      <c r="S45" s="29">
        <v>0.188</v>
      </c>
      <c r="T45" s="29">
        <v>0.20499999999999999</v>
      </c>
      <c r="U45" s="65">
        <v>0.253</v>
      </c>
      <c r="V45" s="65">
        <v>0.25700000000000001</v>
      </c>
      <c r="W45" s="117" t="s">
        <v>344</v>
      </c>
      <c r="X45" s="117" t="s">
        <v>344</v>
      </c>
    </row>
    <row r="46" spans="1:24" ht="15.75" customHeight="1" x14ac:dyDescent="0.2">
      <c r="A46" s="30" t="s">
        <v>212</v>
      </c>
      <c r="B46" s="17" t="s">
        <v>47</v>
      </c>
      <c r="C46" s="17" t="s">
        <v>11</v>
      </c>
      <c r="D46" s="29">
        <v>0.27200000000000002</v>
      </c>
      <c r="E46" s="29">
        <v>0.26600000000000001</v>
      </c>
      <c r="F46" s="29">
        <v>0.24399999999999999</v>
      </c>
      <c r="G46" s="29">
        <v>0.26800000000000002</v>
      </c>
      <c r="H46" s="29">
        <v>0.252</v>
      </c>
      <c r="I46" s="29">
        <v>0.26100000000000001</v>
      </c>
      <c r="J46" s="29">
        <v>0.23300000000000001</v>
      </c>
      <c r="K46" s="29">
        <v>0.22699999999999998</v>
      </c>
      <c r="L46" s="29">
        <v>0.23699999999999999</v>
      </c>
      <c r="M46" s="29">
        <v>0.26200000000000001</v>
      </c>
      <c r="N46" s="29">
        <v>0.249</v>
      </c>
      <c r="O46" s="29">
        <v>0.26200000000000001</v>
      </c>
      <c r="P46" s="29">
        <v>0.254</v>
      </c>
      <c r="Q46" s="29">
        <v>0.22699999999999998</v>
      </c>
      <c r="R46" s="29">
        <v>0.22600000000000001</v>
      </c>
      <c r="S46" s="29">
        <v>0.27800000000000002</v>
      </c>
      <c r="T46" s="29">
        <v>0.28499999999999998</v>
      </c>
      <c r="U46" s="65">
        <v>0.215</v>
      </c>
      <c r="V46" s="65">
        <v>0.21600000000000003</v>
      </c>
      <c r="W46" s="117" t="s">
        <v>344</v>
      </c>
      <c r="X46" s="117" t="s">
        <v>344</v>
      </c>
    </row>
    <row r="47" spans="1:24" ht="15.75" customHeight="1" x14ac:dyDescent="0.2">
      <c r="A47" s="30" t="s">
        <v>212</v>
      </c>
      <c r="B47" s="17" t="s">
        <v>47</v>
      </c>
      <c r="C47" s="17" t="s">
        <v>12</v>
      </c>
      <c r="D47" s="29">
        <v>0.193</v>
      </c>
      <c r="E47" s="29">
        <v>0.187</v>
      </c>
      <c r="F47" s="29">
        <v>0.16500000000000001</v>
      </c>
      <c r="G47" s="29">
        <v>0.17399999999999999</v>
      </c>
      <c r="H47" s="29">
        <v>0.185</v>
      </c>
      <c r="I47" s="29">
        <v>0.17399999999999999</v>
      </c>
      <c r="J47" s="29">
        <v>0.20499999999999999</v>
      </c>
      <c r="K47" s="29">
        <v>0.19899999999999998</v>
      </c>
      <c r="L47" s="29">
        <v>0.21100000000000002</v>
      </c>
      <c r="M47" s="29">
        <v>0.23399999999999999</v>
      </c>
      <c r="N47" s="29">
        <v>0.2</v>
      </c>
      <c r="O47" s="29">
        <v>0.215</v>
      </c>
      <c r="P47" s="29">
        <v>0.21199999999999999</v>
      </c>
      <c r="Q47" s="29">
        <v>0.18899999999999997</v>
      </c>
      <c r="R47" s="29">
        <v>0.182</v>
      </c>
      <c r="S47" s="29">
        <v>0.17699999999999999</v>
      </c>
      <c r="T47" s="29">
        <v>0.21100000000000002</v>
      </c>
      <c r="U47" s="65">
        <v>0.17300000000000001</v>
      </c>
      <c r="V47" s="65">
        <v>0.191</v>
      </c>
      <c r="W47" s="117" t="s">
        <v>344</v>
      </c>
      <c r="X47" s="117" t="s">
        <v>344</v>
      </c>
    </row>
    <row r="48" spans="1:24" ht="15.75" customHeight="1" x14ac:dyDescent="0.2">
      <c r="A48" s="30" t="s">
        <v>212</v>
      </c>
      <c r="B48" s="17" t="s">
        <v>47</v>
      </c>
      <c r="C48" s="17" t="s">
        <v>13</v>
      </c>
      <c r="D48" s="29">
        <v>0.21600000000000003</v>
      </c>
      <c r="E48" s="29">
        <v>0.22</v>
      </c>
      <c r="F48" s="29">
        <v>0.20300000000000001</v>
      </c>
      <c r="G48" s="29">
        <v>0.19800000000000001</v>
      </c>
      <c r="H48" s="29">
        <v>0.17300000000000001</v>
      </c>
      <c r="I48" s="29">
        <v>0.18</v>
      </c>
      <c r="J48" s="29">
        <v>0.17600000000000002</v>
      </c>
      <c r="K48" s="29">
        <v>0.18100000000000002</v>
      </c>
      <c r="L48" s="29">
        <v>0.18899999999999997</v>
      </c>
      <c r="M48" s="29">
        <v>0.17</v>
      </c>
      <c r="N48" s="29">
        <v>0.188</v>
      </c>
      <c r="O48" s="29">
        <v>0.23399999999999999</v>
      </c>
      <c r="P48" s="29">
        <v>0.20699999999999999</v>
      </c>
      <c r="Q48" s="29">
        <v>0.21199999999999999</v>
      </c>
      <c r="R48" s="29">
        <v>0.22899999999999998</v>
      </c>
      <c r="S48" s="29">
        <v>0.221</v>
      </c>
      <c r="T48" s="29">
        <v>0.222</v>
      </c>
      <c r="U48" s="65">
        <v>0.247</v>
      </c>
      <c r="V48" s="65">
        <v>0.19600000000000001</v>
      </c>
      <c r="W48" s="117" t="s">
        <v>344</v>
      </c>
      <c r="X48" s="117" t="s">
        <v>344</v>
      </c>
    </row>
    <row r="49" spans="1:24" ht="15.75" customHeight="1" x14ac:dyDescent="0.2">
      <c r="A49" s="30" t="s">
        <v>212</v>
      </c>
      <c r="B49" s="17" t="s">
        <v>47</v>
      </c>
      <c r="C49" s="17" t="s">
        <v>7</v>
      </c>
      <c r="D49" s="29">
        <v>0.18</v>
      </c>
      <c r="E49" s="29">
        <v>0.17600000000000002</v>
      </c>
      <c r="F49" s="29">
        <v>0.17899999999999999</v>
      </c>
      <c r="G49" s="29">
        <v>0.19399999999999998</v>
      </c>
      <c r="H49" s="29">
        <v>0.17899999999999999</v>
      </c>
      <c r="I49" s="29">
        <v>0.214</v>
      </c>
      <c r="J49" s="29">
        <v>0.28399999999999997</v>
      </c>
      <c r="K49" s="29">
        <v>0.30399999999999999</v>
      </c>
      <c r="L49" s="29">
        <v>0.222</v>
      </c>
      <c r="M49" s="29">
        <v>0.21600000000000003</v>
      </c>
      <c r="N49" s="29">
        <v>0.18100000000000002</v>
      </c>
      <c r="O49" s="29">
        <v>0.185</v>
      </c>
      <c r="P49" s="29">
        <v>0.187</v>
      </c>
      <c r="Q49" s="29">
        <v>0.16300000000000001</v>
      </c>
      <c r="R49" s="29">
        <v>0.19600000000000001</v>
      </c>
      <c r="S49" s="29">
        <v>0.16699999999999998</v>
      </c>
      <c r="T49" s="29">
        <v>0.156</v>
      </c>
      <c r="U49" s="65">
        <v>0.17600000000000002</v>
      </c>
      <c r="V49" s="65">
        <v>0.159</v>
      </c>
      <c r="W49" s="117" t="s">
        <v>344</v>
      </c>
      <c r="X49" s="117" t="s">
        <v>344</v>
      </c>
    </row>
    <row r="50" spans="1:24" ht="15.75" customHeight="1" x14ac:dyDescent="0.2">
      <c r="A50" s="30" t="s">
        <v>212</v>
      </c>
      <c r="B50" s="17" t="s">
        <v>47</v>
      </c>
      <c r="C50" s="17" t="s">
        <v>14</v>
      </c>
      <c r="D50" s="29">
        <v>0.28000000000000003</v>
      </c>
      <c r="E50" s="29">
        <v>0.255</v>
      </c>
      <c r="F50" s="29">
        <v>0.25</v>
      </c>
      <c r="G50" s="29">
        <v>0.26</v>
      </c>
      <c r="H50" s="29">
        <v>0.25</v>
      </c>
      <c r="I50" s="29">
        <v>0.26600000000000001</v>
      </c>
      <c r="J50" s="29">
        <v>0.27500000000000002</v>
      </c>
      <c r="K50" s="29">
        <v>0.29199999999999998</v>
      </c>
      <c r="L50" s="29">
        <v>0.28600000000000003</v>
      </c>
      <c r="M50" s="29">
        <v>0.29399999999999998</v>
      </c>
      <c r="N50" s="29">
        <v>0.24199999999999999</v>
      </c>
      <c r="O50" s="29">
        <v>0.28399999999999997</v>
      </c>
      <c r="P50" s="29">
        <v>0.28000000000000003</v>
      </c>
      <c r="Q50" s="29">
        <v>0.26300000000000001</v>
      </c>
      <c r="R50" s="29">
        <v>0.254</v>
      </c>
      <c r="S50" s="29">
        <v>0.251</v>
      </c>
      <c r="T50" s="29">
        <v>0.28699999999999998</v>
      </c>
      <c r="U50" s="65">
        <v>0.30399999999999999</v>
      </c>
      <c r="V50" s="65">
        <v>0.252</v>
      </c>
      <c r="W50" s="117" t="s">
        <v>344</v>
      </c>
      <c r="X50" s="117" t="s">
        <v>344</v>
      </c>
    </row>
    <row r="51" spans="1:24" ht="15.75" customHeight="1" x14ac:dyDescent="0.2">
      <c r="A51" s="30" t="s">
        <v>212</v>
      </c>
      <c r="B51" s="17" t="s">
        <v>47</v>
      </c>
      <c r="C51" s="17" t="s">
        <v>31</v>
      </c>
      <c r="D51" s="29">
        <v>0.26200000000000001</v>
      </c>
      <c r="E51" s="29">
        <v>0.25700000000000001</v>
      </c>
      <c r="F51" s="29">
        <v>0.23699999999999999</v>
      </c>
      <c r="G51" s="29">
        <v>0.24199999999999999</v>
      </c>
      <c r="H51" s="29">
        <v>0.25800000000000001</v>
      </c>
      <c r="I51" s="29">
        <v>0.21199999999999999</v>
      </c>
      <c r="J51" s="29">
        <v>0.22</v>
      </c>
      <c r="K51" s="29">
        <v>0.23399999999999999</v>
      </c>
      <c r="L51" s="29">
        <v>0.20399999999999999</v>
      </c>
      <c r="M51" s="29">
        <v>0.215</v>
      </c>
      <c r="N51" s="29">
        <v>0.23300000000000001</v>
      </c>
      <c r="O51" s="29">
        <v>0.23100000000000001</v>
      </c>
      <c r="P51" s="29">
        <v>0.223</v>
      </c>
      <c r="Q51" s="29">
        <v>0.223</v>
      </c>
      <c r="R51" s="29">
        <v>0.22399999999999998</v>
      </c>
      <c r="S51" s="29">
        <v>0.21899999999999997</v>
      </c>
      <c r="T51" s="29">
        <v>0.255</v>
      </c>
      <c r="U51" s="65">
        <v>0.28899999999999998</v>
      </c>
      <c r="V51" s="65">
        <v>0.29899999999999999</v>
      </c>
      <c r="W51" s="117" t="s">
        <v>344</v>
      </c>
      <c r="X51" s="117" t="s">
        <v>344</v>
      </c>
    </row>
    <row r="52" spans="1:24" ht="15.75" customHeight="1" x14ac:dyDescent="0.2">
      <c r="A52" s="30" t="s">
        <v>212</v>
      </c>
      <c r="B52" s="17" t="s">
        <v>47</v>
      </c>
      <c r="C52" s="17" t="s">
        <v>15</v>
      </c>
      <c r="D52" s="29">
        <v>0.153</v>
      </c>
      <c r="E52" s="29">
        <v>0.155</v>
      </c>
      <c r="F52" s="29">
        <v>0.18100000000000002</v>
      </c>
      <c r="G52" s="29">
        <v>0.14000000000000001</v>
      </c>
      <c r="H52" s="29">
        <v>0.16200000000000001</v>
      </c>
      <c r="I52" s="29">
        <v>0.12300000000000001</v>
      </c>
      <c r="J52" s="29">
        <v>0.185</v>
      </c>
      <c r="K52" s="29">
        <v>0.158</v>
      </c>
      <c r="L52" s="29">
        <v>0.14099999999999999</v>
      </c>
      <c r="M52" s="29">
        <v>0.17300000000000001</v>
      </c>
      <c r="N52" s="29">
        <v>8.4000000000000005E-2</v>
      </c>
      <c r="O52" s="29">
        <v>0.11</v>
      </c>
      <c r="P52" s="29">
        <v>0.11900000000000001</v>
      </c>
      <c r="Q52" s="29">
        <v>0.11699999999999999</v>
      </c>
      <c r="R52" s="29">
        <v>0.125</v>
      </c>
      <c r="S52" s="29">
        <v>0.109</v>
      </c>
      <c r="T52" s="29">
        <v>0.13100000000000001</v>
      </c>
      <c r="U52" s="65">
        <v>0.19399999999999998</v>
      </c>
      <c r="V52" s="65">
        <v>0.125</v>
      </c>
      <c r="W52" s="117" t="s">
        <v>344</v>
      </c>
      <c r="X52" s="117" t="s">
        <v>344</v>
      </c>
    </row>
    <row r="53" spans="1:24" ht="15.75" customHeight="1" x14ac:dyDescent="0.2">
      <c r="A53" s="30" t="s">
        <v>212</v>
      </c>
      <c r="B53" s="17" t="s">
        <v>47</v>
      </c>
      <c r="C53" s="17" t="s">
        <v>16</v>
      </c>
      <c r="D53" s="29">
        <v>0.217</v>
      </c>
      <c r="E53" s="29">
        <v>0.223</v>
      </c>
      <c r="F53" s="29">
        <v>0.19800000000000001</v>
      </c>
      <c r="G53" s="29">
        <v>0.215</v>
      </c>
      <c r="H53" s="29">
        <v>0.20600000000000002</v>
      </c>
      <c r="I53" s="29">
        <v>0.214</v>
      </c>
      <c r="J53" s="29">
        <v>0.218</v>
      </c>
      <c r="K53" s="29">
        <v>0.20800000000000002</v>
      </c>
      <c r="L53" s="29">
        <v>0.192</v>
      </c>
      <c r="M53" s="29">
        <v>0.193</v>
      </c>
      <c r="N53" s="29">
        <v>0.19699999999999998</v>
      </c>
      <c r="O53" s="29">
        <v>0.17100000000000001</v>
      </c>
      <c r="P53" s="29">
        <v>0.19699999999999998</v>
      </c>
      <c r="Q53" s="29">
        <v>0.20300000000000001</v>
      </c>
      <c r="R53" s="29">
        <v>0.191</v>
      </c>
      <c r="S53" s="29">
        <v>0.14699999999999999</v>
      </c>
      <c r="T53" s="29">
        <v>0.20399999999999999</v>
      </c>
      <c r="U53" s="65">
        <v>0.19600000000000001</v>
      </c>
      <c r="V53" s="65">
        <v>0.21299999999999999</v>
      </c>
      <c r="W53" s="117" t="s">
        <v>344</v>
      </c>
      <c r="X53" s="117" t="s">
        <v>344</v>
      </c>
    </row>
    <row r="54" spans="1:24" ht="15.75" customHeight="1" x14ac:dyDescent="0.2">
      <c r="A54" s="30" t="s">
        <v>212</v>
      </c>
      <c r="B54" s="17" t="s">
        <v>47</v>
      </c>
      <c r="C54" s="17" t="s">
        <v>26</v>
      </c>
      <c r="D54" s="29">
        <v>0.24</v>
      </c>
      <c r="E54" s="29">
        <v>0.23300000000000001</v>
      </c>
      <c r="F54" s="29">
        <v>0.22</v>
      </c>
      <c r="G54" s="29">
        <v>0.23399999999999999</v>
      </c>
      <c r="H54" s="29">
        <v>0.22</v>
      </c>
      <c r="I54" s="29">
        <v>0.21899999999999997</v>
      </c>
      <c r="J54" s="29">
        <v>0.24399999999999999</v>
      </c>
      <c r="K54" s="29">
        <v>0.25800000000000001</v>
      </c>
      <c r="L54" s="29">
        <v>0.215</v>
      </c>
      <c r="M54" s="29">
        <v>0.22899999999999998</v>
      </c>
      <c r="N54" s="29">
        <v>0.22399999999999998</v>
      </c>
      <c r="O54" s="29">
        <v>0.21899999999999997</v>
      </c>
      <c r="P54" s="29">
        <v>0.21100000000000002</v>
      </c>
      <c r="Q54" s="29">
        <v>0.20199999999999999</v>
      </c>
      <c r="R54" s="29">
        <v>0.20399999999999999</v>
      </c>
      <c r="S54" s="29">
        <v>0.19399999999999998</v>
      </c>
      <c r="T54" s="29">
        <v>0.192</v>
      </c>
      <c r="U54" s="65">
        <v>0.218</v>
      </c>
      <c r="V54" s="65">
        <v>0.25900000000000001</v>
      </c>
      <c r="W54" s="117" t="s">
        <v>344</v>
      </c>
      <c r="X54" s="117" t="s">
        <v>344</v>
      </c>
    </row>
    <row r="55" spans="1:24" ht="15.75" customHeight="1" x14ac:dyDescent="0.2">
      <c r="A55" s="30" t="s">
        <v>212</v>
      </c>
      <c r="B55" s="17" t="s">
        <v>47</v>
      </c>
      <c r="C55" s="17" t="s">
        <v>17</v>
      </c>
      <c r="D55" s="29">
        <v>0.20199999999999999</v>
      </c>
      <c r="E55" s="29">
        <v>0.20300000000000001</v>
      </c>
      <c r="F55" s="29">
        <v>0.19699999999999998</v>
      </c>
      <c r="G55" s="29">
        <v>0.18899999999999997</v>
      </c>
      <c r="H55" s="29">
        <v>0.18600000000000003</v>
      </c>
      <c r="I55" s="29">
        <v>0.193</v>
      </c>
      <c r="J55" s="29">
        <v>0.245</v>
      </c>
      <c r="K55" s="29">
        <v>0.22600000000000001</v>
      </c>
      <c r="L55" s="29">
        <v>0.22699999999999998</v>
      </c>
      <c r="M55" s="29">
        <v>0.222</v>
      </c>
      <c r="N55" s="29">
        <v>0.191</v>
      </c>
      <c r="O55" s="29">
        <v>0.20300000000000001</v>
      </c>
      <c r="P55" s="29">
        <v>0.21299999999999999</v>
      </c>
      <c r="Q55" s="29">
        <v>0.222</v>
      </c>
      <c r="R55" s="29">
        <v>0.23100000000000001</v>
      </c>
      <c r="S55" s="29">
        <v>0.21199999999999999</v>
      </c>
      <c r="T55" s="29">
        <v>0.19899999999999998</v>
      </c>
      <c r="U55" s="65">
        <v>0.25900000000000001</v>
      </c>
      <c r="V55" s="65">
        <v>0.152</v>
      </c>
      <c r="W55" s="117" t="s">
        <v>344</v>
      </c>
      <c r="X55" s="117" t="s">
        <v>344</v>
      </c>
    </row>
    <row r="56" spans="1:24" ht="15.75" customHeight="1" x14ac:dyDescent="0.2">
      <c r="A56" s="30" t="s">
        <v>212</v>
      </c>
      <c r="B56" s="17" t="s">
        <v>47</v>
      </c>
      <c r="C56" s="17" t="s">
        <v>18</v>
      </c>
      <c r="D56" s="29">
        <v>0.13699999999999998</v>
      </c>
      <c r="E56" s="29">
        <v>0.13600000000000001</v>
      </c>
      <c r="F56" s="29">
        <v>0.127</v>
      </c>
      <c r="G56" s="29">
        <v>0.122</v>
      </c>
      <c r="H56" s="29">
        <v>0.127</v>
      </c>
      <c r="I56" s="29">
        <v>0.11900000000000001</v>
      </c>
      <c r="J56" s="29">
        <v>0.12</v>
      </c>
      <c r="K56" s="29">
        <v>0.18</v>
      </c>
      <c r="L56" s="29">
        <v>0.191</v>
      </c>
      <c r="M56" s="29">
        <v>0.13900000000000001</v>
      </c>
      <c r="N56" s="29">
        <v>0.127</v>
      </c>
      <c r="O56" s="29">
        <v>0.126</v>
      </c>
      <c r="P56" s="29">
        <v>9.3000000000000013E-2</v>
      </c>
      <c r="Q56" s="29">
        <v>0.14599999999999999</v>
      </c>
      <c r="R56" s="29">
        <v>0.183</v>
      </c>
      <c r="S56" s="29">
        <v>0.192</v>
      </c>
      <c r="T56" s="29">
        <v>0.254</v>
      </c>
      <c r="U56" s="65">
        <v>0.26300000000000001</v>
      </c>
      <c r="V56" s="65">
        <v>0.23899999999999999</v>
      </c>
      <c r="W56" s="117" t="s">
        <v>344</v>
      </c>
      <c r="X56" s="117" t="s">
        <v>344</v>
      </c>
    </row>
    <row r="57" spans="1:24" ht="15.75" customHeight="1" x14ac:dyDescent="0.2">
      <c r="A57" s="30" t="s">
        <v>212</v>
      </c>
      <c r="B57" s="17" t="s">
        <v>47</v>
      </c>
      <c r="C57" s="17" t="s">
        <v>19</v>
      </c>
      <c r="D57" s="29">
        <v>0.23100000000000001</v>
      </c>
      <c r="E57" s="29">
        <v>0.24399999999999999</v>
      </c>
      <c r="F57" s="29">
        <v>0.23699999999999999</v>
      </c>
      <c r="G57" s="29">
        <v>0.21899999999999997</v>
      </c>
      <c r="H57" s="29">
        <v>0.23600000000000002</v>
      </c>
      <c r="I57" s="29">
        <v>0.23199999999999998</v>
      </c>
      <c r="J57" s="29">
        <v>0.251</v>
      </c>
      <c r="K57" s="29">
        <v>0.25700000000000001</v>
      </c>
      <c r="L57" s="29">
        <v>0.21600000000000003</v>
      </c>
      <c r="M57" s="29">
        <v>0.22699999999999998</v>
      </c>
      <c r="N57" s="29">
        <v>0.22600000000000001</v>
      </c>
      <c r="O57" s="29">
        <v>0.221</v>
      </c>
      <c r="P57" s="29">
        <v>0.249</v>
      </c>
      <c r="Q57" s="29">
        <v>0.22899999999999998</v>
      </c>
      <c r="R57" s="29">
        <v>0.27600000000000002</v>
      </c>
      <c r="S57" s="29">
        <v>0.23300000000000001</v>
      </c>
      <c r="T57" s="29">
        <v>0.247</v>
      </c>
      <c r="U57" s="65">
        <v>0.27200000000000002</v>
      </c>
      <c r="V57" s="65">
        <v>0.27699999999999997</v>
      </c>
      <c r="W57" s="117" t="s">
        <v>344</v>
      </c>
      <c r="X57" s="117" t="s">
        <v>344</v>
      </c>
    </row>
    <row r="58" spans="1:24" ht="15.75" customHeight="1" x14ac:dyDescent="0.2">
      <c r="A58" s="30" t="s">
        <v>212</v>
      </c>
      <c r="B58" s="17" t="s">
        <v>47</v>
      </c>
      <c r="C58" s="17" t="s">
        <v>20</v>
      </c>
      <c r="D58" s="29">
        <v>0.23499999999999999</v>
      </c>
      <c r="E58" s="29">
        <v>0.24</v>
      </c>
      <c r="F58" s="29">
        <v>0.22</v>
      </c>
      <c r="G58" s="29">
        <v>0.20800000000000002</v>
      </c>
      <c r="H58" s="29">
        <v>0.23499999999999999</v>
      </c>
      <c r="I58" s="29">
        <v>0.22899999999999998</v>
      </c>
      <c r="J58" s="29">
        <v>0.23300000000000001</v>
      </c>
      <c r="K58" s="29">
        <v>0.22600000000000001</v>
      </c>
      <c r="L58" s="29">
        <v>0.20699999999999999</v>
      </c>
      <c r="M58" s="29">
        <v>0.21299999999999999</v>
      </c>
      <c r="N58" s="29">
        <v>0.217</v>
      </c>
      <c r="O58" s="29">
        <v>0.20199999999999999</v>
      </c>
      <c r="P58" s="29">
        <v>0.21</v>
      </c>
      <c r="Q58" s="29">
        <v>0.22399999999999998</v>
      </c>
      <c r="R58" s="29">
        <v>0.21</v>
      </c>
      <c r="S58" s="29">
        <v>0.218</v>
      </c>
      <c r="T58" s="29">
        <v>0.20100000000000001</v>
      </c>
      <c r="U58" s="65">
        <v>0.19399999999999998</v>
      </c>
      <c r="V58" s="65">
        <v>0.17600000000000002</v>
      </c>
      <c r="W58" s="117" t="s">
        <v>344</v>
      </c>
      <c r="X58" s="117" t="s">
        <v>344</v>
      </c>
    </row>
    <row r="59" spans="1:24" ht="15.75" customHeight="1" x14ac:dyDescent="0.2">
      <c r="A59" s="30" t="s">
        <v>212</v>
      </c>
      <c r="B59" s="17" t="s">
        <v>47</v>
      </c>
      <c r="C59" s="17" t="s">
        <v>21</v>
      </c>
      <c r="D59" s="29">
        <v>0.21600000000000003</v>
      </c>
      <c r="E59" s="29">
        <v>0.23399999999999999</v>
      </c>
      <c r="F59" s="29">
        <v>0.22800000000000001</v>
      </c>
      <c r="G59" s="29">
        <v>0.214</v>
      </c>
      <c r="H59" s="29">
        <v>0.21600000000000003</v>
      </c>
      <c r="I59" s="29">
        <v>0.20199999999999999</v>
      </c>
      <c r="J59" s="29">
        <v>0.24100000000000002</v>
      </c>
      <c r="K59" s="29">
        <v>0.24399999999999999</v>
      </c>
      <c r="L59" s="29">
        <v>0.25900000000000001</v>
      </c>
      <c r="M59" s="29">
        <v>0.22399999999999998</v>
      </c>
      <c r="N59" s="29">
        <v>0.21100000000000002</v>
      </c>
      <c r="O59" s="29">
        <v>0.25900000000000001</v>
      </c>
      <c r="P59" s="29">
        <v>0.23800000000000002</v>
      </c>
      <c r="Q59" s="29">
        <v>0.24399999999999999</v>
      </c>
      <c r="R59" s="29">
        <v>0.26200000000000001</v>
      </c>
      <c r="S59" s="29">
        <v>0.23699999999999999</v>
      </c>
      <c r="T59" s="29">
        <v>0.23</v>
      </c>
      <c r="U59" s="65">
        <v>0.23499999999999999</v>
      </c>
      <c r="V59" s="65">
        <v>0.20600000000000002</v>
      </c>
      <c r="W59" s="117" t="s">
        <v>344</v>
      </c>
      <c r="X59" s="117" t="s">
        <v>344</v>
      </c>
    </row>
    <row r="60" spans="1:24" ht="15.75" customHeight="1" x14ac:dyDescent="0.2">
      <c r="A60" s="30" t="s">
        <v>212</v>
      </c>
      <c r="B60" s="17" t="s">
        <v>47</v>
      </c>
      <c r="C60" s="17" t="s">
        <v>27</v>
      </c>
      <c r="D60" s="29">
        <v>0.25600000000000001</v>
      </c>
      <c r="E60" s="29">
        <v>0.26</v>
      </c>
      <c r="F60" s="29">
        <v>0.23699999999999999</v>
      </c>
      <c r="G60" s="29">
        <v>0.23300000000000001</v>
      </c>
      <c r="H60" s="29">
        <v>0.25</v>
      </c>
      <c r="I60" s="29">
        <v>0.25800000000000001</v>
      </c>
      <c r="J60" s="29">
        <v>0.252</v>
      </c>
      <c r="K60" s="29">
        <v>0.23399999999999999</v>
      </c>
      <c r="L60" s="29">
        <v>0.24100000000000002</v>
      </c>
      <c r="M60" s="29">
        <v>0.27200000000000002</v>
      </c>
      <c r="N60" s="29">
        <v>0.26899999999999996</v>
      </c>
      <c r="O60" s="29">
        <v>0.26100000000000001</v>
      </c>
      <c r="P60" s="29">
        <v>0.247</v>
      </c>
      <c r="Q60" s="29">
        <v>0.24100000000000002</v>
      </c>
      <c r="R60" s="29">
        <v>0.245</v>
      </c>
      <c r="S60" s="29">
        <v>0.22699999999999998</v>
      </c>
      <c r="T60" s="29">
        <v>0.23199999999999998</v>
      </c>
      <c r="U60" s="65">
        <v>0.26400000000000001</v>
      </c>
      <c r="V60" s="65">
        <v>0.22</v>
      </c>
      <c r="W60" s="117" t="s">
        <v>344</v>
      </c>
      <c r="X60" s="117" t="s">
        <v>344</v>
      </c>
    </row>
    <row r="61" spans="1:24" ht="15.75" customHeight="1" x14ac:dyDescent="0.2">
      <c r="A61" s="30" t="s">
        <v>212</v>
      </c>
      <c r="B61" s="17" t="s">
        <v>47</v>
      </c>
      <c r="C61" s="17" t="s">
        <v>28</v>
      </c>
      <c r="D61" s="29">
        <v>0.2</v>
      </c>
      <c r="E61" s="29">
        <v>0.21600000000000003</v>
      </c>
      <c r="F61" s="29">
        <v>0.191</v>
      </c>
      <c r="G61" s="29">
        <v>0.20600000000000002</v>
      </c>
      <c r="H61" s="29">
        <v>0.2</v>
      </c>
      <c r="I61" s="29">
        <v>0.223</v>
      </c>
      <c r="J61" s="29">
        <v>0.21899999999999997</v>
      </c>
      <c r="K61" s="29">
        <v>0.215</v>
      </c>
      <c r="L61" s="29">
        <v>0.21600000000000003</v>
      </c>
      <c r="M61" s="29">
        <v>0.20800000000000002</v>
      </c>
      <c r="N61" s="29">
        <v>0.18100000000000002</v>
      </c>
      <c r="O61" s="29">
        <v>0.21299999999999999</v>
      </c>
      <c r="P61" s="29">
        <v>0.21600000000000003</v>
      </c>
      <c r="Q61" s="29">
        <v>0.19500000000000001</v>
      </c>
      <c r="R61" s="29">
        <v>0.20800000000000002</v>
      </c>
      <c r="S61" s="29">
        <v>0.20300000000000001</v>
      </c>
      <c r="T61" s="29">
        <v>0.23</v>
      </c>
      <c r="U61" s="65">
        <v>0.23899999999999999</v>
      </c>
      <c r="V61" s="65">
        <v>0.214</v>
      </c>
      <c r="W61" s="117" t="s">
        <v>344</v>
      </c>
      <c r="X61" s="117" t="s">
        <v>344</v>
      </c>
    </row>
    <row r="62" spans="1:24" ht="31.5" customHeight="1" x14ac:dyDescent="0.2">
      <c r="A62" s="30" t="s">
        <v>212</v>
      </c>
      <c r="B62" s="17" t="s">
        <v>182</v>
      </c>
      <c r="C62" s="17" t="s">
        <v>54</v>
      </c>
      <c r="D62" s="29" t="s">
        <v>190</v>
      </c>
      <c r="E62" s="29" t="s">
        <v>190</v>
      </c>
      <c r="F62" s="29" t="s">
        <v>190</v>
      </c>
      <c r="G62" s="29" t="s">
        <v>190</v>
      </c>
      <c r="H62" s="29" t="s">
        <v>190</v>
      </c>
      <c r="I62" s="29" t="s">
        <v>190</v>
      </c>
      <c r="J62" s="29" t="s">
        <v>190</v>
      </c>
      <c r="K62" s="29" t="s">
        <v>190</v>
      </c>
      <c r="L62" s="29">
        <v>0.17199999999999999</v>
      </c>
      <c r="M62" s="29">
        <v>0.185</v>
      </c>
      <c r="N62" s="29">
        <v>0.188</v>
      </c>
      <c r="O62" s="29">
        <v>0.187</v>
      </c>
      <c r="P62" s="29">
        <v>0.21199999999999999</v>
      </c>
      <c r="Q62" s="29">
        <v>0.182</v>
      </c>
      <c r="R62" s="29">
        <v>0.182</v>
      </c>
      <c r="S62" s="29">
        <v>0.17699999999999999</v>
      </c>
      <c r="T62" s="29">
        <v>0.21299999999999999</v>
      </c>
      <c r="U62" s="65">
        <v>0.19600000000000001</v>
      </c>
      <c r="V62" s="65">
        <v>0.21100000000000002</v>
      </c>
      <c r="W62" s="117" t="s">
        <v>344</v>
      </c>
      <c r="X62" s="117" t="s">
        <v>344</v>
      </c>
    </row>
    <row r="63" spans="1:24" ht="15.75" customHeight="1" x14ac:dyDescent="0.2">
      <c r="A63" s="30" t="s">
        <v>212</v>
      </c>
      <c r="B63" s="17" t="s">
        <v>182</v>
      </c>
      <c r="C63" s="17" t="s">
        <v>55</v>
      </c>
      <c r="D63" s="29" t="s">
        <v>190</v>
      </c>
      <c r="E63" s="29" t="s">
        <v>190</v>
      </c>
      <c r="F63" s="29" t="s">
        <v>190</v>
      </c>
      <c r="G63" s="29" t="s">
        <v>190</v>
      </c>
      <c r="H63" s="29" t="s">
        <v>190</v>
      </c>
      <c r="I63" s="29" t="s">
        <v>190</v>
      </c>
      <c r="J63" s="29" t="s">
        <v>190</v>
      </c>
      <c r="K63" s="29" t="s">
        <v>190</v>
      </c>
      <c r="L63" s="29">
        <v>0.20600000000000002</v>
      </c>
      <c r="M63" s="29">
        <v>0.29399999999999998</v>
      </c>
      <c r="N63" s="29">
        <v>0.20499999999999999</v>
      </c>
      <c r="O63" s="29">
        <v>0.193</v>
      </c>
      <c r="P63" s="29">
        <v>0.19600000000000001</v>
      </c>
      <c r="Q63" s="29">
        <v>0.24399999999999999</v>
      </c>
      <c r="R63" s="29">
        <v>0.156</v>
      </c>
      <c r="S63" s="29">
        <v>0.249</v>
      </c>
      <c r="T63" s="29">
        <v>0.309</v>
      </c>
      <c r="U63" s="65">
        <v>0.114</v>
      </c>
      <c r="V63" s="65">
        <v>0.39700000000000002</v>
      </c>
      <c r="W63" s="117" t="s">
        <v>344</v>
      </c>
      <c r="X63" s="117" t="s">
        <v>344</v>
      </c>
    </row>
    <row r="64" spans="1:24" ht="15.75" customHeight="1" x14ac:dyDescent="0.2">
      <c r="A64" s="30" t="s">
        <v>212</v>
      </c>
      <c r="B64" s="17" t="s">
        <v>182</v>
      </c>
      <c r="C64" s="17" t="s">
        <v>56</v>
      </c>
      <c r="D64" s="29" t="s">
        <v>190</v>
      </c>
      <c r="E64" s="29" t="s">
        <v>190</v>
      </c>
      <c r="F64" s="29" t="s">
        <v>190</v>
      </c>
      <c r="G64" s="29" t="s">
        <v>190</v>
      </c>
      <c r="H64" s="29" t="s">
        <v>190</v>
      </c>
      <c r="I64" s="29" t="s">
        <v>190</v>
      </c>
      <c r="J64" s="29" t="s">
        <v>190</v>
      </c>
      <c r="K64" s="29" t="s">
        <v>190</v>
      </c>
      <c r="L64" s="29">
        <v>0.21100000000000002</v>
      </c>
      <c r="M64" s="29">
        <v>0.23699999999999999</v>
      </c>
      <c r="N64" s="29">
        <v>0.28399999999999997</v>
      </c>
      <c r="O64" s="29">
        <v>0.21</v>
      </c>
      <c r="P64" s="29">
        <v>0.193</v>
      </c>
      <c r="Q64" s="29">
        <v>0.217</v>
      </c>
      <c r="R64" s="29">
        <v>0.23199999999999998</v>
      </c>
      <c r="S64" s="29">
        <v>0.27200000000000002</v>
      </c>
      <c r="T64" s="29">
        <v>0.28600000000000003</v>
      </c>
      <c r="U64" s="65">
        <v>0.251</v>
      </c>
      <c r="V64" s="65">
        <v>0.27100000000000002</v>
      </c>
      <c r="W64" s="117" t="s">
        <v>344</v>
      </c>
      <c r="X64" s="117" t="s">
        <v>344</v>
      </c>
    </row>
    <row r="65" spans="1:24" ht="15.75" customHeight="1" x14ac:dyDescent="0.2">
      <c r="A65" s="30" t="s">
        <v>212</v>
      </c>
      <c r="B65" s="17" t="s">
        <v>182</v>
      </c>
      <c r="C65" s="17" t="s">
        <v>57</v>
      </c>
      <c r="D65" s="29" t="s">
        <v>190</v>
      </c>
      <c r="E65" s="29" t="s">
        <v>190</v>
      </c>
      <c r="F65" s="29" t="s">
        <v>190</v>
      </c>
      <c r="G65" s="29" t="s">
        <v>190</v>
      </c>
      <c r="H65" s="29" t="s">
        <v>190</v>
      </c>
      <c r="I65" s="29" t="s">
        <v>190</v>
      </c>
      <c r="J65" s="29" t="s">
        <v>190</v>
      </c>
      <c r="K65" s="29" t="s">
        <v>190</v>
      </c>
      <c r="L65" s="29">
        <v>0.20899999999999999</v>
      </c>
      <c r="M65" s="29">
        <v>0.26500000000000001</v>
      </c>
      <c r="N65" s="29">
        <v>0.18</v>
      </c>
      <c r="O65" s="29">
        <v>0.1</v>
      </c>
      <c r="P65" s="29">
        <v>7.0000000000000007E-2</v>
      </c>
      <c r="Q65" s="29">
        <v>0.192</v>
      </c>
      <c r="R65" s="29">
        <v>0.255</v>
      </c>
      <c r="S65" s="29">
        <v>6.2E-2</v>
      </c>
      <c r="T65" s="29">
        <v>0.127</v>
      </c>
      <c r="U65" s="65">
        <v>0.32100000000000001</v>
      </c>
      <c r="V65" s="65">
        <v>0.35</v>
      </c>
      <c r="W65" s="117" t="s">
        <v>344</v>
      </c>
      <c r="X65" s="117" t="s">
        <v>344</v>
      </c>
    </row>
    <row r="66" spans="1:24" ht="15.75" customHeight="1" x14ac:dyDescent="0.2">
      <c r="A66" s="30" t="s">
        <v>212</v>
      </c>
      <c r="B66" s="17" t="s">
        <v>182</v>
      </c>
      <c r="C66" s="17" t="s">
        <v>58</v>
      </c>
      <c r="D66" s="29" t="s">
        <v>190</v>
      </c>
      <c r="E66" s="29" t="s">
        <v>190</v>
      </c>
      <c r="F66" s="29" t="s">
        <v>190</v>
      </c>
      <c r="G66" s="29" t="s">
        <v>190</v>
      </c>
      <c r="H66" s="29" t="s">
        <v>190</v>
      </c>
      <c r="I66" s="29" t="s">
        <v>190</v>
      </c>
      <c r="J66" s="29" t="s">
        <v>190</v>
      </c>
      <c r="K66" s="29" t="s">
        <v>190</v>
      </c>
      <c r="L66" s="29">
        <v>0.22800000000000001</v>
      </c>
      <c r="M66" s="29">
        <v>0.22500000000000001</v>
      </c>
      <c r="N66" s="29">
        <v>0.22699999999999998</v>
      </c>
      <c r="O66" s="29">
        <v>0.23100000000000001</v>
      </c>
      <c r="P66" s="29">
        <v>0.25700000000000001</v>
      </c>
      <c r="Q66" s="29">
        <v>0.23399999999999999</v>
      </c>
      <c r="R66" s="29">
        <v>0.28199999999999997</v>
      </c>
      <c r="S66" s="29">
        <v>0.23600000000000002</v>
      </c>
      <c r="T66" s="29">
        <v>0.251</v>
      </c>
      <c r="U66" s="65">
        <v>0.25600000000000001</v>
      </c>
      <c r="V66" s="65">
        <v>0.25900000000000001</v>
      </c>
      <c r="W66" s="117" t="s">
        <v>344</v>
      </c>
      <c r="X66" s="117" t="s">
        <v>344</v>
      </c>
    </row>
    <row r="67" spans="1:24" ht="15.75" customHeight="1" x14ac:dyDescent="0.2">
      <c r="A67" s="30" t="s">
        <v>212</v>
      </c>
      <c r="B67" s="17" t="s">
        <v>182</v>
      </c>
      <c r="C67" s="17" t="s">
        <v>96</v>
      </c>
      <c r="D67" s="29" t="s">
        <v>190</v>
      </c>
      <c r="E67" s="29" t="s">
        <v>190</v>
      </c>
      <c r="F67" s="29" t="s">
        <v>190</v>
      </c>
      <c r="G67" s="29" t="s">
        <v>190</v>
      </c>
      <c r="H67" s="29" t="s">
        <v>190</v>
      </c>
      <c r="I67" s="29" t="s">
        <v>190</v>
      </c>
      <c r="J67" s="29" t="s">
        <v>190</v>
      </c>
      <c r="K67" s="29" t="s">
        <v>190</v>
      </c>
      <c r="L67" s="29">
        <v>0.28399999999999997</v>
      </c>
      <c r="M67" s="29">
        <v>0.187</v>
      </c>
      <c r="N67" s="29">
        <v>0.17100000000000001</v>
      </c>
      <c r="O67" s="29">
        <v>0.24399999999999999</v>
      </c>
      <c r="P67" s="29">
        <v>0.23699999999999999</v>
      </c>
      <c r="Q67" s="29">
        <v>0.20100000000000001</v>
      </c>
      <c r="R67" s="29">
        <v>0.248</v>
      </c>
      <c r="S67" s="29">
        <v>0.27800000000000002</v>
      </c>
      <c r="T67" s="29">
        <v>0.33500000000000002</v>
      </c>
      <c r="U67" s="65">
        <v>0.34299999999999997</v>
      </c>
      <c r="V67" s="65">
        <v>0.20699999999999999</v>
      </c>
      <c r="W67" s="117" t="s">
        <v>344</v>
      </c>
      <c r="X67" s="117" t="s">
        <v>344</v>
      </c>
    </row>
    <row r="68" spans="1:24" ht="15.75" customHeight="1" x14ac:dyDescent="0.2">
      <c r="A68" s="30" t="s">
        <v>212</v>
      </c>
      <c r="B68" s="17" t="s">
        <v>182</v>
      </c>
      <c r="C68" s="17" t="s">
        <v>59</v>
      </c>
      <c r="D68" s="29" t="s">
        <v>190</v>
      </c>
      <c r="E68" s="29" t="s">
        <v>190</v>
      </c>
      <c r="F68" s="29" t="s">
        <v>190</v>
      </c>
      <c r="G68" s="29" t="s">
        <v>190</v>
      </c>
      <c r="H68" s="29" t="s">
        <v>190</v>
      </c>
      <c r="I68" s="29" t="s">
        <v>190</v>
      </c>
      <c r="J68" s="29" t="s">
        <v>190</v>
      </c>
      <c r="K68" s="29" t="s">
        <v>190</v>
      </c>
      <c r="L68" s="29">
        <v>0.27899999999999997</v>
      </c>
      <c r="M68" s="29">
        <v>0.214</v>
      </c>
      <c r="N68" s="29" t="s">
        <v>208</v>
      </c>
      <c r="O68" s="29">
        <v>0.33100000000000002</v>
      </c>
      <c r="P68" s="29">
        <v>0.13800000000000001</v>
      </c>
      <c r="Q68" s="29" t="s">
        <v>208</v>
      </c>
      <c r="R68" s="29" t="s">
        <v>208</v>
      </c>
      <c r="S68" s="29">
        <v>0.45399999999999996</v>
      </c>
      <c r="T68" s="29" t="s">
        <v>208</v>
      </c>
      <c r="U68" s="65">
        <v>0.375</v>
      </c>
      <c r="V68" s="29" t="s">
        <v>208</v>
      </c>
      <c r="W68" s="117" t="s">
        <v>344</v>
      </c>
      <c r="X68" s="117" t="s">
        <v>344</v>
      </c>
    </row>
    <row r="69" spans="1:24" ht="15.75" customHeight="1" x14ac:dyDescent="0.2">
      <c r="A69" s="30" t="s">
        <v>212</v>
      </c>
      <c r="B69" s="17" t="s">
        <v>182</v>
      </c>
      <c r="C69" s="17" t="s">
        <v>60</v>
      </c>
      <c r="D69" s="29" t="s">
        <v>190</v>
      </c>
      <c r="E69" s="29" t="s">
        <v>190</v>
      </c>
      <c r="F69" s="29" t="s">
        <v>190</v>
      </c>
      <c r="G69" s="29" t="s">
        <v>190</v>
      </c>
      <c r="H69" s="29" t="s">
        <v>190</v>
      </c>
      <c r="I69" s="29" t="s">
        <v>190</v>
      </c>
      <c r="J69" s="29" t="s">
        <v>190</v>
      </c>
      <c r="K69" s="29" t="s">
        <v>190</v>
      </c>
      <c r="L69" s="29">
        <v>0.156</v>
      </c>
      <c r="M69" s="29">
        <v>0.19399999999999998</v>
      </c>
      <c r="N69" s="29">
        <v>0.13500000000000001</v>
      </c>
      <c r="O69" s="29">
        <v>0.19899999999999998</v>
      </c>
      <c r="P69" s="29">
        <v>0.20600000000000002</v>
      </c>
      <c r="Q69" s="29">
        <v>0.126</v>
      </c>
      <c r="R69" s="29">
        <v>0.155</v>
      </c>
      <c r="S69" s="29">
        <v>0.157</v>
      </c>
      <c r="T69" s="29">
        <v>0.19899999999999998</v>
      </c>
      <c r="U69" s="65">
        <v>0.14699999999999999</v>
      </c>
      <c r="V69" s="65">
        <v>0.25700000000000001</v>
      </c>
      <c r="W69" s="117" t="s">
        <v>344</v>
      </c>
      <c r="X69" s="117" t="s">
        <v>344</v>
      </c>
    </row>
    <row r="70" spans="1:24" ht="15.75" customHeight="1" x14ac:dyDescent="0.2">
      <c r="A70" s="30" t="s">
        <v>212</v>
      </c>
      <c r="B70" s="17" t="s">
        <v>182</v>
      </c>
      <c r="C70" s="17" t="s">
        <v>97</v>
      </c>
      <c r="D70" s="29" t="s">
        <v>190</v>
      </c>
      <c r="E70" s="29" t="s">
        <v>190</v>
      </c>
      <c r="F70" s="29" t="s">
        <v>190</v>
      </c>
      <c r="G70" s="29" t="s">
        <v>190</v>
      </c>
      <c r="H70" s="29" t="s">
        <v>190</v>
      </c>
      <c r="I70" s="29" t="s">
        <v>190</v>
      </c>
      <c r="J70" s="29" t="s">
        <v>190</v>
      </c>
      <c r="K70" s="29" t="s">
        <v>190</v>
      </c>
      <c r="L70" s="29">
        <v>0.21</v>
      </c>
      <c r="M70" s="29">
        <v>0.28300000000000003</v>
      </c>
      <c r="N70" s="29">
        <v>0.20100000000000001</v>
      </c>
      <c r="O70" s="29">
        <v>0.19600000000000001</v>
      </c>
      <c r="P70" s="29">
        <v>0.14099999999999999</v>
      </c>
      <c r="Q70" s="29">
        <v>0.14899999999999999</v>
      </c>
      <c r="R70" s="29">
        <v>0.27200000000000002</v>
      </c>
      <c r="S70" s="29">
        <v>0.19500000000000001</v>
      </c>
      <c r="T70" s="29">
        <v>0.23600000000000002</v>
      </c>
      <c r="U70" s="65">
        <v>0.313</v>
      </c>
      <c r="V70" s="65">
        <v>0.29199999999999998</v>
      </c>
      <c r="W70" s="117" t="s">
        <v>344</v>
      </c>
      <c r="X70" s="117" t="s">
        <v>344</v>
      </c>
    </row>
    <row r="71" spans="1:24" ht="15.75" customHeight="1" x14ac:dyDescent="0.2">
      <c r="A71" s="30" t="s">
        <v>212</v>
      </c>
      <c r="B71" s="17" t="s">
        <v>182</v>
      </c>
      <c r="C71" s="17" t="s">
        <v>61</v>
      </c>
      <c r="D71" s="29" t="s">
        <v>190</v>
      </c>
      <c r="E71" s="29" t="s">
        <v>190</v>
      </c>
      <c r="F71" s="29" t="s">
        <v>190</v>
      </c>
      <c r="G71" s="29" t="s">
        <v>190</v>
      </c>
      <c r="H71" s="29" t="s">
        <v>190</v>
      </c>
      <c r="I71" s="29" t="s">
        <v>190</v>
      </c>
      <c r="J71" s="29" t="s">
        <v>190</v>
      </c>
      <c r="K71" s="29" t="s">
        <v>190</v>
      </c>
      <c r="L71" s="29">
        <v>0.22800000000000001</v>
      </c>
      <c r="M71" s="29">
        <v>0.223</v>
      </c>
      <c r="N71" s="29">
        <v>0.26100000000000001</v>
      </c>
      <c r="O71" s="29">
        <v>0.249</v>
      </c>
      <c r="P71" s="29">
        <v>0.188</v>
      </c>
      <c r="Q71" s="29">
        <v>0.17499999999999999</v>
      </c>
      <c r="R71" s="29">
        <v>0.14899999999999999</v>
      </c>
      <c r="S71" s="29">
        <v>0.1</v>
      </c>
      <c r="T71" s="29">
        <v>0.23499999999999999</v>
      </c>
      <c r="U71" s="65">
        <v>0.22699999999999998</v>
      </c>
      <c r="V71" s="65">
        <v>0.2</v>
      </c>
      <c r="W71" s="117" t="s">
        <v>344</v>
      </c>
      <c r="X71" s="117" t="s">
        <v>344</v>
      </c>
    </row>
    <row r="72" spans="1:24" ht="15.75" customHeight="1" x14ac:dyDescent="0.2">
      <c r="A72" s="30" t="s">
        <v>212</v>
      </c>
      <c r="B72" s="17" t="s">
        <v>182</v>
      </c>
      <c r="C72" s="17" t="s">
        <v>62</v>
      </c>
      <c r="D72" s="29" t="s">
        <v>190</v>
      </c>
      <c r="E72" s="29" t="s">
        <v>190</v>
      </c>
      <c r="F72" s="29" t="s">
        <v>190</v>
      </c>
      <c r="G72" s="29" t="s">
        <v>190</v>
      </c>
      <c r="H72" s="29" t="s">
        <v>190</v>
      </c>
      <c r="I72" s="29" t="s">
        <v>190</v>
      </c>
      <c r="J72" s="29" t="s">
        <v>190</v>
      </c>
      <c r="K72" s="29" t="s">
        <v>190</v>
      </c>
      <c r="L72" s="29">
        <v>0.253</v>
      </c>
      <c r="M72" s="29">
        <v>0.25</v>
      </c>
      <c r="N72" s="29">
        <v>0.251</v>
      </c>
      <c r="O72" s="29">
        <v>0.23499999999999999</v>
      </c>
      <c r="P72" s="29">
        <v>0.215</v>
      </c>
      <c r="Q72" s="29">
        <v>0.22399999999999998</v>
      </c>
      <c r="R72" s="29">
        <v>0.217</v>
      </c>
      <c r="S72" s="29">
        <v>0.22699999999999998</v>
      </c>
      <c r="T72" s="29">
        <v>0.22</v>
      </c>
      <c r="U72" s="65">
        <v>0.21299999999999999</v>
      </c>
      <c r="V72" s="65">
        <v>0.21199999999999999</v>
      </c>
      <c r="W72" s="117" t="s">
        <v>344</v>
      </c>
      <c r="X72" s="117" t="s">
        <v>344</v>
      </c>
    </row>
    <row r="73" spans="1:24" ht="15.75" customHeight="1" x14ac:dyDescent="0.2">
      <c r="A73" s="30" t="s">
        <v>212</v>
      </c>
      <c r="B73" s="17" t="s">
        <v>182</v>
      </c>
      <c r="C73" s="17" t="s">
        <v>63</v>
      </c>
      <c r="D73" s="29" t="s">
        <v>190</v>
      </c>
      <c r="E73" s="29" t="s">
        <v>190</v>
      </c>
      <c r="F73" s="29" t="s">
        <v>190</v>
      </c>
      <c r="G73" s="29" t="s">
        <v>190</v>
      </c>
      <c r="H73" s="29" t="s">
        <v>190</v>
      </c>
      <c r="I73" s="29" t="s">
        <v>190</v>
      </c>
      <c r="J73" s="29" t="s">
        <v>190</v>
      </c>
      <c r="K73" s="29" t="s">
        <v>190</v>
      </c>
      <c r="L73" s="29">
        <v>0.25900000000000001</v>
      </c>
      <c r="M73" s="29">
        <v>0.24299999999999999</v>
      </c>
      <c r="N73" s="29">
        <v>0.247</v>
      </c>
      <c r="O73" s="29">
        <v>0.19699999999999998</v>
      </c>
      <c r="P73" s="29">
        <v>0.20800000000000002</v>
      </c>
      <c r="Q73" s="29">
        <v>0.222</v>
      </c>
      <c r="R73" s="29">
        <v>0.26200000000000001</v>
      </c>
      <c r="S73" s="29">
        <v>0.23499999999999999</v>
      </c>
      <c r="T73" s="29">
        <v>0.29299999999999998</v>
      </c>
      <c r="U73" s="65">
        <v>0.23199999999999998</v>
      </c>
      <c r="V73" s="65">
        <v>0.29699999999999999</v>
      </c>
      <c r="W73" s="117" t="s">
        <v>344</v>
      </c>
      <c r="X73" s="117" t="s">
        <v>344</v>
      </c>
    </row>
    <row r="74" spans="1:24" ht="15.75" customHeight="1" x14ac:dyDescent="0.2">
      <c r="A74" s="30" t="s">
        <v>212</v>
      </c>
      <c r="B74" s="17" t="s">
        <v>182</v>
      </c>
      <c r="C74" s="17" t="s">
        <v>64</v>
      </c>
      <c r="D74" s="29" t="s">
        <v>190</v>
      </c>
      <c r="E74" s="29" t="s">
        <v>190</v>
      </c>
      <c r="F74" s="29" t="s">
        <v>190</v>
      </c>
      <c r="G74" s="29" t="s">
        <v>190</v>
      </c>
      <c r="H74" s="29" t="s">
        <v>190</v>
      </c>
      <c r="I74" s="29" t="s">
        <v>190</v>
      </c>
      <c r="J74" s="29" t="s">
        <v>190</v>
      </c>
      <c r="K74" s="29" t="s">
        <v>190</v>
      </c>
      <c r="L74" s="29">
        <v>0.251</v>
      </c>
      <c r="M74" s="29">
        <v>0.253</v>
      </c>
      <c r="N74" s="29">
        <v>0.26600000000000001</v>
      </c>
      <c r="O74" s="29">
        <v>0.255</v>
      </c>
      <c r="P74" s="29">
        <v>0.24399999999999999</v>
      </c>
      <c r="Q74" s="29">
        <v>0.27399999999999997</v>
      </c>
      <c r="R74" s="29">
        <v>0.25</v>
      </c>
      <c r="S74" s="29">
        <v>0.24</v>
      </c>
      <c r="T74" s="29">
        <v>0.22600000000000001</v>
      </c>
      <c r="U74" s="65">
        <v>0.23600000000000002</v>
      </c>
      <c r="V74" s="65">
        <v>0.23600000000000002</v>
      </c>
      <c r="W74" s="117" t="s">
        <v>344</v>
      </c>
      <c r="X74" s="117" t="s">
        <v>344</v>
      </c>
    </row>
    <row r="75" spans="1:24" ht="15.75" customHeight="1" x14ac:dyDescent="0.2">
      <c r="A75" s="30" t="s">
        <v>212</v>
      </c>
      <c r="B75" s="17" t="s">
        <v>182</v>
      </c>
      <c r="C75" s="17" t="s">
        <v>65</v>
      </c>
      <c r="D75" s="29" t="s">
        <v>190</v>
      </c>
      <c r="E75" s="29" t="s">
        <v>190</v>
      </c>
      <c r="F75" s="29" t="s">
        <v>190</v>
      </c>
      <c r="G75" s="29" t="s">
        <v>190</v>
      </c>
      <c r="H75" s="29" t="s">
        <v>190</v>
      </c>
      <c r="I75" s="29" t="s">
        <v>190</v>
      </c>
      <c r="J75" s="29" t="s">
        <v>190</v>
      </c>
      <c r="K75" s="29" t="s">
        <v>190</v>
      </c>
      <c r="L75" s="29">
        <v>0.222</v>
      </c>
      <c r="M75" s="29">
        <v>0.23100000000000001</v>
      </c>
      <c r="N75" s="29">
        <v>0.21299999999999999</v>
      </c>
      <c r="O75" s="29">
        <v>0.215</v>
      </c>
      <c r="P75" s="29">
        <v>0.22500000000000001</v>
      </c>
      <c r="Q75" s="29">
        <v>0.218</v>
      </c>
      <c r="R75" s="29">
        <v>0.20699999999999999</v>
      </c>
      <c r="S75" s="29">
        <v>0.223</v>
      </c>
      <c r="T75" s="29">
        <v>0.25800000000000001</v>
      </c>
      <c r="U75" s="65">
        <v>0.245</v>
      </c>
      <c r="V75" s="65">
        <v>0.22800000000000001</v>
      </c>
      <c r="W75" s="117" t="s">
        <v>344</v>
      </c>
      <c r="X75" s="117" t="s">
        <v>344</v>
      </c>
    </row>
    <row r="76" spans="1:24" ht="15.75" customHeight="1" x14ac:dyDescent="0.2">
      <c r="A76" s="30" t="s">
        <v>212</v>
      </c>
      <c r="B76" s="17" t="s">
        <v>182</v>
      </c>
      <c r="C76" s="17" t="s">
        <v>66</v>
      </c>
      <c r="D76" s="29" t="s">
        <v>190</v>
      </c>
      <c r="E76" s="29" t="s">
        <v>190</v>
      </c>
      <c r="F76" s="29" t="s">
        <v>190</v>
      </c>
      <c r="G76" s="29" t="s">
        <v>190</v>
      </c>
      <c r="H76" s="29" t="s">
        <v>190</v>
      </c>
      <c r="I76" s="29" t="s">
        <v>190</v>
      </c>
      <c r="J76" s="29" t="s">
        <v>190</v>
      </c>
      <c r="K76" s="29" t="s">
        <v>190</v>
      </c>
      <c r="L76" s="29">
        <v>0.28600000000000003</v>
      </c>
      <c r="M76" s="29">
        <v>0.28999999999999998</v>
      </c>
      <c r="N76" s="29">
        <v>0.22699999999999998</v>
      </c>
      <c r="O76" s="29">
        <v>0.222</v>
      </c>
      <c r="P76" s="29">
        <v>0.24199999999999999</v>
      </c>
      <c r="Q76" s="29">
        <v>0.23699999999999999</v>
      </c>
      <c r="R76" s="29">
        <v>0.24299999999999999</v>
      </c>
      <c r="S76" s="29">
        <v>0.248</v>
      </c>
      <c r="T76" s="29">
        <v>0.28399999999999997</v>
      </c>
      <c r="U76" s="65">
        <v>0.32100000000000001</v>
      </c>
      <c r="V76" s="65">
        <v>0.33899999999999997</v>
      </c>
      <c r="W76" s="117" t="s">
        <v>344</v>
      </c>
      <c r="X76" s="117" t="s">
        <v>344</v>
      </c>
    </row>
    <row r="77" spans="1:24" ht="15.75" customHeight="1" x14ac:dyDescent="0.2">
      <c r="A77" s="30" t="s">
        <v>212</v>
      </c>
      <c r="B77" s="17" t="s">
        <v>182</v>
      </c>
      <c r="C77" s="17" t="s">
        <v>67</v>
      </c>
      <c r="D77" s="29" t="s">
        <v>190</v>
      </c>
      <c r="E77" s="29" t="s">
        <v>190</v>
      </c>
      <c r="F77" s="29" t="s">
        <v>190</v>
      </c>
      <c r="G77" s="29" t="s">
        <v>190</v>
      </c>
      <c r="H77" s="29" t="s">
        <v>190</v>
      </c>
      <c r="I77" s="29" t="s">
        <v>190</v>
      </c>
      <c r="J77" s="29" t="s">
        <v>190</v>
      </c>
      <c r="K77" s="29" t="s">
        <v>190</v>
      </c>
      <c r="L77" s="29">
        <v>0.22600000000000001</v>
      </c>
      <c r="M77" s="29">
        <v>0.22899999999999998</v>
      </c>
      <c r="N77" s="29">
        <v>0.22399999999999998</v>
      </c>
      <c r="O77" s="29">
        <v>0.22500000000000001</v>
      </c>
      <c r="P77" s="29">
        <v>0.24399999999999999</v>
      </c>
      <c r="Q77" s="29">
        <v>0.21600000000000003</v>
      </c>
      <c r="R77" s="29">
        <v>0.187</v>
      </c>
      <c r="S77" s="29">
        <v>0.21600000000000003</v>
      </c>
      <c r="T77" s="29">
        <v>0.223</v>
      </c>
      <c r="U77" s="65">
        <v>0.191</v>
      </c>
      <c r="V77" s="65">
        <v>0.2</v>
      </c>
      <c r="W77" s="117" t="s">
        <v>344</v>
      </c>
      <c r="X77" s="117" t="s">
        <v>344</v>
      </c>
    </row>
    <row r="78" spans="1:24" ht="15.75" customHeight="1" x14ac:dyDescent="0.2">
      <c r="A78" s="30" t="s">
        <v>212</v>
      </c>
      <c r="B78" s="17" t="s">
        <v>182</v>
      </c>
      <c r="C78" s="17" t="s">
        <v>68</v>
      </c>
      <c r="D78" s="29" t="s">
        <v>190</v>
      </c>
      <c r="E78" s="29" t="s">
        <v>190</v>
      </c>
      <c r="F78" s="29" t="s">
        <v>190</v>
      </c>
      <c r="G78" s="29" t="s">
        <v>190</v>
      </c>
      <c r="H78" s="29" t="s">
        <v>190</v>
      </c>
      <c r="I78" s="29" t="s">
        <v>190</v>
      </c>
      <c r="J78" s="29" t="s">
        <v>190</v>
      </c>
      <c r="K78" s="29" t="s">
        <v>190</v>
      </c>
      <c r="L78" s="29">
        <v>0.182</v>
      </c>
      <c r="M78" s="29">
        <v>0.17300000000000001</v>
      </c>
      <c r="N78" s="29">
        <v>0.18600000000000003</v>
      </c>
      <c r="O78" s="29">
        <v>0.22500000000000001</v>
      </c>
      <c r="P78" s="29">
        <v>0.193</v>
      </c>
      <c r="Q78" s="29">
        <v>0.19800000000000001</v>
      </c>
      <c r="R78" s="29">
        <v>0.23199999999999998</v>
      </c>
      <c r="S78" s="29">
        <v>0.22</v>
      </c>
      <c r="T78" s="29">
        <v>0.21100000000000002</v>
      </c>
      <c r="U78" s="65">
        <v>0.27</v>
      </c>
      <c r="V78" s="65">
        <v>0.20699999999999999</v>
      </c>
      <c r="W78" s="117" t="s">
        <v>344</v>
      </c>
      <c r="X78" s="117" t="s">
        <v>344</v>
      </c>
    </row>
    <row r="79" spans="1:24" ht="15.75" customHeight="1" x14ac:dyDescent="0.2">
      <c r="A79" s="30" t="s">
        <v>212</v>
      </c>
      <c r="B79" s="17" t="s">
        <v>182</v>
      </c>
      <c r="C79" s="17" t="s">
        <v>69</v>
      </c>
      <c r="D79" s="29" t="s">
        <v>190</v>
      </c>
      <c r="E79" s="29" t="s">
        <v>190</v>
      </c>
      <c r="F79" s="29" t="s">
        <v>190</v>
      </c>
      <c r="G79" s="29" t="s">
        <v>190</v>
      </c>
      <c r="H79" s="29" t="s">
        <v>190</v>
      </c>
      <c r="I79" s="29" t="s">
        <v>190</v>
      </c>
      <c r="J79" s="29" t="s">
        <v>190</v>
      </c>
      <c r="K79" s="29" t="s">
        <v>190</v>
      </c>
      <c r="L79" s="29">
        <v>0.23199999999999998</v>
      </c>
      <c r="M79" s="29">
        <v>0.221</v>
      </c>
      <c r="N79" s="29">
        <v>0.22699999999999998</v>
      </c>
      <c r="O79" s="29">
        <v>0.22699999999999998</v>
      </c>
      <c r="P79" s="29">
        <v>0.22399999999999998</v>
      </c>
      <c r="Q79" s="29">
        <v>0.223</v>
      </c>
      <c r="R79" s="29">
        <v>0.23899999999999999</v>
      </c>
      <c r="S79" s="29">
        <v>0.23600000000000002</v>
      </c>
      <c r="T79" s="29">
        <v>0.221</v>
      </c>
      <c r="U79" s="65">
        <v>0.245</v>
      </c>
      <c r="V79" s="65">
        <v>0.21899999999999997</v>
      </c>
      <c r="W79" s="117" t="s">
        <v>344</v>
      </c>
      <c r="X79" s="117" t="s">
        <v>344</v>
      </c>
    </row>
    <row r="80" spans="1:24" ht="15.75" customHeight="1" x14ac:dyDescent="0.2">
      <c r="A80" s="30" t="s">
        <v>212</v>
      </c>
      <c r="B80" s="17" t="s">
        <v>182</v>
      </c>
      <c r="C80" s="17" t="s">
        <v>70</v>
      </c>
      <c r="D80" s="29" t="s">
        <v>190</v>
      </c>
      <c r="E80" s="29" t="s">
        <v>190</v>
      </c>
      <c r="F80" s="29" t="s">
        <v>190</v>
      </c>
      <c r="G80" s="29" t="s">
        <v>190</v>
      </c>
      <c r="H80" s="29" t="s">
        <v>190</v>
      </c>
      <c r="I80" s="29" t="s">
        <v>190</v>
      </c>
      <c r="J80" s="29" t="s">
        <v>190</v>
      </c>
      <c r="K80" s="29" t="s">
        <v>190</v>
      </c>
      <c r="L80" s="29">
        <v>0.18899999999999997</v>
      </c>
      <c r="M80" s="29">
        <v>0.215</v>
      </c>
      <c r="N80" s="29">
        <v>0.129</v>
      </c>
      <c r="O80" s="29">
        <v>7.0999999999999994E-2</v>
      </c>
      <c r="P80" s="29">
        <v>0.111</v>
      </c>
      <c r="Q80" s="29">
        <v>0.128</v>
      </c>
      <c r="R80" s="29">
        <v>0.17699999999999999</v>
      </c>
      <c r="S80" s="29">
        <v>0.14699999999999999</v>
      </c>
      <c r="T80" s="29">
        <v>0.20600000000000002</v>
      </c>
      <c r="U80" s="65">
        <v>0.41600000000000004</v>
      </c>
      <c r="V80" s="65">
        <v>0.26500000000000001</v>
      </c>
      <c r="W80" s="117" t="s">
        <v>344</v>
      </c>
      <c r="X80" s="117" t="s">
        <v>344</v>
      </c>
    </row>
    <row r="81" spans="1:24" ht="15.75" customHeight="1" x14ac:dyDescent="0.2">
      <c r="A81" s="30" t="s">
        <v>212</v>
      </c>
      <c r="B81" s="17" t="s">
        <v>182</v>
      </c>
      <c r="C81" s="17" t="s">
        <v>71</v>
      </c>
      <c r="D81" s="29" t="s">
        <v>190</v>
      </c>
      <c r="E81" s="29" t="s">
        <v>190</v>
      </c>
      <c r="F81" s="29" t="s">
        <v>190</v>
      </c>
      <c r="G81" s="29" t="s">
        <v>190</v>
      </c>
      <c r="H81" s="29" t="s">
        <v>190</v>
      </c>
      <c r="I81" s="29" t="s">
        <v>190</v>
      </c>
      <c r="J81" s="29" t="s">
        <v>190</v>
      </c>
      <c r="K81" s="29" t="s">
        <v>190</v>
      </c>
      <c r="L81" s="29">
        <v>0.22899999999999998</v>
      </c>
      <c r="M81" s="29">
        <v>0.20600000000000002</v>
      </c>
      <c r="N81" s="29">
        <v>0.17600000000000002</v>
      </c>
      <c r="O81" s="29">
        <v>0.30299999999999999</v>
      </c>
      <c r="P81" s="29">
        <v>0.35700000000000004</v>
      </c>
      <c r="Q81" s="29">
        <v>0.27800000000000002</v>
      </c>
      <c r="R81" s="29">
        <v>0.23399999999999999</v>
      </c>
      <c r="S81" s="29">
        <v>0.26600000000000001</v>
      </c>
      <c r="T81" s="29">
        <v>0.19600000000000001</v>
      </c>
      <c r="U81" s="65">
        <v>0.34399999999999997</v>
      </c>
      <c r="V81" s="29" t="s">
        <v>208</v>
      </c>
      <c r="W81" s="117" t="s">
        <v>344</v>
      </c>
      <c r="X81" s="117" t="s">
        <v>344</v>
      </c>
    </row>
    <row r="82" spans="1:24" ht="15.75" customHeight="1" x14ac:dyDescent="0.2">
      <c r="A82" s="30" t="s">
        <v>212</v>
      </c>
      <c r="B82" s="17" t="s">
        <v>182</v>
      </c>
      <c r="C82" s="17" t="s">
        <v>72</v>
      </c>
      <c r="D82" s="29" t="s">
        <v>190</v>
      </c>
      <c r="E82" s="29" t="s">
        <v>190</v>
      </c>
      <c r="F82" s="29" t="s">
        <v>190</v>
      </c>
      <c r="G82" s="29" t="s">
        <v>190</v>
      </c>
      <c r="H82" s="29" t="s">
        <v>190</v>
      </c>
      <c r="I82" s="29" t="s">
        <v>190</v>
      </c>
      <c r="J82" s="29" t="s">
        <v>190</v>
      </c>
      <c r="K82" s="29" t="s">
        <v>190</v>
      </c>
      <c r="L82" s="29">
        <v>0.222</v>
      </c>
      <c r="M82" s="29">
        <v>0.249</v>
      </c>
      <c r="N82" s="29">
        <v>0.193</v>
      </c>
      <c r="O82" s="29">
        <v>0.17699999999999999</v>
      </c>
      <c r="P82" s="29">
        <v>0.21299999999999999</v>
      </c>
      <c r="Q82" s="29">
        <v>0.21199999999999999</v>
      </c>
      <c r="R82" s="29">
        <v>0.19899999999999998</v>
      </c>
      <c r="S82" s="29">
        <v>0.19600000000000001</v>
      </c>
      <c r="T82" s="29">
        <v>0.17</v>
      </c>
      <c r="U82" s="65">
        <v>0.20699999999999999</v>
      </c>
      <c r="V82" s="65">
        <v>0.10800000000000001</v>
      </c>
      <c r="W82" s="117" t="s">
        <v>344</v>
      </c>
      <c r="X82" s="117" t="s">
        <v>344</v>
      </c>
    </row>
    <row r="83" spans="1:24" ht="15.75" customHeight="1" x14ac:dyDescent="0.2">
      <c r="A83" s="30" t="s">
        <v>212</v>
      </c>
      <c r="B83" s="17" t="s">
        <v>182</v>
      </c>
      <c r="C83" s="17" t="s">
        <v>73</v>
      </c>
      <c r="D83" s="29" t="s">
        <v>190</v>
      </c>
      <c r="E83" s="29" t="s">
        <v>190</v>
      </c>
      <c r="F83" s="29" t="s">
        <v>190</v>
      </c>
      <c r="G83" s="29" t="s">
        <v>190</v>
      </c>
      <c r="H83" s="29" t="s">
        <v>190</v>
      </c>
      <c r="I83" s="29" t="s">
        <v>190</v>
      </c>
      <c r="J83" s="29" t="s">
        <v>190</v>
      </c>
      <c r="K83" s="29" t="s">
        <v>190</v>
      </c>
      <c r="L83" s="29">
        <v>0.19699999999999998</v>
      </c>
      <c r="M83" s="29">
        <v>0.34200000000000003</v>
      </c>
      <c r="N83" s="29">
        <v>0.29299999999999998</v>
      </c>
      <c r="O83" s="29">
        <v>0.23800000000000002</v>
      </c>
      <c r="P83" s="29">
        <v>0.38299999999999995</v>
      </c>
      <c r="Q83" s="29">
        <v>0.25</v>
      </c>
      <c r="R83" s="29">
        <v>0.28600000000000003</v>
      </c>
      <c r="S83" s="29">
        <v>0.218</v>
      </c>
      <c r="T83" s="29">
        <v>0.17800000000000002</v>
      </c>
      <c r="U83" s="65">
        <v>0.27800000000000002</v>
      </c>
      <c r="V83" s="65">
        <v>0.41399999999999998</v>
      </c>
      <c r="W83" s="117" t="s">
        <v>344</v>
      </c>
      <c r="X83" s="117" t="s">
        <v>344</v>
      </c>
    </row>
    <row r="84" spans="1:24" ht="15.75" customHeight="1" x14ac:dyDescent="0.2">
      <c r="A84" s="30" t="s">
        <v>212</v>
      </c>
      <c r="B84" s="17" t="s">
        <v>182</v>
      </c>
      <c r="C84" s="17" t="s">
        <v>53</v>
      </c>
      <c r="D84" s="29" t="s">
        <v>190</v>
      </c>
      <c r="E84" s="29" t="s">
        <v>190</v>
      </c>
      <c r="F84" s="29" t="s">
        <v>190</v>
      </c>
      <c r="G84" s="29" t="s">
        <v>190</v>
      </c>
      <c r="H84" s="29" t="s">
        <v>190</v>
      </c>
      <c r="I84" s="29" t="s">
        <v>190</v>
      </c>
      <c r="J84" s="29" t="s">
        <v>190</v>
      </c>
      <c r="K84" s="29" t="s">
        <v>190</v>
      </c>
      <c r="L84" s="29">
        <v>0.27200000000000002</v>
      </c>
      <c r="M84" s="29">
        <v>0.26</v>
      </c>
      <c r="N84" s="29">
        <v>0.255</v>
      </c>
      <c r="O84" s="29">
        <v>0.24600000000000002</v>
      </c>
      <c r="P84" s="29">
        <v>0.249</v>
      </c>
      <c r="Q84" s="29">
        <v>0.25900000000000001</v>
      </c>
      <c r="R84" s="29">
        <v>0.26800000000000002</v>
      </c>
      <c r="S84" s="29">
        <v>0.255</v>
      </c>
      <c r="T84" s="29">
        <v>0.252</v>
      </c>
      <c r="U84" s="65">
        <v>0.25900000000000001</v>
      </c>
      <c r="V84" s="65">
        <v>0.23399999999999999</v>
      </c>
      <c r="W84" s="117" t="s">
        <v>344</v>
      </c>
      <c r="X84" s="117" t="s">
        <v>344</v>
      </c>
    </row>
    <row r="85" spans="1:24" ht="15.75" customHeight="1" x14ac:dyDescent="0.2">
      <c r="A85" s="30" t="s">
        <v>212</v>
      </c>
      <c r="B85" s="17" t="s">
        <v>182</v>
      </c>
      <c r="C85" s="17" t="s">
        <v>74</v>
      </c>
      <c r="D85" s="29" t="s">
        <v>190</v>
      </c>
      <c r="E85" s="29" t="s">
        <v>190</v>
      </c>
      <c r="F85" s="29" t="s">
        <v>190</v>
      </c>
      <c r="G85" s="29" t="s">
        <v>190</v>
      </c>
      <c r="H85" s="29" t="s">
        <v>190</v>
      </c>
      <c r="I85" s="29" t="s">
        <v>190</v>
      </c>
      <c r="J85" s="29" t="s">
        <v>190</v>
      </c>
      <c r="K85" s="29" t="s">
        <v>190</v>
      </c>
      <c r="L85" s="29">
        <v>0.17899999999999999</v>
      </c>
      <c r="M85" s="29">
        <v>0.128</v>
      </c>
      <c r="N85" s="29">
        <v>0.24199999999999999</v>
      </c>
      <c r="O85" s="29">
        <v>0.14000000000000001</v>
      </c>
      <c r="P85" s="29">
        <v>0.24600000000000002</v>
      </c>
      <c r="Q85" s="29" t="s">
        <v>208</v>
      </c>
      <c r="R85" s="29" t="s">
        <v>208</v>
      </c>
      <c r="S85" s="29">
        <v>0.28100000000000003</v>
      </c>
      <c r="T85" s="29" t="s">
        <v>208</v>
      </c>
      <c r="U85" s="29" t="s">
        <v>208</v>
      </c>
      <c r="V85" s="29" t="s">
        <v>208</v>
      </c>
      <c r="W85" s="117" t="s">
        <v>344</v>
      </c>
      <c r="X85" s="117" t="s">
        <v>344</v>
      </c>
    </row>
    <row r="86" spans="1:24" ht="15.75" customHeight="1" x14ac:dyDescent="0.2">
      <c r="A86" s="30" t="s">
        <v>212</v>
      </c>
      <c r="B86" s="17" t="s">
        <v>182</v>
      </c>
      <c r="C86" s="17" t="s">
        <v>75</v>
      </c>
      <c r="D86" s="29" t="s">
        <v>190</v>
      </c>
      <c r="E86" s="29" t="s">
        <v>190</v>
      </c>
      <c r="F86" s="29" t="s">
        <v>190</v>
      </c>
      <c r="G86" s="29" t="s">
        <v>190</v>
      </c>
      <c r="H86" s="29" t="s">
        <v>190</v>
      </c>
      <c r="I86" s="29" t="s">
        <v>190</v>
      </c>
      <c r="J86" s="29" t="s">
        <v>190</v>
      </c>
      <c r="K86" s="29" t="s">
        <v>190</v>
      </c>
      <c r="L86" s="29">
        <v>0.23399999999999999</v>
      </c>
      <c r="M86" s="29">
        <v>0.26</v>
      </c>
      <c r="N86" s="29">
        <v>0.251</v>
      </c>
      <c r="O86" s="29">
        <v>0.26800000000000002</v>
      </c>
      <c r="P86" s="29">
        <v>0.25700000000000001</v>
      </c>
      <c r="Q86" s="29">
        <v>0.22699999999999998</v>
      </c>
      <c r="R86" s="29">
        <v>0.22800000000000001</v>
      </c>
      <c r="S86" s="29">
        <v>0.28199999999999997</v>
      </c>
      <c r="T86" s="29">
        <v>0.27399999999999997</v>
      </c>
      <c r="U86" s="65">
        <v>0.21199999999999999</v>
      </c>
      <c r="V86" s="65">
        <v>0.21600000000000003</v>
      </c>
      <c r="W86" s="117" t="s">
        <v>344</v>
      </c>
      <c r="X86" s="117" t="s">
        <v>344</v>
      </c>
    </row>
    <row r="87" spans="1:24" ht="15.75" customHeight="1" x14ac:dyDescent="0.2">
      <c r="A87" s="30" t="s">
        <v>212</v>
      </c>
      <c r="B87" s="17" t="s">
        <v>182</v>
      </c>
      <c r="C87" s="17" t="s">
        <v>76</v>
      </c>
      <c r="D87" s="29" t="s">
        <v>190</v>
      </c>
      <c r="E87" s="29" t="s">
        <v>190</v>
      </c>
      <c r="F87" s="29" t="s">
        <v>190</v>
      </c>
      <c r="G87" s="29" t="s">
        <v>190</v>
      </c>
      <c r="H87" s="29" t="s">
        <v>190</v>
      </c>
      <c r="I87" s="29" t="s">
        <v>190</v>
      </c>
      <c r="J87" s="29" t="s">
        <v>190</v>
      </c>
      <c r="K87" s="29" t="s">
        <v>190</v>
      </c>
      <c r="L87" s="29">
        <v>0.221</v>
      </c>
      <c r="M87" s="29">
        <v>0.20899999999999999</v>
      </c>
      <c r="N87" s="29">
        <v>0.19</v>
      </c>
      <c r="O87" s="29">
        <v>0.22699999999999998</v>
      </c>
      <c r="P87" s="29">
        <v>0.221</v>
      </c>
      <c r="Q87" s="29">
        <v>0.26100000000000001</v>
      </c>
      <c r="R87" s="29">
        <v>0.28499999999999998</v>
      </c>
      <c r="S87" s="29">
        <v>0.23899999999999999</v>
      </c>
      <c r="T87" s="29">
        <v>0.192</v>
      </c>
      <c r="U87" s="65">
        <v>0.29399999999999998</v>
      </c>
      <c r="V87" s="65">
        <v>0.20600000000000002</v>
      </c>
      <c r="W87" s="117" t="s">
        <v>344</v>
      </c>
      <c r="X87" s="117" t="s">
        <v>344</v>
      </c>
    </row>
    <row r="88" spans="1:24" ht="15.75" customHeight="1" x14ac:dyDescent="0.2">
      <c r="A88" s="30" t="s">
        <v>212</v>
      </c>
      <c r="B88" s="17" t="s">
        <v>182</v>
      </c>
      <c r="C88" s="17" t="s">
        <v>77</v>
      </c>
      <c r="D88" s="29" t="s">
        <v>190</v>
      </c>
      <c r="E88" s="29" t="s">
        <v>190</v>
      </c>
      <c r="F88" s="29" t="s">
        <v>190</v>
      </c>
      <c r="G88" s="29" t="s">
        <v>190</v>
      </c>
      <c r="H88" s="29" t="s">
        <v>190</v>
      </c>
      <c r="I88" s="29" t="s">
        <v>190</v>
      </c>
      <c r="J88" s="29" t="s">
        <v>190</v>
      </c>
      <c r="K88" s="29" t="s">
        <v>190</v>
      </c>
      <c r="L88" s="29">
        <v>0.20499999999999999</v>
      </c>
      <c r="M88" s="29">
        <v>0.20499999999999999</v>
      </c>
      <c r="N88" s="29">
        <v>0.20100000000000001</v>
      </c>
      <c r="O88" s="29">
        <v>0.16</v>
      </c>
      <c r="P88" s="29">
        <v>0.20300000000000001</v>
      </c>
      <c r="Q88" s="29">
        <v>0.13300000000000001</v>
      </c>
      <c r="R88" s="29">
        <v>0.16</v>
      </c>
      <c r="S88" s="29">
        <v>0.17199999999999999</v>
      </c>
      <c r="T88" s="29">
        <v>0.19500000000000001</v>
      </c>
      <c r="U88" s="65">
        <v>0.21899999999999997</v>
      </c>
      <c r="V88" s="65">
        <v>0.23899999999999999</v>
      </c>
      <c r="W88" s="117" t="s">
        <v>344</v>
      </c>
      <c r="X88" s="117" t="s">
        <v>344</v>
      </c>
    </row>
    <row r="89" spans="1:24" ht="15.75" customHeight="1" x14ac:dyDescent="0.2">
      <c r="A89" s="30" t="s">
        <v>212</v>
      </c>
      <c r="B89" s="17" t="s">
        <v>182</v>
      </c>
      <c r="C89" s="17" t="s">
        <v>78</v>
      </c>
      <c r="D89" s="29" t="s">
        <v>190</v>
      </c>
      <c r="E89" s="29" t="s">
        <v>190</v>
      </c>
      <c r="F89" s="29" t="s">
        <v>190</v>
      </c>
      <c r="G89" s="29" t="s">
        <v>190</v>
      </c>
      <c r="H89" s="29" t="s">
        <v>190</v>
      </c>
      <c r="I89" s="29" t="s">
        <v>190</v>
      </c>
      <c r="J89" s="29" t="s">
        <v>190</v>
      </c>
      <c r="K89" s="29" t="s">
        <v>190</v>
      </c>
      <c r="L89" s="29">
        <v>0.27100000000000002</v>
      </c>
      <c r="M89" s="29">
        <v>0.26600000000000001</v>
      </c>
      <c r="N89" s="29">
        <v>0.23199999999999998</v>
      </c>
      <c r="O89" s="29">
        <v>0.27399999999999997</v>
      </c>
      <c r="P89" s="29">
        <v>0.27800000000000002</v>
      </c>
      <c r="Q89" s="29">
        <v>0.25</v>
      </c>
      <c r="R89" s="29">
        <v>0.253</v>
      </c>
      <c r="S89" s="29">
        <v>0.23600000000000002</v>
      </c>
      <c r="T89" s="29">
        <v>0.27</v>
      </c>
      <c r="U89" s="65">
        <v>0.27899999999999997</v>
      </c>
      <c r="V89" s="65">
        <v>0.26500000000000001</v>
      </c>
      <c r="W89" s="117" t="s">
        <v>344</v>
      </c>
      <c r="X89" s="117" t="s">
        <v>344</v>
      </c>
    </row>
    <row r="90" spans="1:24" ht="15.75" customHeight="1" x14ac:dyDescent="0.2">
      <c r="A90" s="30" t="s">
        <v>212</v>
      </c>
      <c r="B90" s="17" t="s">
        <v>182</v>
      </c>
      <c r="C90" s="17" t="s">
        <v>79</v>
      </c>
      <c r="D90" s="29" t="s">
        <v>190</v>
      </c>
      <c r="E90" s="29" t="s">
        <v>190</v>
      </c>
      <c r="F90" s="29" t="s">
        <v>190</v>
      </c>
      <c r="G90" s="29" t="s">
        <v>190</v>
      </c>
      <c r="H90" s="29" t="s">
        <v>190</v>
      </c>
      <c r="I90" s="29" t="s">
        <v>190</v>
      </c>
      <c r="J90" s="29" t="s">
        <v>190</v>
      </c>
      <c r="K90" s="29" t="s">
        <v>190</v>
      </c>
      <c r="L90" s="29">
        <v>0.217</v>
      </c>
      <c r="M90" s="29">
        <v>0.21</v>
      </c>
      <c r="N90" s="29">
        <v>0.185</v>
      </c>
      <c r="O90" s="29">
        <v>0.21299999999999999</v>
      </c>
      <c r="P90" s="29">
        <v>0.218</v>
      </c>
      <c r="Q90" s="29">
        <v>0.20699999999999999</v>
      </c>
      <c r="R90" s="29">
        <v>0.20499999999999999</v>
      </c>
      <c r="S90" s="29">
        <v>0.19500000000000001</v>
      </c>
      <c r="T90" s="29">
        <v>0.222</v>
      </c>
      <c r="U90" s="65">
        <v>0.22500000000000001</v>
      </c>
      <c r="V90" s="65">
        <v>0.21299999999999999</v>
      </c>
      <c r="W90" s="117" t="s">
        <v>344</v>
      </c>
      <c r="X90" s="117" t="s">
        <v>344</v>
      </c>
    </row>
    <row r="91" spans="1:24" ht="15.75" customHeight="1" x14ac:dyDescent="0.2">
      <c r="A91" s="30" t="s">
        <v>212</v>
      </c>
      <c r="B91" s="17" t="s">
        <v>182</v>
      </c>
      <c r="C91" s="17" t="s">
        <v>80</v>
      </c>
      <c r="D91" s="29" t="s">
        <v>190</v>
      </c>
      <c r="E91" s="29" t="s">
        <v>190</v>
      </c>
      <c r="F91" s="29" t="s">
        <v>190</v>
      </c>
      <c r="G91" s="29" t="s">
        <v>190</v>
      </c>
      <c r="H91" s="29" t="s">
        <v>190</v>
      </c>
      <c r="I91" s="29" t="s">
        <v>190</v>
      </c>
      <c r="J91" s="29" t="s">
        <v>190</v>
      </c>
      <c r="K91" s="29" t="s">
        <v>190</v>
      </c>
      <c r="L91" s="29">
        <v>0.22500000000000001</v>
      </c>
      <c r="M91" s="29">
        <v>0.153</v>
      </c>
      <c r="N91" s="29">
        <v>0.114</v>
      </c>
      <c r="O91" s="29">
        <v>0.13800000000000001</v>
      </c>
      <c r="P91" s="29">
        <v>0.17699999999999999</v>
      </c>
      <c r="Q91" s="29">
        <v>0.21100000000000002</v>
      </c>
      <c r="R91" s="29">
        <v>0.23100000000000001</v>
      </c>
      <c r="S91" s="29">
        <v>0.26200000000000001</v>
      </c>
      <c r="T91" s="29">
        <v>7.5999999999999998E-2</v>
      </c>
      <c r="U91" s="65">
        <v>0.14499999999999999</v>
      </c>
      <c r="V91" s="65">
        <v>0.128</v>
      </c>
      <c r="W91" s="117" t="s">
        <v>344</v>
      </c>
      <c r="X91" s="117" t="s">
        <v>344</v>
      </c>
    </row>
    <row r="92" spans="1:24" ht="15.6" customHeight="1" x14ac:dyDescent="0.2">
      <c r="A92" s="30" t="s">
        <v>212</v>
      </c>
      <c r="B92" s="17" t="s">
        <v>182</v>
      </c>
      <c r="C92" s="17" t="s">
        <v>81</v>
      </c>
      <c r="D92" s="29" t="s">
        <v>190</v>
      </c>
      <c r="E92" s="29" t="s">
        <v>190</v>
      </c>
      <c r="F92" s="29" t="s">
        <v>190</v>
      </c>
      <c r="G92" s="29" t="s">
        <v>190</v>
      </c>
      <c r="H92" s="29" t="s">
        <v>190</v>
      </c>
      <c r="I92" s="29" t="s">
        <v>190</v>
      </c>
      <c r="J92" s="29" t="s">
        <v>190</v>
      </c>
      <c r="K92" s="29" t="s">
        <v>190</v>
      </c>
      <c r="L92" s="29">
        <v>0.21</v>
      </c>
      <c r="M92" s="29">
        <v>0.215</v>
      </c>
      <c r="N92" s="29">
        <v>0.23</v>
      </c>
      <c r="O92" s="29">
        <v>0.21899999999999997</v>
      </c>
      <c r="P92" s="29">
        <v>0.22</v>
      </c>
      <c r="Q92" s="29">
        <v>0.23100000000000001</v>
      </c>
      <c r="R92" s="29">
        <v>0.218</v>
      </c>
      <c r="S92" s="29">
        <v>0.222</v>
      </c>
      <c r="T92" s="29">
        <v>0.21299999999999999</v>
      </c>
      <c r="U92" s="65">
        <v>0.247</v>
      </c>
      <c r="V92" s="65">
        <v>0.27800000000000002</v>
      </c>
      <c r="W92" s="117" t="s">
        <v>344</v>
      </c>
      <c r="X92" s="117" t="s">
        <v>344</v>
      </c>
    </row>
    <row r="93" spans="1:24" ht="15.75" customHeight="1" x14ac:dyDescent="0.2">
      <c r="A93" s="30" t="s">
        <v>212</v>
      </c>
      <c r="B93" s="17" t="s">
        <v>182</v>
      </c>
      <c r="C93" s="17" t="s">
        <v>82</v>
      </c>
      <c r="D93" s="29" t="s">
        <v>190</v>
      </c>
      <c r="E93" s="29" t="s">
        <v>190</v>
      </c>
      <c r="F93" s="29" t="s">
        <v>190</v>
      </c>
      <c r="G93" s="29" t="s">
        <v>190</v>
      </c>
      <c r="H93" s="29" t="s">
        <v>190</v>
      </c>
      <c r="I93" s="29" t="s">
        <v>190</v>
      </c>
      <c r="J93" s="29" t="s">
        <v>190</v>
      </c>
      <c r="K93" s="29" t="s">
        <v>190</v>
      </c>
      <c r="L93" s="29">
        <v>0.22399999999999998</v>
      </c>
      <c r="M93" s="29">
        <v>0.17699999999999999</v>
      </c>
      <c r="N93" s="29">
        <v>0.124</v>
      </c>
      <c r="O93" s="29">
        <v>0.27100000000000002</v>
      </c>
      <c r="P93" s="29">
        <v>0.18100000000000002</v>
      </c>
      <c r="Q93" s="29">
        <v>0.22600000000000001</v>
      </c>
      <c r="R93" s="29">
        <v>0.17399999999999999</v>
      </c>
      <c r="S93" s="29">
        <v>0.106</v>
      </c>
      <c r="T93" s="29">
        <v>0.17800000000000002</v>
      </c>
      <c r="U93" s="65">
        <v>0.28300000000000003</v>
      </c>
      <c r="V93" s="29" t="s">
        <v>208</v>
      </c>
      <c r="W93" s="117" t="s">
        <v>344</v>
      </c>
      <c r="X93" s="117" t="s">
        <v>344</v>
      </c>
    </row>
    <row r="94" spans="1:24" ht="15.75" customHeight="1" x14ac:dyDescent="0.2">
      <c r="A94" s="30" t="s">
        <v>212</v>
      </c>
      <c r="B94" s="17" t="s">
        <v>182</v>
      </c>
      <c r="C94" s="17" t="s">
        <v>83</v>
      </c>
      <c r="D94" s="29" t="s">
        <v>190</v>
      </c>
      <c r="E94" s="29" t="s">
        <v>190</v>
      </c>
      <c r="F94" s="29" t="s">
        <v>190</v>
      </c>
      <c r="G94" s="29" t="s">
        <v>190</v>
      </c>
      <c r="H94" s="29" t="s">
        <v>190</v>
      </c>
      <c r="I94" s="29" t="s">
        <v>190</v>
      </c>
      <c r="J94" s="29" t="s">
        <v>190</v>
      </c>
      <c r="K94" s="29" t="s">
        <v>190</v>
      </c>
      <c r="L94" s="29">
        <v>0.248</v>
      </c>
      <c r="M94" s="29">
        <v>0.26300000000000001</v>
      </c>
      <c r="N94" s="29">
        <v>0.19899999999999998</v>
      </c>
      <c r="O94" s="29">
        <v>0.26400000000000001</v>
      </c>
      <c r="P94" s="29">
        <v>0.28300000000000003</v>
      </c>
      <c r="Q94" s="29">
        <v>0.28699999999999998</v>
      </c>
      <c r="R94" s="29">
        <v>0.38400000000000001</v>
      </c>
      <c r="S94" s="29">
        <v>0.314</v>
      </c>
      <c r="T94" s="29">
        <v>0.33</v>
      </c>
      <c r="U94" s="65">
        <v>0.38700000000000001</v>
      </c>
      <c r="V94" s="65">
        <v>0.34700000000000003</v>
      </c>
      <c r="W94" s="117" t="s">
        <v>344</v>
      </c>
      <c r="X94" s="117" t="s">
        <v>344</v>
      </c>
    </row>
    <row r="95" spans="1:24" ht="15.75" customHeight="1" x14ac:dyDescent="0.2">
      <c r="A95" s="30" t="s">
        <v>212</v>
      </c>
      <c r="B95" s="17" t="s">
        <v>182</v>
      </c>
      <c r="C95" s="17" t="s">
        <v>84</v>
      </c>
      <c r="D95" s="29" t="s">
        <v>190</v>
      </c>
      <c r="E95" s="29" t="s">
        <v>190</v>
      </c>
      <c r="F95" s="29" t="s">
        <v>190</v>
      </c>
      <c r="G95" s="29" t="s">
        <v>190</v>
      </c>
      <c r="H95" s="29" t="s">
        <v>190</v>
      </c>
      <c r="I95" s="29" t="s">
        <v>190</v>
      </c>
      <c r="J95" s="29" t="s">
        <v>190</v>
      </c>
      <c r="K95" s="29" t="s">
        <v>190</v>
      </c>
      <c r="L95" s="29">
        <v>0.12300000000000001</v>
      </c>
      <c r="M95" s="29">
        <v>0.16800000000000001</v>
      </c>
      <c r="N95" s="29">
        <v>0.157</v>
      </c>
      <c r="O95" s="29">
        <v>0.23100000000000001</v>
      </c>
      <c r="P95" s="29">
        <v>0.17499999999999999</v>
      </c>
      <c r="Q95" s="29">
        <v>0.19</v>
      </c>
      <c r="R95" s="29">
        <v>0.192</v>
      </c>
      <c r="S95" s="29">
        <v>0.17399999999999999</v>
      </c>
      <c r="T95" s="29">
        <v>0.20499999999999999</v>
      </c>
      <c r="U95" s="65">
        <v>0.27699999999999997</v>
      </c>
      <c r="V95" s="65">
        <v>0.187</v>
      </c>
      <c r="W95" s="117" t="s">
        <v>344</v>
      </c>
      <c r="X95" s="117" t="s">
        <v>344</v>
      </c>
    </row>
    <row r="96" spans="1:24" ht="15.75" customHeight="1" x14ac:dyDescent="0.2">
      <c r="A96" s="30" t="s">
        <v>212</v>
      </c>
      <c r="B96" s="17" t="s">
        <v>182</v>
      </c>
      <c r="C96" s="17" t="s">
        <v>15</v>
      </c>
      <c r="D96" s="29" t="s">
        <v>190</v>
      </c>
      <c r="E96" s="29" t="s">
        <v>190</v>
      </c>
      <c r="F96" s="29" t="s">
        <v>190</v>
      </c>
      <c r="G96" s="29" t="s">
        <v>190</v>
      </c>
      <c r="H96" s="29" t="s">
        <v>190</v>
      </c>
      <c r="I96" s="29" t="s">
        <v>190</v>
      </c>
      <c r="J96" s="29" t="s">
        <v>190</v>
      </c>
      <c r="K96" s="29" t="s">
        <v>190</v>
      </c>
      <c r="L96" s="29">
        <v>0.14099999999999999</v>
      </c>
      <c r="M96" s="29">
        <v>0.17300000000000001</v>
      </c>
      <c r="N96" s="29">
        <v>8.4000000000000005E-2</v>
      </c>
      <c r="O96" s="29">
        <v>0.11</v>
      </c>
      <c r="P96" s="29">
        <v>0.11900000000000001</v>
      </c>
      <c r="Q96" s="29">
        <v>0.11699999999999999</v>
      </c>
      <c r="R96" s="29">
        <v>0.125</v>
      </c>
      <c r="S96" s="29">
        <v>0.109</v>
      </c>
      <c r="T96" s="29">
        <v>0.13100000000000001</v>
      </c>
      <c r="U96" s="65">
        <v>0.19399999999999998</v>
      </c>
      <c r="V96" s="65">
        <v>0.125</v>
      </c>
      <c r="W96" s="117" t="s">
        <v>344</v>
      </c>
      <c r="X96" s="117" t="s">
        <v>344</v>
      </c>
    </row>
    <row r="97" spans="1:24" ht="15.75" customHeight="1" x14ac:dyDescent="0.2">
      <c r="A97" s="30" t="s">
        <v>212</v>
      </c>
      <c r="B97" s="17" t="s">
        <v>182</v>
      </c>
      <c r="C97" s="17" t="s">
        <v>85</v>
      </c>
      <c r="D97" s="29" t="s">
        <v>190</v>
      </c>
      <c r="E97" s="29" t="s">
        <v>190</v>
      </c>
      <c r="F97" s="29" t="s">
        <v>190</v>
      </c>
      <c r="G97" s="29" t="s">
        <v>190</v>
      </c>
      <c r="H97" s="29" t="s">
        <v>190</v>
      </c>
      <c r="I97" s="29" t="s">
        <v>190</v>
      </c>
      <c r="J97" s="29" t="s">
        <v>190</v>
      </c>
      <c r="K97" s="29" t="s">
        <v>190</v>
      </c>
      <c r="L97" s="29">
        <v>0.19399999999999998</v>
      </c>
      <c r="M97" s="29">
        <v>0.20399999999999999</v>
      </c>
      <c r="N97" s="29">
        <v>0.20600000000000002</v>
      </c>
      <c r="O97" s="29">
        <v>0.18899999999999997</v>
      </c>
      <c r="P97" s="29">
        <v>0.20899999999999999</v>
      </c>
      <c r="Q97" s="29">
        <v>0.20399999999999999</v>
      </c>
      <c r="R97" s="29">
        <v>0.19899999999999998</v>
      </c>
      <c r="S97" s="29">
        <v>0.16200000000000001</v>
      </c>
      <c r="T97" s="29">
        <v>0.22</v>
      </c>
      <c r="U97" s="65">
        <v>0.185</v>
      </c>
      <c r="V97" s="65">
        <v>0.215</v>
      </c>
      <c r="W97" s="117" t="s">
        <v>344</v>
      </c>
      <c r="X97" s="117" t="s">
        <v>344</v>
      </c>
    </row>
    <row r="98" spans="1:24" ht="15.75" customHeight="1" x14ac:dyDescent="0.2">
      <c r="A98" s="30" t="s">
        <v>212</v>
      </c>
      <c r="B98" s="17" t="s">
        <v>182</v>
      </c>
      <c r="C98" s="17" t="s">
        <v>86</v>
      </c>
      <c r="D98" s="29" t="s">
        <v>190</v>
      </c>
      <c r="E98" s="29" t="s">
        <v>190</v>
      </c>
      <c r="F98" s="29" t="s">
        <v>190</v>
      </c>
      <c r="G98" s="29" t="s">
        <v>190</v>
      </c>
      <c r="H98" s="29" t="s">
        <v>190</v>
      </c>
      <c r="I98" s="29" t="s">
        <v>190</v>
      </c>
      <c r="J98" s="29" t="s">
        <v>190</v>
      </c>
      <c r="K98" s="29" t="s">
        <v>190</v>
      </c>
      <c r="L98" s="29">
        <v>0.21199999999999999</v>
      </c>
      <c r="M98" s="29">
        <v>0.19399999999999998</v>
      </c>
      <c r="N98" s="29">
        <v>0.16300000000000001</v>
      </c>
      <c r="O98" s="29">
        <v>0.158</v>
      </c>
      <c r="P98" s="29">
        <v>0.17300000000000001</v>
      </c>
      <c r="Q98" s="29">
        <v>0.13300000000000001</v>
      </c>
      <c r="R98" s="29">
        <v>0.16500000000000001</v>
      </c>
      <c r="S98" s="29">
        <v>0.151</v>
      </c>
      <c r="T98" s="29">
        <v>0.159</v>
      </c>
      <c r="U98" s="65">
        <v>0.218</v>
      </c>
      <c r="V98" s="65">
        <v>0.22500000000000001</v>
      </c>
      <c r="W98" s="117" t="s">
        <v>344</v>
      </c>
      <c r="X98" s="117" t="s">
        <v>344</v>
      </c>
    </row>
    <row r="99" spans="1:24" ht="15.75" customHeight="1" x14ac:dyDescent="0.2">
      <c r="A99" s="30" t="s">
        <v>212</v>
      </c>
      <c r="B99" s="17" t="s">
        <v>182</v>
      </c>
      <c r="C99" s="17" t="s">
        <v>87</v>
      </c>
      <c r="D99" s="29" t="s">
        <v>190</v>
      </c>
      <c r="E99" s="29" t="s">
        <v>190</v>
      </c>
      <c r="F99" s="29" t="s">
        <v>190</v>
      </c>
      <c r="G99" s="29" t="s">
        <v>190</v>
      </c>
      <c r="H99" s="29" t="s">
        <v>190</v>
      </c>
      <c r="I99" s="29" t="s">
        <v>190</v>
      </c>
      <c r="J99" s="29" t="s">
        <v>190</v>
      </c>
      <c r="K99" s="29" t="s">
        <v>190</v>
      </c>
      <c r="L99" s="29">
        <v>0.18100000000000002</v>
      </c>
      <c r="M99" s="29">
        <v>0.122</v>
      </c>
      <c r="N99" s="29">
        <v>8.8000000000000009E-2</v>
      </c>
      <c r="O99" s="29">
        <v>0.121</v>
      </c>
      <c r="P99" s="29">
        <v>0.125</v>
      </c>
      <c r="Q99" s="29">
        <v>0.158</v>
      </c>
      <c r="R99" s="29">
        <v>0.14099999999999999</v>
      </c>
      <c r="S99" s="29">
        <v>0.113</v>
      </c>
      <c r="T99" s="29">
        <v>0.111</v>
      </c>
      <c r="U99" s="65">
        <v>0.25800000000000001</v>
      </c>
      <c r="V99" s="65">
        <v>0.155</v>
      </c>
      <c r="W99" s="117" t="s">
        <v>344</v>
      </c>
      <c r="X99" s="117" t="s">
        <v>344</v>
      </c>
    </row>
    <row r="100" spans="1:24" ht="15.75" customHeight="1" x14ac:dyDescent="0.2">
      <c r="A100" s="30" t="s">
        <v>212</v>
      </c>
      <c r="B100" s="17" t="s">
        <v>182</v>
      </c>
      <c r="C100" s="17" t="s">
        <v>88</v>
      </c>
      <c r="D100" s="29" t="s">
        <v>190</v>
      </c>
      <c r="E100" s="29" t="s">
        <v>190</v>
      </c>
      <c r="F100" s="29" t="s">
        <v>190</v>
      </c>
      <c r="G100" s="29" t="s">
        <v>190</v>
      </c>
      <c r="H100" s="29" t="s">
        <v>190</v>
      </c>
      <c r="I100" s="29" t="s">
        <v>190</v>
      </c>
      <c r="J100" s="29" t="s">
        <v>190</v>
      </c>
      <c r="K100" s="29" t="s">
        <v>190</v>
      </c>
      <c r="L100" s="29">
        <v>0.20100000000000001</v>
      </c>
      <c r="M100" s="29">
        <v>0.21100000000000002</v>
      </c>
      <c r="N100" s="29">
        <v>0.23800000000000002</v>
      </c>
      <c r="O100" s="29">
        <v>0.20800000000000002</v>
      </c>
      <c r="P100" s="29">
        <v>0.35200000000000004</v>
      </c>
      <c r="Q100" s="29">
        <v>0.44600000000000001</v>
      </c>
      <c r="R100" s="29" t="s">
        <v>208</v>
      </c>
      <c r="S100" s="29" t="s">
        <v>208</v>
      </c>
      <c r="T100" s="29">
        <v>0.27899999999999997</v>
      </c>
      <c r="U100" s="29" t="s">
        <v>208</v>
      </c>
      <c r="V100" s="29" t="s">
        <v>208</v>
      </c>
      <c r="W100" s="117" t="s">
        <v>344</v>
      </c>
      <c r="X100" s="117" t="s">
        <v>344</v>
      </c>
    </row>
    <row r="101" spans="1:24" ht="15.75" customHeight="1" x14ac:dyDescent="0.2">
      <c r="A101" s="30" t="s">
        <v>212</v>
      </c>
      <c r="B101" s="17" t="s">
        <v>182</v>
      </c>
      <c r="C101" s="17" t="s">
        <v>18</v>
      </c>
      <c r="D101" s="29" t="s">
        <v>190</v>
      </c>
      <c r="E101" s="29" t="s">
        <v>190</v>
      </c>
      <c r="F101" s="29" t="s">
        <v>190</v>
      </c>
      <c r="G101" s="29" t="s">
        <v>190</v>
      </c>
      <c r="H101" s="29" t="s">
        <v>190</v>
      </c>
      <c r="I101" s="29" t="s">
        <v>190</v>
      </c>
      <c r="J101" s="29" t="s">
        <v>190</v>
      </c>
      <c r="K101" s="29" t="s">
        <v>190</v>
      </c>
      <c r="L101" s="29">
        <v>0.191</v>
      </c>
      <c r="M101" s="29">
        <v>0.13900000000000001</v>
      </c>
      <c r="N101" s="29">
        <v>0.127</v>
      </c>
      <c r="O101" s="29">
        <v>0.126</v>
      </c>
      <c r="P101" s="29">
        <v>9.3000000000000013E-2</v>
      </c>
      <c r="Q101" s="29">
        <v>0.14599999999999999</v>
      </c>
      <c r="R101" s="29">
        <v>0.183</v>
      </c>
      <c r="S101" s="29">
        <v>0.192</v>
      </c>
      <c r="T101" s="29">
        <v>0.254</v>
      </c>
      <c r="U101" s="65">
        <v>0.26300000000000001</v>
      </c>
      <c r="V101" s="65">
        <v>0.23899999999999999</v>
      </c>
      <c r="W101" s="117" t="s">
        <v>344</v>
      </c>
      <c r="X101" s="117" t="s">
        <v>344</v>
      </c>
    </row>
    <row r="102" spans="1:24" ht="15.75" customHeight="1" x14ac:dyDescent="0.2">
      <c r="A102" s="30" t="s">
        <v>212</v>
      </c>
      <c r="B102" s="17" t="s">
        <v>182</v>
      </c>
      <c r="C102" s="17" t="s">
        <v>89</v>
      </c>
      <c r="D102" s="29" t="s">
        <v>190</v>
      </c>
      <c r="E102" s="29" t="s">
        <v>190</v>
      </c>
      <c r="F102" s="29" t="s">
        <v>190</v>
      </c>
      <c r="G102" s="29" t="s">
        <v>190</v>
      </c>
      <c r="H102" s="29" t="s">
        <v>190</v>
      </c>
      <c r="I102" s="29" t="s">
        <v>190</v>
      </c>
      <c r="J102" s="29" t="s">
        <v>190</v>
      </c>
      <c r="K102" s="29" t="s">
        <v>190</v>
      </c>
      <c r="L102" s="29">
        <v>0.26500000000000001</v>
      </c>
      <c r="M102" s="29">
        <v>0.254</v>
      </c>
      <c r="N102" s="29">
        <v>0.21299999999999999</v>
      </c>
      <c r="O102" s="29">
        <v>0.2</v>
      </c>
      <c r="P102" s="29">
        <v>0.36899999999999999</v>
      </c>
      <c r="Q102" s="29">
        <v>0.27600000000000002</v>
      </c>
      <c r="R102" s="29">
        <v>0.26400000000000001</v>
      </c>
      <c r="S102" s="29">
        <v>0.27399999999999997</v>
      </c>
      <c r="T102" s="29">
        <v>0.21</v>
      </c>
      <c r="U102" s="65">
        <v>0.36399999999999999</v>
      </c>
      <c r="V102" s="65">
        <v>0.16300000000000001</v>
      </c>
      <c r="W102" s="117" t="s">
        <v>344</v>
      </c>
      <c r="X102" s="117" t="s">
        <v>344</v>
      </c>
    </row>
    <row r="103" spans="1:24" ht="15.75" customHeight="1" x14ac:dyDescent="0.2">
      <c r="A103" s="30" t="s">
        <v>212</v>
      </c>
      <c r="B103" s="17" t="s">
        <v>182</v>
      </c>
      <c r="C103" s="17" t="s">
        <v>90</v>
      </c>
      <c r="D103" s="29" t="s">
        <v>190</v>
      </c>
      <c r="E103" s="29" t="s">
        <v>190</v>
      </c>
      <c r="F103" s="29" t="s">
        <v>190</v>
      </c>
      <c r="G103" s="29" t="s">
        <v>190</v>
      </c>
      <c r="H103" s="29" t="s">
        <v>190</v>
      </c>
      <c r="I103" s="29" t="s">
        <v>190</v>
      </c>
      <c r="J103" s="29" t="s">
        <v>190</v>
      </c>
      <c r="K103" s="29" t="s">
        <v>190</v>
      </c>
      <c r="L103" s="29">
        <v>0.255</v>
      </c>
      <c r="M103" s="29">
        <v>0.222</v>
      </c>
      <c r="N103" s="29">
        <v>0.23</v>
      </c>
      <c r="O103" s="29">
        <v>0.17800000000000002</v>
      </c>
      <c r="P103" s="29">
        <v>0.26300000000000001</v>
      </c>
      <c r="Q103" s="29">
        <v>0.19600000000000001</v>
      </c>
      <c r="R103" s="29">
        <v>0.25600000000000001</v>
      </c>
      <c r="S103" s="29">
        <v>0.24600000000000002</v>
      </c>
      <c r="T103" s="29">
        <v>0.17</v>
      </c>
      <c r="U103" s="65">
        <v>0.30399999999999999</v>
      </c>
      <c r="V103" s="65">
        <v>0.34100000000000003</v>
      </c>
      <c r="W103" s="117" t="s">
        <v>344</v>
      </c>
      <c r="X103" s="117" t="s">
        <v>344</v>
      </c>
    </row>
    <row r="104" spans="1:24" ht="15.75" customHeight="1" x14ac:dyDescent="0.2">
      <c r="A104" s="30" t="s">
        <v>212</v>
      </c>
      <c r="B104" s="17" t="s">
        <v>182</v>
      </c>
      <c r="C104" s="17" t="s">
        <v>91</v>
      </c>
      <c r="D104" s="29" t="s">
        <v>190</v>
      </c>
      <c r="E104" s="29" t="s">
        <v>190</v>
      </c>
      <c r="F104" s="29" t="s">
        <v>190</v>
      </c>
      <c r="G104" s="29" t="s">
        <v>190</v>
      </c>
      <c r="H104" s="29" t="s">
        <v>190</v>
      </c>
      <c r="I104" s="29" t="s">
        <v>190</v>
      </c>
      <c r="J104" s="29" t="s">
        <v>190</v>
      </c>
      <c r="K104" s="29" t="s">
        <v>190</v>
      </c>
      <c r="L104" s="29">
        <v>0.182</v>
      </c>
      <c r="M104" s="29">
        <v>0.28699999999999998</v>
      </c>
      <c r="N104" s="29">
        <v>8.6999999999999994E-2</v>
      </c>
      <c r="O104" s="29">
        <v>0.19500000000000001</v>
      </c>
      <c r="P104" s="29">
        <v>0.20499999999999999</v>
      </c>
      <c r="Q104" s="29">
        <v>9.8000000000000004E-2</v>
      </c>
      <c r="R104" s="29">
        <v>0.17800000000000002</v>
      </c>
      <c r="S104" s="29">
        <v>0.23</v>
      </c>
      <c r="T104" s="29">
        <v>0.23699999999999999</v>
      </c>
      <c r="U104" s="65">
        <v>0.31</v>
      </c>
      <c r="V104" s="65">
        <v>0.217</v>
      </c>
      <c r="W104" s="117" t="s">
        <v>344</v>
      </c>
      <c r="X104" s="117" t="s">
        <v>344</v>
      </c>
    </row>
    <row r="105" spans="1:24" ht="15.75" customHeight="1" x14ac:dyDescent="0.2">
      <c r="A105" s="30" t="s">
        <v>212</v>
      </c>
      <c r="B105" s="17" t="s">
        <v>182</v>
      </c>
      <c r="C105" s="17" t="s">
        <v>92</v>
      </c>
      <c r="D105" s="29" t="s">
        <v>190</v>
      </c>
      <c r="E105" s="29" t="s">
        <v>190</v>
      </c>
      <c r="F105" s="29" t="s">
        <v>190</v>
      </c>
      <c r="G105" s="29" t="s">
        <v>190</v>
      </c>
      <c r="H105" s="29" t="s">
        <v>190</v>
      </c>
      <c r="I105" s="29" t="s">
        <v>190</v>
      </c>
      <c r="J105" s="29" t="s">
        <v>190</v>
      </c>
      <c r="K105" s="29" t="s">
        <v>190</v>
      </c>
      <c r="L105" s="29">
        <v>0.18100000000000002</v>
      </c>
      <c r="M105" s="29">
        <v>0.20399999999999999</v>
      </c>
      <c r="N105" s="29">
        <v>0.17699999999999999</v>
      </c>
      <c r="O105" s="29">
        <v>0.14899999999999999</v>
      </c>
      <c r="P105" s="29">
        <v>0.184</v>
      </c>
      <c r="Q105" s="29">
        <v>0.154</v>
      </c>
      <c r="R105" s="29">
        <v>0.185</v>
      </c>
      <c r="S105" s="29">
        <v>0.17600000000000002</v>
      </c>
      <c r="T105" s="29">
        <v>0.161</v>
      </c>
      <c r="U105" s="65">
        <v>0.25700000000000001</v>
      </c>
      <c r="V105" s="65">
        <v>0.23699999999999999</v>
      </c>
      <c r="W105" s="117" t="s">
        <v>344</v>
      </c>
      <c r="X105" s="117" t="s">
        <v>344</v>
      </c>
    </row>
    <row r="106" spans="1:24" ht="15.75" customHeight="1" x14ac:dyDescent="0.2">
      <c r="A106" s="30" t="s">
        <v>212</v>
      </c>
      <c r="B106" s="17" t="s">
        <v>182</v>
      </c>
      <c r="C106" s="17" t="s">
        <v>93</v>
      </c>
      <c r="D106" s="29" t="s">
        <v>190</v>
      </c>
      <c r="E106" s="29" t="s">
        <v>190</v>
      </c>
      <c r="F106" s="29" t="s">
        <v>190</v>
      </c>
      <c r="G106" s="29" t="s">
        <v>190</v>
      </c>
      <c r="H106" s="29" t="s">
        <v>190</v>
      </c>
      <c r="I106" s="29" t="s">
        <v>190</v>
      </c>
      <c r="J106" s="29" t="s">
        <v>190</v>
      </c>
      <c r="K106" s="29" t="s">
        <v>190</v>
      </c>
      <c r="L106" s="29">
        <v>0.16200000000000001</v>
      </c>
      <c r="M106" s="29">
        <v>0.27500000000000002</v>
      </c>
      <c r="N106" s="29" t="s">
        <v>208</v>
      </c>
      <c r="O106" s="29" t="s">
        <v>208</v>
      </c>
      <c r="P106" s="29">
        <v>0.18899999999999997</v>
      </c>
      <c r="Q106" s="29">
        <v>0.254</v>
      </c>
      <c r="R106" s="29">
        <v>0.20199999999999999</v>
      </c>
      <c r="S106" s="29" t="s">
        <v>208</v>
      </c>
      <c r="T106" s="29">
        <v>0.20499999999999999</v>
      </c>
      <c r="U106" s="29" t="s">
        <v>208</v>
      </c>
      <c r="V106" s="29" t="s">
        <v>208</v>
      </c>
      <c r="W106" s="117" t="s">
        <v>344</v>
      </c>
      <c r="X106" s="117" t="s">
        <v>344</v>
      </c>
    </row>
    <row r="107" spans="1:24" ht="15.75" customHeight="1" x14ac:dyDescent="0.2">
      <c r="A107" s="30" t="s">
        <v>212</v>
      </c>
      <c r="B107" s="17" t="s">
        <v>182</v>
      </c>
      <c r="C107" s="17" t="s">
        <v>94</v>
      </c>
      <c r="D107" s="29" t="s">
        <v>190</v>
      </c>
      <c r="E107" s="29" t="s">
        <v>190</v>
      </c>
      <c r="F107" s="29" t="s">
        <v>190</v>
      </c>
      <c r="G107" s="29" t="s">
        <v>190</v>
      </c>
      <c r="H107" s="29" t="s">
        <v>190</v>
      </c>
      <c r="I107" s="29" t="s">
        <v>190</v>
      </c>
      <c r="J107" s="29" t="s">
        <v>190</v>
      </c>
      <c r="K107" s="29" t="s">
        <v>190</v>
      </c>
      <c r="L107" s="29">
        <v>0.222</v>
      </c>
      <c r="M107" s="29">
        <v>0.21600000000000003</v>
      </c>
      <c r="N107" s="29">
        <v>0.18100000000000002</v>
      </c>
      <c r="O107" s="29">
        <v>0.185</v>
      </c>
      <c r="P107" s="29">
        <v>0.187</v>
      </c>
      <c r="Q107" s="29">
        <v>0.16300000000000001</v>
      </c>
      <c r="R107" s="29">
        <v>0.19600000000000001</v>
      </c>
      <c r="S107" s="29">
        <v>0.16699999999999998</v>
      </c>
      <c r="T107" s="29">
        <v>0.156</v>
      </c>
      <c r="U107" s="65">
        <v>0.17600000000000002</v>
      </c>
      <c r="V107" s="65">
        <v>0.159</v>
      </c>
      <c r="W107" s="117" t="s">
        <v>344</v>
      </c>
      <c r="X107" s="117" t="s">
        <v>344</v>
      </c>
    </row>
    <row r="108" spans="1:24" ht="15.75" customHeight="1" x14ac:dyDescent="0.2">
      <c r="A108" s="30" t="s">
        <v>212</v>
      </c>
      <c r="B108" s="17" t="s">
        <v>182</v>
      </c>
      <c r="C108" s="17" t="s">
        <v>95</v>
      </c>
      <c r="D108" s="29" t="s">
        <v>190</v>
      </c>
      <c r="E108" s="29" t="s">
        <v>190</v>
      </c>
      <c r="F108" s="29" t="s">
        <v>190</v>
      </c>
      <c r="G108" s="29" t="s">
        <v>190</v>
      </c>
      <c r="H108" s="29" t="s">
        <v>190</v>
      </c>
      <c r="I108" s="29" t="s">
        <v>190</v>
      </c>
      <c r="J108" s="29" t="s">
        <v>190</v>
      </c>
      <c r="K108" s="29" t="s">
        <v>190</v>
      </c>
      <c r="L108" s="29">
        <v>0.14099999999999999</v>
      </c>
      <c r="M108" s="29">
        <v>0.193</v>
      </c>
      <c r="N108" s="29">
        <v>0.218</v>
      </c>
      <c r="O108" s="29">
        <v>0.13800000000000001</v>
      </c>
      <c r="P108" s="29">
        <v>0.251</v>
      </c>
      <c r="Q108" s="29">
        <v>0.222</v>
      </c>
      <c r="R108" s="29">
        <v>0.23899999999999999</v>
      </c>
      <c r="S108" s="29">
        <v>0.26800000000000002</v>
      </c>
      <c r="T108" s="29">
        <v>0.23699999999999999</v>
      </c>
      <c r="U108" s="65">
        <v>0.40600000000000003</v>
      </c>
      <c r="V108" s="29" t="s">
        <v>208</v>
      </c>
      <c r="W108" s="117" t="s">
        <v>344</v>
      </c>
      <c r="X108" s="117" t="s">
        <v>344</v>
      </c>
    </row>
    <row r="109" spans="1:24" ht="30" customHeight="1" x14ac:dyDescent="0.2">
      <c r="A109" s="30" t="s">
        <v>212</v>
      </c>
      <c r="B109" s="17" t="s">
        <v>183</v>
      </c>
      <c r="C109" s="17" t="s">
        <v>112</v>
      </c>
      <c r="D109" s="33" t="s">
        <v>190</v>
      </c>
      <c r="E109" s="33" t="s">
        <v>190</v>
      </c>
      <c r="F109" s="33" t="s">
        <v>190</v>
      </c>
      <c r="G109" s="33" t="s">
        <v>190</v>
      </c>
      <c r="H109" s="33" t="s">
        <v>190</v>
      </c>
      <c r="I109" s="33" t="s">
        <v>190</v>
      </c>
      <c r="J109" s="29" t="s">
        <v>190</v>
      </c>
      <c r="K109" s="29" t="s">
        <v>190</v>
      </c>
      <c r="L109" s="29">
        <v>0.217</v>
      </c>
      <c r="M109" s="29">
        <v>0.20899999999999999</v>
      </c>
      <c r="N109" s="29">
        <v>0.16500000000000001</v>
      </c>
      <c r="O109" s="29">
        <v>0.21299999999999999</v>
      </c>
      <c r="P109" s="29">
        <v>0.19899999999999998</v>
      </c>
      <c r="Q109" s="29">
        <v>0.21199999999999999</v>
      </c>
      <c r="R109" s="29">
        <v>0.218</v>
      </c>
      <c r="S109" s="29">
        <v>0.21199999999999999</v>
      </c>
      <c r="T109" s="29">
        <v>0.20100000000000001</v>
      </c>
      <c r="U109" s="65">
        <v>0.254</v>
      </c>
      <c r="V109" s="65">
        <v>0.248</v>
      </c>
      <c r="W109" s="117" t="s">
        <v>344</v>
      </c>
      <c r="X109" s="117" t="s">
        <v>344</v>
      </c>
    </row>
    <row r="110" spans="1:24" x14ac:dyDescent="0.2">
      <c r="A110" s="30" t="s">
        <v>212</v>
      </c>
      <c r="B110" s="17" t="s">
        <v>183</v>
      </c>
      <c r="C110" s="9" t="s">
        <v>113</v>
      </c>
      <c r="D110" s="33" t="s">
        <v>190</v>
      </c>
      <c r="E110" s="33" t="s">
        <v>190</v>
      </c>
      <c r="F110" s="33" t="s">
        <v>190</v>
      </c>
      <c r="G110" s="33" t="s">
        <v>190</v>
      </c>
      <c r="H110" s="33" t="s">
        <v>190</v>
      </c>
      <c r="I110" s="33" t="s">
        <v>190</v>
      </c>
      <c r="J110" s="29" t="s">
        <v>190</v>
      </c>
      <c r="K110" s="29" t="s">
        <v>190</v>
      </c>
      <c r="L110" s="29">
        <v>0.159</v>
      </c>
      <c r="M110" s="29">
        <v>0.22699999999999998</v>
      </c>
      <c r="N110" s="29">
        <v>0.17100000000000001</v>
      </c>
      <c r="O110" s="29">
        <v>0.157</v>
      </c>
      <c r="P110" s="29">
        <v>0.22699999999999998</v>
      </c>
      <c r="Q110" s="29">
        <v>0.115</v>
      </c>
      <c r="R110" s="29">
        <v>0.16399999999999998</v>
      </c>
      <c r="S110" s="29">
        <v>0.249</v>
      </c>
      <c r="T110" s="29">
        <v>0.182</v>
      </c>
      <c r="U110" s="65">
        <v>0.309</v>
      </c>
      <c r="V110" s="65">
        <v>0.20399999999999999</v>
      </c>
      <c r="W110" s="117" t="s">
        <v>344</v>
      </c>
      <c r="X110" s="117" t="s">
        <v>344</v>
      </c>
    </row>
    <row r="111" spans="1:24" x14ac:dyDescent="0.2">
      <c r="A111" s="30" t="s">
        <v>212</v>
      </c>
      <c r="B111" s="17" t="s">
        <v>183</v>
      </c>
      <c r="C111" s="9" t="s">
        <v>114</v>
      </c>
      <c r="D111" s="33" t="s">
        <v>190</v>
      </c>
      <c r="E111" s="33" t="s">
        <v>190</v>
      </c>
      <c r="F111" s="33" t="s">
        <v>190</v>
      </c>
      <c r="G111" s="33" t="s">
        <v>190</v>
      </c>
      <c r="H111" s="33" t="s">
        <v>190</v>
      </c>
      <c r="I111" s="33" t="s">
        <v>190</v>
      </c>
      <c r="J111" s="29" t="s">
        <v>190</v>
      </c>
      <c r="K111" s="29" t="s">
        <v>190</v>
      </c>
      <c r="L111" s="29">
        <v>0.20600000000000002</v>
      </c>
      <c r="M111" s="29">
        <v>0.21899999999999997</v>
      </c>
      <c r="N111" s="29">
        <v>0.2</v>
      </c>
      <c r="O111" s="29">
        <v>0.16200000000000001</v>
      </c>
      <c r="P111" s="29">
        <v>0.193</v>
      </c>
      <c r="Q111" s="29">
        <v>0.156</v>
      </c>
      <c r="R111" s="29">
        <v>0.16699999999999998</v>
      </c>
      <c r="S111" s="29">
        <v>0.17199999999999999</v>
      </c>
      <c r="T111" s="29">
        <v>0.2</v>
      </c>
      <c r="U111" s="65">
        <v>0.218</v>
      </c>
      <c r="V111" s="65">
        <v>0.26200000000000001</v>
      </c>
      <c r="W111" s="117" t="s">
        <v>344</v>
      </c>
      <c r="X111" s="117" t="s">
        <v>344</v>
      </c>
    </row>
    <row r="112" spans="1:24" x14ac:dyDescent="0.2">
      <c r="A112" s="30" t="s">
        <v>212</v>
      </c>
      <c r="B112" s="17" t="s">
        <v>183</v>
      </c>
      <c r="C112" s="9" t="s">
        <v>115</v>
      </c>
      <c r="D112" s="33" t="s">
        <v>190</v>
      </c>
      <c r="E112" s="33" t="s">
        <v>190</v>
      </c>
      <c r="F112" s="33" t="s">
        <v>190</v>
      </c>
      <c r="G112" s="33" t="s">
        <v>190</v>
      </c>
      <c r="H112" s="33" t="s">
        <v>190</v>
      </c>
      <c r="I112" s="33" t="s">
        <v>190</v>
      </c>
      <c r="J112" s="29" t="s">
        <v>190</v>
      </c>
      <c r="K112" s="29" t="s">
        <v>190</v>
      </c>
      <c r="L112" s="29">
        <v>0.21299999999999999</v>
      </c>
      <c r="M112" s="29">
        <v>0.218</v>
      </c>
      <c r="N112" s="29">
        <v>0.153</v>
      </c>
      <c r="O112" s="29">
        <v>0.152</v>
      </c>
      <c r="P112" s="29">
        <v>0.17300000000000001</v>
      </c>
      <c r="Q112" s="29">
        <v>0.192</v>
      </c>
      <c r="R112" s="29">
        <v>0.17100000000000001</v>
      </c>
      <c r="S112" s="29">
        <v>0.23</v>
      </c>
      <c r="T112" s="29">
        <v>0.25800000000000001</v>
      </c>
      <c r="U112" s="65">
        <v>0.39</v>
      </c>
      <c r="V112" s="65">
        <v>0.29299999999999998</v>
      </c>
      <c r="W112" s="117" t="s">
        <v>344</v>
      </c>
      <c r="X112" s="117" t="s">
        <v>344</v>
      </c>
    </row>
    <row r="113" spans="1:24" x14ac:dyDescent="0.2">
      <c r="A113" s="30" t="s">
        <v>212</v>
      </c>
      <c r="B113" s="17" t="s">
        <v>183</v>
      </c>
      <c r="C113" s="9" t="s">
        <v>13</v>
      </c>
      <c r="D113" s="33" t="s">
        <v>190</v>
      </c>
      <c r="E113" s="33" t="s">
        <v>190</v>
      </c>
      <c r="F113" s="33" t="s">
        <v>190</v>
      </c>
      <c r="G113" s="33" t="s">
        <v>190</v>
      </c>
      <c r="H113" s="33" t="s">
        <v>190</v>
      </c>
      <c r="I113" s="33" t="s">
        <v>190</v>
      </c>
      <c r="J113" s="29" t="s">
        <v>190</v>
      </c>
      <c r="K113" s="29" t="s">
        <v>190</v>
      </c>
      <c r="L113" s="29">
        <v>0.18899999999999997</v>
      </c>
      <c r="M113" s="29">
        <v>0.17</v>
      </c>
      <c r="N113" s="29">
        <v>0.188</v>
      </c>
      <c r="O113" s="29">
        <v>0.23399999999999999</v>
      </c>
      <c r="P113" s="29">
        <v>0.20699999999999999</v>
      </c>
      <c r="Q113" s="29">
        <v>0.21199999999999999</v>
      </c>
      <c r="R113" s="29">
        <v>0.22899999999999998</v>
      </c>
      <c r="S113" s="29">
        <v>0.221</v>
      </c>
      <c r="T113" s="29">
        <v>0.222</v>
      </c>
      <c r="U113" s="65">
        <v>0.247</v>
      </c>
      <c r="V113" s="65">
        <v>0.19600000000000001</v>
      </c>
      <c r="W113" s="117" t="s">
        <v>344</v>
      </c>
      <c r="X113" s="117" t="s">
        <v>344</v>
      </c>
    </row>
    <row r="114" spans="1:24" x14ac:dyDescent="0.2">
      <c r="A114" s="30" t="s">
        <v>212</v>
      </c>
      <c r="B114" s="17" t="s">
        <v>183</v>
      </c>
      <c r="C114" s="9" t="s">
        <v>116</v>
      </c>
      <c r="D114" s="33" t="s">
        <v>190</v>
      </c>
      <c r="E114" s="33" t="s">
        <v>190</v>
      </c>
      <c r="F114" s="33" t="s">
        <v>190</v>
      </c>
      <c r="G114" s="33" t="s">
        <v>190</v>
      </c>
      <c r="H114" s="33" t="s">
        <v>190</v>
      </c>
      <c r="I114" s="33" t="s">
        <v>190</v>
      </c>
      <c r="J114" s="29" t="s">
        <v>190</v>
      </c>
      <c r="K114" s="29" t="s">
        <v>190</v>
      </c>
      <c r="L114" s="29">
        <v>0.14099999999999999</v>
      </c>
      <c r="M114" s="29">
        <v>0.17300000000000001</v>
      </c>
      <c r="N114" s="29">
        <v>8.4000000000000005E-2</v>
      </c>
      <c r="O114" s="29">
        <v>0.11</v>
      </c>
      <c r="P114" s="29">
        <v>0.11900000000000001</v>
      </c>
      <c r="Q114" s="29">
        <v>0.11699999999999999</v>
      </c>
      <c r="R114" s="29">
        <v>0.125</v>
      </c>
      <c r="S114" s="29">
        <v>0.109</v>
      </c>
      <c r="T114" s="29">
        <v>0.13100000000000001</v>
      </c>
      <c r="U114" s="65">
        <v>0.19399999999999998</v>
      </c>
      <c r="V114" s="65">
        <v>0.125</v>
      </c>
      <c r="W114" s="117" t="s">
        <v>344</v>
      </c>
      <c r="X114" s="117" t="s">
        <v>344</v>
      </c>
    </row>
    <row r="115" spans="1:24" x14ac:dyDescent="0.2">
      <c r="A115" s="30" t="s">
        <v>212</v>
      </c>
      <c r="B115" s="17" t="s">
        <v>183</v>
      </c>
      <c r="C115" s="9" t="s">
        <v>117</v>
      </c>
      <c r="D115" s="33" t="s">
        <v>190</v>
      </c>
      <c r="E115" s="33" t="s">
        <v>190</v>
      </c>
      <c r="F115" s="33" t="s">
        <v>190</v>
      </c>
      <c r="G115" s="33" t="s">
        <v>190</v>
      </c>
      <c r="H115" s="33" t="s">
        <v>190</v>
      </c>
      <c r="I115" s="33" t="s">
        <v>190</v>
      </c>
      <c r="J115" s="29" t="s">
        <v>190</v>
      </c>
      <c r="K115" s="29" t="s">
        <v>190</v>
      </c>
      <c r="L115" s="29">
        <v>0.222</v>
      </c>
      <c r="M115" s="29">
        <v>0.21600000000000003</v>
      </c>
      <c r="N115" s="29">
        <v>0.18100000000000002</v>
      </c>
      <c r="O115" s="29">
        <v>0.185</v>
      </c>
      <c r="P115" s="29">
        <v>0.187</v>
      </c>
      <c r="Q115" s="29">
        <v>0.16300000000000001</v>
      </c>
      <c r="R115" s="29">
        <v>0.19600000000000001</v>
      </c>
      <c r="S115" s="29">
        <v>0.16699999999999998</v>
      </c>
      <c r="T115" s="29">
        <v>0.156</v>
      </c>
      <c r="U115" s="65">
        <v>0.17600000000000002</v>
      </c>
      <c r="V115" s="65">
        <v>0.159</v>
      </c>
      <c r="W115" s="117" t="s">
        <v>344</v>
      </c>
      <c r="X115" s="117" t="s">
        <v>344</v>
      </c>
    </row>
    <row r="116" spans="1:24" x14ac:dyDescent="0.2">
      <c r="A116" s="30" t="s">
        <v>212</v>
      </c>
      <c r="B116" s="17" t="s">
        <v>183</v>
      </c>
      <c r="C116" s="9" t="s">
        <v>118</v>
      </c>
      <c r="D116" s="33" t="s">
        <v>190</v>
      </c>
      <c r="E116" s="33" t="s">
        <v>190</v>
      </c>
      <c r="F116" s="33" t="s">
        <v>190</v>
      </c>
      <c r="G116" s="33" t="s">
        <v>190</v>
      </c>
      <c r="H116" s="33" t="s">
        <v>190</v>
      </c>
      <c r="I116" s="33" t="s">
        <v>190</v>
      </c>
      <c r="J116" s="29" t="s">
        <v>190</v>
      </c>
      <c r="K116" s="29" t="s">
        <v>190</v>
      </c>
      <c r="L116" s="29">
        <v>0.191</v>
      </c>
      <c r="M116" s="29">
        <v>0.13900000000000001</v>
      </c>
      <c r="N116" s="29">
        <v>0.127</v>
      </c>
      <c r="O116" s="29">
        <v>0.126</v>
      </c>
      <c r="P116" s="29">
        <v>9.3000000000000013E-2</v>
      </c>
      <c r="Q116" s="29">
        <v>0.14599999999999999</v>
      </c>
      <c r="R116" s="29">
        <v>0.183</v>
      </c>
      <c r="S116" s="29">
        <v>0.192</v>
      </c>
      <c r="T116" s="29">
        <v>0.254</v>
      </c>
      <c r="U116" s="65">
        <v>0.26300000000000001</v>
      </c>
      <c r="V116" s="65">
        <v>0.23899999999999999</v>
      </c>
      <c r="W116" s="117" t="s">
        <v>344</v>
      </c>
      <c r="X116" s="117" t="s">
        <v>344</v>
      </c>
    </row>
    <row r="117" spans="1:24" x14ac:dyDescent="0.2">
      <c r="A117" s="30" t="s">
        <v>212</v>
      </c>
      <c r="B117" s="17" t="s">
        <v>183</v>
      </c>
      <c r="C117" s="9" t="s">
        <v>184</v>
      </c>
      <c r="D117" s="33" t="s">
        <v>190</v>
      </c>
      <c r="E117" s="33" t="s">
        <v>190</v>
      </c>
      <c r="F117" s="33" t="s">
        <v>190</v>
      </c>
      <c r="G117" s="33" t="s">
        <v>190</v>
      </c>
      <c r="H117" s="33" t="s">
        <v>190</v>
      </c>
      <c r="I117" s="33" t="s">
        <v>190</v>
      </c>
      <c r="J117" s="29" t="s">
        <v>190</v>
      </c>
      <c r="K117" s="29" t="s">
        <v>190</v>
      </c>
      <c r="L117" s="29">
        <v>0.19699999999999998</v>
      </c>
      <c r="M117" s="29">
        <v>0.20199999999999999</v>
      </c>
      <c r="N117" s="29">
        <v>0.17800000000000002</v>
      </c>
      <c r="O117" s="29">
        <v>0.17899999999999999</v>
      </c>
      <c r="P117" s="29">
        <v>0.18899999999999997</v>
      </c>
      <c r="Q117" s="29">
        <v>0.17199999999999999</v>
      </c>
      <c r="R117" s="29">
        <v>0.187</v>
      </c>
      <c r="S117" s="29">
        <v>0.19399999999999998</v>
      </c>
      <c r="T117" s="29">
        <v>0.20399999999999999</v>
      </c>
      <c r="U117" s="65">
        <v>0.245</v>
      </c>
      <c r="V117" s="65">
        <v>0.23100000000000001</v>
      </c>
      <c r="W117" s="117" t="s">
        <v>344</v>
      </c>
      <c r="X117" s="117" t="s">
        <v>344</v>
      </c>
    </row>
    <row r="118" spans="1:24" ht="30" customHeight="1" x14ac:dyDescent="0.2">
      <c r="A118" s="30" t="s">
        <v>212</v>
      </c>
      <c r="B118" s="17" t="s">
        <v>185</v>
      </c>
      <c r="C118" s="17" t="s">
        <v>111</v>
      </c>
      <c r="D118" s="33" t="s">
        <v>190</v>
      </c>
      <c r="E118" s="33" t="s">
        <v>190</v>
      </c>
      <c r="F118" s="33" t="s">
        <v>190</v>
      </c>
      <c r="G118" s="33" t="s">
        <v>190</v>
      </c>
      <c r="H118" s="33" t="s">
        <v>190</v>
      </c>
      <c r="I118" s="33" t="s">
        <v>190</v>
      </c>
      <c r="J118" s="29" t="s">
        <v>190</v>
      </c>
      <c r="K118" s="29" t="s">
        <v>190</v>
      </c>
      <c r="L118" s="29">
        <v>0.29399999999999998</v>
      </c>
      <c r="M118" s="29">
        <v>0.28499999999999998</v>
      </c>
      <c r="N118" s="29">
        <v>0.31900000000000001</v>
      </c>
      <c r="O118" s="29">
        <v>0.41200000000000003</v>
      </c>
      <c r="P118" s="29">
        <v>0.25600000000000001</v>
      </c>
      <c r="Q118" s="29">
        <v>0.31900000000000001</v>
      </c>
      <c r="R118" s="29">
        <v>0.32700000000000001</v>
      </c>
      <c r="S118" s="29">
        <v>0.29799999999999999</v>
      </c>
      <c r="T118" s="29">
        <v>0.28999999999999998</v>
      </c>
      <c r="U118" s="65">
        <v>0.33600000000000002</v>
      </c>
      <c r="V118" s="65">
        <v>0.23600000000000002</v>
      </c>
      <c r="W118" s="117" t="s">
        <v>344</v>
      </c>
      <c r="X118" s="117" t="s">
        <v>344</v>
      </c>
    </row>
    <row r="119" spans="1:24" x14ac:dyDescent="0.2">
      <c r="A119" s="30" t="s">
        <v>212</v>
      </c>
      <c r="B119" s="17" t="s">
        <v>185</v>
      </c>
      <c r="C119" s="9" t="s">
        <v>186</v>
      </c>
      <c r="D119" s="33" t="s">
        <v>190</v>
      </c>
      <c r="E119" s="33" t="s">
        <v>190</v>
      </c>
      <c r="F119" s="33" t="s">
        <v>190</v>
      </c>
      <c r="G119" s="33" t="s">
        <v>190</v>
      </c>
      <c r="H119" s="33" t="s">
        <v>190</v>
      </c>
      <c r="I119" s="33" t="s">
        <v>190</v>
      </c>
      <c r="J119" s="29" t="s">
        <v>190</v>
      </c>
      <c r="K119" s="29" t="s">
        <v>190</v>
      </c>
      <c r="L119" s="29">
        <v>0.26899999999999996</v>
      </c>
      <c r="M119" s="29">
        <v>0.23399999999999999</v>
      </c>
      <c r="N119" s="29">
        <v>0.251</v>
      </c>
      <c r="O119" s="29">
        <v>0.21199999999999999</v>
      </c>
      <c r="P119" s="29">
        <v>0.23899999999999999</v>
      </c>
      <c r="Q119" s="29">
        <v>0.248</v>
      </c>
      <c r="R119" s="29">
        <v>0.28499999999999998</v>
      </c>
      <c r="S119" s="29">
        <v>0.27500000000000002</v>
      </c>
      <c r="T119" s="29">
        <v>0.27600000000000002</v>
      </c>
      <c r="U119" s="65">
        <v>0.215</v>
      </c>
      <c r="V119" s="65">
        <v>0.21199999999999999</v>
      </c>
      <c r="W119" s="117" t="s">
        <v>344</v>
      </c>
      <c r="X119" s="117" t="s">
        <v>344</v>
      </c>
    </row>
    <row r="120" spans="1:24" x14ac:dyDescent="0.2">
      <c r="A120" s="30" t="s">
        <v>212</v>
      </c>
      <c r="B120" s="17" t="s">
        <v>185</v>
      </c>
      <c r="C120" s="9" t="s">
        <v>151</v>
      </c>
      <c r="D120" s="33" t="s">
        <v>190</v>
      </c>
      <c r="E120" s="33" t="s">
        <v>190</v>
      </c>
      <c r="F120" s="33" t="s">
        <v>190</v>
      </c>
      <c r="G120" s="33" t="s">
        <v>190</v>
      </c>
      <c r="H120" s="33" t="s">
        <v>190</v>
      </c>
      <c r="I120" s="33" t="s">
        <v>190</v>
      </c>
      <c r="J120" s="29" t="s">
        <v>190</v>
      </c>
      <c r="K120" s="29" t="s">
        <v>190</v>
      </c>
      <c r="L120" s="29">
        <v>0.28000000000000003</v>
      </c>
      <c r="M120" s="29">
        <v>0.25900000000000001</v>
      </c>
      <c r="N120" s="29">
        <v>0.26500000000000001</v>
      </c>
      <c r="O120" s="29">
        <v>0.25600000000000001</v>
      </c>
      <c r="P120" s="29">
        <v>0.24199999999999999</v>
      </c>
      <c r="Q120" s="29">
        <v>0.25900000000000001</v>
      </c>
      <c r="R120" s="29">
        <v>0.27699999999999997</v>
      </c>
      <c r="S120" s="29">
        <v>0.28100000000000003</v>
      </c>
      <c r="T120" s="29">
        <v>0.23699999999999999</v>
      </c>
      <c r="U120" s="65">
        <v>0.23600000000000002</v>
      </c>
      <c r="V120" s="65">
        <v>0.21199999999999999</v>
      </c>
      <c r="W120" s="117" t="s">
        <v>344</v>
      </c>
      <c r="X120" s="117" t="s">
        <v>344</v>
      </c>
    </row>
    <row r="121" spans="1:24" ht="34.5" customHeight="1" x14ac:dyDescent="0.2">
      <c r="A121" s="30" t="s">
        <v>212</v>
      </c>
      <c r="B121" s="91" t="s">
        <v>270</v>
      </c>
      <c r="C121" s="92" t="s">
        <v>271</v>
      </c>
      <c r="D121" s="48" t="s">
        <v>190</v>
      </c>
      <c r="E121" s="48" t="s">
        <v>190</v>
      </c>
      <c r="F121" s="48" t="s">
        <v>190</v>
      </c>
      <c r="G121" s="48" t="s">
        <v>190</v>
      </c>
      <c r="H121" s="48" t="s">
        <v>190</v>
      </c>
      <c r="I121" s="48" t="s">
        <v>190</v>
      </c>
      <c r="J121" s="48" t="s">
        <v>190</v>
      </c>
      <c r="K121" s="48" t="s">
        <v>190</v>
      </c>
      <c r="L121" s="29">
        <v>0.21600000000000003</v>
      </c>
      <c r="M121" s="29">
        <v>0.20499999999999999</v>
      </c>
      <c r="N121" s="29">
        <v>0.157</v>
      </c>
      <c r="O121" s="29">
        <v>0.24399999999999999</v>
      </c>
      <c r="P121" s="29">
        <v>0.159</v>
      </c>
      <c r="Q121" s="29">
        <v>0.217</v>
      </c>
      <c r="R121" s="29">
        <v>0.158</v>
      </c>
      <c r="S121" s="29">
        <v>0.10199999999999999</v>
      </c>
      <c r="T121" s="29">
        <v>0.17399999999999999</v>
      </c>
      <c r="U121" s="29">
        <v>0.30499999999999999</v>
      </c>
      <c r="V121" s="29" t="s">
        <v>208</v>
      </c>
      <c r="W121" s="117" t="s">
        <v>344</v>
      </c>
      <c r="X121" s="117" t="s">
        <v>344</v>
      </c>
    </row>
    <row r="122" spans="1:24" x14ac:dyDescent="0.2">
      <c r="A122" s="30" t="s">
        <v>212</v>
      </c>
      <c r="B122" s="91" t="s">
        <v>270</v>
      </c>
      <c r="C122" s="92" t="s">
        <v>272</v>
      </c>
      <c r="D122" s="48" t="s">
        <v>190</v>
      </c>
      <c r="E122" s="48" t="s">
        <v>190</v>
      </c>
      <c r="F122" s="48" t="s">
        <v>190</v>
      </c>
      <c r="G122" s="48" t="s">
        <v>190</v>
      </c>
      <c r="H122" s="48" t="s">
        <v>190</v>
      </c>
      <c r="I122" s="48" t="s">
        <v>190</v>
      </c>
      <c r="J122" s="48" t="s">
        <v>190</v>
      </c>
      <c r="K122" s="48" t="s">
        <v>190</v>
      </c>
      <c r="L122" s="29">
        <v>0.22500000000000001</v>
      </c>
      <c r="M122" s="29">
        <v>0.21100000000000002</v>
      </c>
      <c r="N122" s="29">
        <v>0.21199999999999999</v>
      </c>
      <c r="O122" s="29">
        <v>0.23600000000000002</v>
      </c>
      <c r="P122" s="29">
        <v>0.13900000000000001</v>
      </c>
      <c r="Q122" s="29">
        <v>0.21299999999999999</v>
      </c>
      <c r="R122" s="29">
        <v>0.249</v>
      </c>
      <c r="S122" s="29">
        <v>0.12</v>
      </c>
      <c r="T122" s="29" t="s">
        <v>208</v>
      </c>
      <c r="U122" s="29" t="s">
        <v>208</v>
      </c>
      <c r="V122" s="29" t="s">
        <v>208</v>
      </c>
      <c r="W122" s="117" t="s">
        <v>344</v>
      </c>
      <c r="X122" s="117" t="s">
        <v>344</v>
      </c>
    </row>
    <row r="123" spans="1:24" x14ac:dyDescent="0.2">
      <c r="A123" s="30" t="s">
        <v>212</v>
      </c>
      <c r="B123" s="91" t="s">
        <v>270</v>
      </c>
      <c r="C123" s="92" t="s">
        <v>273</v>
      </c>
      <c r="D123" s="49" t="s">
        <v>190</v>
      </c>
      <c r="E123" s="49" t="s">
        <v>190</v>
      </c>
      <c r="F123" s="49" t="s">
        <v>190</v>
      </c>
      <c r="G123" s="49" t="s">
        <v>190</v>
      </c>
      <c r="H123" s="49" t="s">
        <v>190</v>
      </c>
      <c r="I123" s="49" t="s">
        <v>190</v>
      </c>
      <c r="J123" s="50" t="s">
        <v>190</v>
      </c>
      <c r="K123" s="50" t="s">
        <v>190</v>
      </c>
      <c r="L123" s="29">
        <v>0.191</v>
      </c>
      <c r="M123" s="29">
        <v>0.154</v>
      </c>
      <c r="N123" s="29">
        <v>0.20199999999999999</v>
      </c>
      <c r="O123" s="29">
        <v>0.19</v>
      </c>
      <c r="P123" s="29">
        <v>0.29799999999999999</v>
      </c>
      <c r="Q123" s="29">
        <v>0.36</v>
      </c>
      <c r="R123" s="29" t="s">
        <v>208</v>
      </c>
      <c r="S123" s="29">
        <v>0.45700000000000002</v>
      </c>
      <c r="T123" s="29">
        <v>0.34600000000000003</v>
      </c>
      <c r="U123" s="29" t="s">
        <v>208</v>
      </c>
      <c r="V123" s="29" t="s">
        <v>208</v>
      </c>
      <c r="W123" s="117" t="s">
        <v>344</v>
      </c>
      <c r="X123" s="117" t="s">
        <v>344</v>
      </c>
    </row>
    <row r="124" spans="1:24" x14ac:dyDescent="0.2">
      <c r="A124" s="30" t="s">
        <v>212</v>
      </c>
      <c r="B124" s="91" t="s">
        <v>270</v>
      </c>
      <c r="C124" s="92" t="s">
        <v>274</v>
      </c>
      <c r="D124" s="49" t="s">
        <v>190</v>
      </c>
      <c r="E124" s="49" t="s">
        <v>190</v>
      </c>
      <c r="F124" s="49" t="s">
        <v>190</v>
      </c>
      <c r="G124" s="49" t="s">
        <v>190</v>
      </c>
      <c r="H124" s="49" t="s">
        <v>190</v>
      </c>
      <c r="I124" s="49" t="s">
        <v>190</v>
      </c>
      <c r="J124" s="50" t="s">
        <v>190</v>
      </c>
      <c r="K124" s="50" t="s">
        <v>190</v>
      </c>
      <c r="L124" s="29">
        <v>0.22800000000000001</v>
      </c>
      <c r="M124" s="29">
        <v>0.22899999999999998</v>
      </c>
      <c r="N124" s="29">
        <v>0.17600000000000002</v>
      </c>
      <c r="O124" s="29">
        <v>0.19500000000000001</v>
      </c>
      <c r="P124" s="29">
        <v>0.17800000000000002</v>
      </c>
      <c r="Q124" s="29">
        <v>0.14599999999999999</v>
      </c>
      <c r="R124" s="29">
        <v>0.16699999999999998</v>
      </c>
      <c r="S124" s="29">
        <v>0.14899999999999999</v>
      </c>
      <c r="T124" s="29">
        <v>0.159</v>
      </c>
      <c r="U124" s="29">
        <v>0.16399999999999998</v>
      </c>
      <c r="V124" s="29">
        <v>0.188</v>
      </c>
      <c r="W124" s="117" t="s">
        <v>344</v>
      </c>
      <c r="X124" s="117" t="s">
        <v>344</v>
      </c>
    </row>
    <row r="125" spans="1:24" x14ac:dyDescent="0.2">
      <c r="A125" s="30" t="s">
        <v>212</v>
      </c>
      <c r="B125" s="91" t="s">
        <v>270</v>
      </c>
      <c r="C125" s="92" t="s">
        <v>275</v>
      </c>
      <c r="D125" s="49" t="s">
        <v>190</v>
      </c>
      <c r="E125" s="49" t="s">
        <v>190</v>
      </c>
      <c r="F125" s="49" t="s">
        <v>190</v>
      </c>
      <c r="G125" s="49" t="s">
        <v>190</v>
      </c>
      <c r="H125" s="49" t="s">
        <v>190</v>
      </c>
      <c r="I125" s="49" t="s">
        <v>190</v>
      </c>
      <c r="J125" s="50" t="s">
        <v>190</v>
      </c>
      <c r="K125" s="50" t="s">
        <v>190</v>
      </c>
      <c r="L125" s="29">
        <v>0.13600000000000001</v>
      </c>
      <c r="M125" s="29">
        <v>0.159</v>
      </c>
      <c r="N125" s="29">
        <v>7.2000000000000008E-2</v>
      </c>
      <c r="O125" s="29">
        <v>0.10199999999999999</v>
      </c>
      <c r="P125" s="29">
        <v>9.3000000000000013E-2</v>
      </c>
      <c r="Q125" s="29">
        <v>0.10099999999999999</v>
      </c>
      <c r="R125" s="29">
        <v>0.11599999999999999</v>
      </c>
      <c r="S125" s="29">
        <v>0.11900000000000001</v>
      </c>
      <c r="T125" s="29">
        <v>0.129</v>
      </c>
      <c r="U125" s="29">
        <v>0.20699999999999999</v>
      </c>
      <c r="V125" s="29">
        <v>0.129</v>
      </c>
      <c r="W125" s="117" t="s">
        <v>344</v>
      </c>
      <c r="X125" s="117" t="s">
        <v>344</v>
      </c>
    </row>
    <row r="126" spans="1:24" x14ac:dyDescent="0.2">
      <c r="A126" s="30" t="s">
        <v>212</v>
      </c>
      <c r="B126" s="91" t="s">
        <v>270</v>
      </c>
      <c r="C126" s="92" t="s">
        <v>276</v>
      </c>
      <c r="D126" s="49" t="s">
        <v>190</v>
      </c>
      <c r="E126" s="49" t="s">
        <v>190</v>
      </c>
      <c r="F126" s="49" t="s">
        <v>190</v>
      </c>
      <c r="G126" s="49" t="s">
        <v>190</v>
      </c>
      <c r="H126" s="49" t="s">
        <v>190</v>
      </c>
      <c r="I126" s="49" t="s">
        <v>190</v>
      </c>
      <c r="J126" s="50" t="s">
        <v>190</v>
      </c>
      <c r="K126" s="50" t="s">
        <v>190</v>
      </c>
      <c r="L126" s="29">
        <v>0.17</v>
      </c>
      <c r="M126" s="29">
        <v>0.30199999999999999</v>
      </c>
      <c r="N126" s="29">
        <v>0.183</v>
      </c>
      <c r="O126" s="29">
        <v>0.20499999999999999</v>
      </c>
      <c r="P126" s="29">
        <v>0.34700000000000003</v>
      </c>
      <c r="Q126" s="29" t="s">
        <v>208</v>
      </c>
      <c r="R126" s="29">
        <v>0.23100000000000001</v>
      </c>
      <c r="S126" s="29" t="s">
        <v>208</v>
      </c>
      <c r="T126" s="29" t="s">
        <v>208</v>
      </c>
      <c r="U126" s="29" t="s">
        <v>208</v>
      </c>
      <c r="V126" s="29" t="s">
        <v>208</v>
      </c>
      <c r="W126" s="117" t="s">
        <v>344</v>
      </c>
      <c r="X126" s="117" t="s">
        <v>344</v>
      </c>
    </row>
    <row r="127" spans="1:24" x14ac:dyDescent="0.2">
      <c r="A127" s="30" t="s">
        <v>212</v>
      </c>
      <c r="B127" s="91" t="s">
        <v>270</v>
      </c>
      <c r="C127" s="92" t="s">
        <v>277</v>
      </c>
      <c r="D127" s="49" t="s">
        <v>190</v>
      </c>
      <c r="E127" s="49" t="s">
        <v>190</v>
      </c>
      <c r="F127" s="49" t="s">
        <v>190</v>
      </c>
      <c r="G127" s="49" t="s">
        <v>190</v>
      </c>
      <c r="H127" s="49" t="s">
        <v>190</v>
      </c>
      <c r="I127" s="49" t="s">
        <v>190</v>
      </c>
      <c r="J127" s="50" t="s">
        <v>190</v>
      </c>
      <c r="K127" s="50" t="s">
        <v>190</v>
      </c>
      <c r="L127" s="29">
        <v>0.19</v>
      </c>
      <c r="M127" s="29">
        <v>0.14499999999999999</v>
      </c>
      <c r="N127" s="29">
        <v>0.12</v>
      </c>
      <c r="O127" s="29">
        <v>0.121</v>
      </c>
      <c r="P127" s="29">
        <v>8.199999999999999E-2</v>
      </c>
      <c r="Q127" s="29">
        <v>0.156</v>
      </c>
      <c r="R127" s="29">
        <v>0.184</v>
      </c>
      <c r="S127" s="29">
        <v>0.22699999999999998</v>
      </c>
      <c r="T127" s="29">
        <v>0.255</v>
      </c>
      <c r="U127" s="29">
        <v>0.25700000000000001</v>
      </c>
      <c r="V127" s="29">
        <v>0.251</v>
      </c>
      <c r="W127" s="117" t="s">
        <v>344</v>
      </c>
      <c r="X127" s="117" t="s">
        <v>344</v>
      </c>
    </row>
    <row r="128" spans="1:24" x14ac:dyDescent="0.2">
      <c r="A128" s="30" t="s">
        <v>212</v>
      </c>
      <c r="B128" s="91" t="s">
        <v>270</v>
      </c>
      <c r="C128" s="92" t="s">
        <v>278</v>
      </c>
      <c r="D128" s="49" t="s">
        <v>190</v>
      </c>
      <c r="E128" s="49" t="s">
        <v>190</v>
      </c>
      <c r="F128" s="49" t="s">
        <v>190</v>
      </c>
      <c r="G128" s="49" t="s">
        <v>190</v>
      </c>
      <c r="H128" s="49" t="s">
        <v>190</v>
      </c>
      <c r="I128" s="49" t="s">
        <v>190</v>
      </c>
      <c r="J128" s="50" t="s">
        <v>190</v>
      </c>
      <c r="K128" s="50" t="s">
        <v>190</v>
      </c>
      <c r="L128" s="29">
        <v>0.19600000000000001</v>
      </c>
      <c r="M128" s="29" t="s">
        <v>208</v>
      </c>
      <c r="N128" s="29">
        <v>0.16</v>
      </c>
      <c r="O128" s="29" t="s">
        <v>208</v>
      </c>
      <c r="P128" s="29">
        <v>0.185</v>
      </c>
      <c r="Q128" s="29" t="s">
        <v>208</v>
      </c>
      <c r="R128" s="29" t="s">
        <v>208</v>
      </c>
      <c r="S128" s="29" t="s">
        <v>208</v>
      </c>
      <c r="T128" s="29" t="s">
        <v>208</v>
      </c>
      <c r="U128" s="29" t="s">
        <v>208</v>
      </c>
      <c r="V128" s="29" t="s">
        <v>208</v>
      </c>
      <c r="W128" s="117" t="s">
        <v>344</v>
      </c>
      <c r="X128" s="117" t="s">
        <v>344</v>
      </c>
    </row>
    <row r="129" spans="1:24" x14ac:dyDescent="0.2">
      <c r="A129" s="30" t="s">
        <v>212</v>
      </c>
      <c r="B129" s="91" t="s">
        <v>270</v>
      </c>
      <c r="C129" s="92" t="s">
        <v>279</v>
      </c>
      <c r="D129" s="49" t="s">
        <v>190</v>
      </c>
      <c r="E129" s="49" t="s">
        <v>190</v>
      </c>
      <c r="F129" s="49" t="s">
        <v>190</v>
      </c>
      <c r="G129" s="49" t="s">
        <v>190</v>
      </c>
      <c r="H129" s="49" t="s">
        <v>190</v>
      </c>
      <c r="I129" s="49" t="s">
        <v>190</v>
      </c>
      <c r="J129" s="50" t="s">
        <v>190</v>
      </c>
      <c r="K129" s="50" t="s">
        <v>190</v>
      </c>
      <c r="L129" s="29">
        <v>0.19600000000000001</v>
      </c>
      <c r="M129" s="29">
        <v>0.151</v>
      </c>
      <c r="N129" s="29">
        <v>0.21100000000000002</v>
      </c>
      <c r="O129" s="29">
        <v>0.13699999999999998</v>
      </c>
      <c r="P129" s="29">
        <v>0.252</v>
      </c>
      <c r="Q129" s="29">
        <v>0.27200000000000002</v>
      </c>
      <c r="R129" s="29">
        <v>0.33100000000000002</v>
      </c>
      <c r="S129" s="29">
        <v>0.221</v>
      </c>
      <c r="T129" s="29">
        <v>0.14699999999999999</v>
      </c>
      <c r="U129" s="29">
        <v>0.22399999999999998</v>
      </c>
      <c r="V129" s="29">
        <v>7.4999999999999997E-2</v>
      </c>
      <c r="W129" s="117" t="s">
        <v>344</v>
      </c>
      <c r="X129" s="117" t="s">
        <v>344</v>
      </c>
    </row>
    <row r="130" spans="1:24" ht="32.1" customHeight="1" x14ac:dyDescent="0.2">
      <c r="A130" s="30" t="s">
        <v>212</v>
      </c>
      <c r="B130" s="82" t="s">
        <v>263</v>
      </c>
      <c r="C130" s="9" t="s">
        <v>280</v>
      </c>
      <c r="D130" s="29" t="s">
        <v>190</v>
      </c>
      <c r="E130" s="29" t="s">
        <v>190</v>
      </c>
      <c r="F130" s="29" t="s">
        <v>190</v>
      </c>
      <c r="G130" s="29" t="s">
        <v>190</v>
      </c>
      <c r="H130" s="29" t="s">
        <v>190</v>
      </c>
      <c r="I130" s="29" t="s">
        <v>190</v>
      </c>
      <c r="J130" s="29" t="s">
        <v>190</v>
      </c>
      <c r="K130" s="29" t="s">
        <v>190</v>
      </c>
      <c r="L130" s="29">
        <v>0.307</v>
      </c>
      <c r="M130" s="29">
        <v>0.32899999999999996</v>
      </c>
      <c r="N130" s="29">
        <v>0.32200000000000001</v>
      </c>
      <c r="O130" s="29">
        <v>0.314</v>
      </c>
      <c r="P130" s="29">
        <v>0.33899999999999997</v>
      </c>
      <c r="Q130" s="29">
        <v>0.32500000000000001</v>
      </c>
      <c r="R130" s="29">
        <v>0.317</v>
      </c>
      <c r="S130" s="29">
        <v>0.308</v>
      </c>
      <c r="T130" s="29">
        <v>0.33299999999999996</v>
      </c>
      <c r="U130" s="29">
        <v>0.309</v>
      </c>
      <c r="V130" s="65">
        <v>0.32400000000000001</v>
      </c>
      <c r="W130" s="117" t="s">
        <v>344</v>
      </c>
      <c r="X130" s="117" t="s">
        <v>344</v>
      </c>
    </row>
    <row r="131" spans="1:24" x14ac:dyDescent="0.2">
      <c r="A131" s="30" t="s">
        <v>212</v>
      </c>
      <c r="B131" s="82" t="s">
        <v>263</v>
      </c>
      <c r="C131" s="92" t="s">
        <v>264</v>
      </c>
      <c r="D131" s="33" t="s">
        <v>190</v>
      </c>
      <c r="E131" s="33" t="s">
        <v>190</v>
      </c>
      <c r="F131" s="33" t="s">
        <v>190</v>
      </c>
      <c r="G131" s="33" t="s">
        <v>190</v>
      </c>
      <c r="H131" s="33" t="s">
        <v>190</v>
      </c>
      <c r="I131" s="33" t="s">
        <v>190</v>
      </c>
      <c r="J131" s="29" t="s">
        <v>190</v>
      </c>
      <c r="K131" s="29" t="s">
        <v>190</v>
      </c>
      <c r="L131" s="29">
        <v>0.25</v>
      </c>
      <c r="M131" s="29">
        <v>0.24100000000000002</v>
      </c>
      <c r="N131" s="29">
        <v>0.23800000000000002</v>
      </c>
      <c r="O131" s="29">
        <v>0.22699999999999998</v>
      </c>
      <c r="P131" s="29">
        <v>0.249</v>
      </c>
      <c r="Q131" s="29">
        <v>0.23699999999999999</v>
      </c>
      <c r="R131" s="29">
        <v>0.24100000000000002</v>
      </c>
      <c r="S131" s="29">
        <v>0.23399999999999999</v>
      </c>
      <c r="T131" s="29">
        <v>0.247</v>
      </c>
      <c r="U131" s="29">
        <v>0.24100000000000002</v>
      </c>
      <c r="V131" s="65">
        <v>0.24</v>
      </c>
      <c r="W131" s="117" t="s">
        <v>344</v>
      </c>
      <c r="X131" s="117" t="s">
        <v>344</v>
      </c>
    </row>
    <row r="132" spans="1:24" x14ac:dyDescent="0.2">
      <c r="A132" s="30" t="s">
        <v>212</v>
      </c>
      <c r="B132" s="82" t="s">
        <v>263</v>
      </c>
      <c r="C132" s="92" t="s">
        <v>265</v>
      </c>
      <c r="D132" s="33" t="s">
        <v>190</v>
      </c>
      <c r="E132" s="33" t="s">
        <v>190</v>
      </c>
      <c r="F132" s="33" t="s">
        <v>190</v>
      </c>
      <c r="G132" s="33" t="s">
        <v>190</v>
      </c>
      <c r="H132" s="33" t="s">
        <v>190</v>
      </c>
      <c r="I132" s="33" t="s">
        <v>190</v>
      </c>
      <c r="J132" s="29" t="s">
        <v>190</v>
      </c>
      <c r="K132" s="29" t="s">
        <v>190</v>
      </c>
      <c r="L132" s="29">
        <v>0.215</v>
      </c>
      <c r="M132" s="29">
        <v>0.21899999999999997</v>
      </c>
      <c r="N132" s="29">
        <v>0.20199999999999999</v>
      </c>
      <c r="O132" s="29">
        <v>0.218</v>
      </c>
      <c r="P132" s="29">
        <v>0.20699999999999999</v>
      </c>
      <c r="Q132" s="29">
        <v>0.20499999999999999</v>
      </c>
      <c r="R132" s="29">
        <v>0.19899999999999998</v>
      </c>
      <c r="S132" s="29">
        <v>0.2</v>
      </c>
      <c r="T132" s="29">
        <v>0.2</v>
      </c>
      <c r="U132" s="29">
        <v>0.215</v>
      </c>
      <c r="V132" s="65">
        <v>0.19800000000000001</v>
      </c>
      <c r="W132" s="117" t="s">
        <v>344</v>
      </c>
      <c r="X132" s="117" t="s">
        <v>344</v>
      </c>
    </row>
    <row r="133" spans="1:24" x14ac:dyDescent="0.2">
      <c r="A133" s="30" t="s">
        <v>212</v>
      </c>
      <c r="B133" s="82" t="s">
        <v>263</v>
      </c>
      <c r="C133" s="92" t="s">
        <v>266</v>
      </c>
      <c r="D133" s="29" t="s">
        <v>190</v>
      </c>
      <c r="E133" s="29" t="s">
        <v>190</v>
      </c>
      <c r="F133" s="29" t="s">
        <v>190</v>
      </c>
      <c r="G133" s="29" t="s">
        <v>190</v>
      </c>
      <c r="H133" s="29" t="s">
        <v>190</v>
      </c>
      <c r="I133" s="29" t="s">
        <v>190</v>
      </c>
      <c r="J133" s="29" t="s">
        <v>190</v>
      </c>
      <c r="K133" s="29" t="s">
        <v>190</v>
      </c>
      <c r="L133" s="29">
        <v>0.191</v>
      </c>
      <c r="M133" s="29">
        <v>0.185</v>
      </c>
      <c r="N133" s="29">
        <v>0.18600000000000003</v>
      </c>
      <c r="O133" s="29">
        <v>0.18600000000000003</v>
      </c>
      <c r="P133" s="29">
        <v>0.17699999999999999</v>
      </c>
      <c r="Q133" s="29">
        <v>0.17899999999999999</v>
      </c>
      <c r="R133" s="29">
        <v>0.188</v>
      </c>
      <c r="S133" s="29">
        <v>0.191</v>
      </c>
      <c r="T133" s="29">
        <v>0.19399999999999998</v>
      </c>
      <c r="U133" s="29">
        <v>0.20600000000000002</v>
      </c>
      <c r="V133" s="65">
        <v>0.183</v>
      </c>
      <c r="W133" s="117" t="s">
        <v>344</v>
      </c>
      <c r="X133" s="117" t="s">
        <v>344</v>
      </c>
    </row>
    <row r="134" spans="1:24" x14ac:dyDescent="0.2">
      <c r="A134" s="30" t="s">
        <v>212</v>
      </c>
      <c r="B134" s="82" t="s">
        <v>263</v>
      </c>
      <c r="C134" s="92" t="s">
        <v>281</v>
      </c>
      <c r="D134" s="33" t="s">
        <v>190</v>
      </c>
      <c r="E134" s="33" t="s">
        <v>190</v>
      </c>
      <c r="F134" s="33" t="s">
        <v>190</v>
      </c>
      <c r="G134" s="33" t="s">
        <v>190</v>
      </c>
      <c r="H134" s="33" t="s">
        <v>190</v>
      </c>
      <c r="I134" s="33" t="s">
        <v>190</v>
      </c>
      <c r="J134" s="29" t="s">
        <v>190</v>
      </c>
      <c r="K134" s="29" t="s">
        <v>190</v>
      </c>
      <c r="L134" s="29">
        <v>0.20100000000000001</v>
      </c>
      <c r="M134" s="29">
        <v>0.18600000000000003</v>
      </c>
      <c r="N134" s="29">
        <v>0.183</v>
      </c>
      <c r="O134" s="29">
        <v>0.18100000000000002</v>
      </c>
      <c r="P134" s="29">
        <v>0.20199999999999999</v>
      </c>
      <c r="Q134" s="29">
        <v>0.19</v>
      </c>
      <c r="R134" s="29">
        <v>0.18899999999999997</v>
      </c>
      <c r="S134" s="29">
        <v>0.19800000000000001</v>
      </c>
      <c r="T134" s="29">
        <v>0.19899999999999998</v>
      </c>
      <c r="U134" s="29">
        <v>0.215</v>
      </c>
      <c r="V134" s="65">
        <v>0.19500000000000001</v>
      </c>
      <c r="W134" s="117" t="s">
        <v>344</v>
      </c>
      <c r="X134" s="117" t="s">
        <v>344</v>
      </c>
    </row>
    <row r="135" spans="1:24" ht="31.5" customHeight="1" x14ac:dyDescent="0.2">
      <c r="A135" s="30" t="s">
        <v>207</v>
      </c>
      <c r="B135" s="17" t="s">
        <v>178</v>
      </c>
      <c r="C135" s="17" t="s">
        <v>48</v>
      </c>
      <c r="D135" s="29">
        <v>1E-3</v>
      </c>
      <c r="E135" s="29">
        <v>2E-3</v>
      </c>
      <c r="F135" s="29">
        <v>2E-3</v>
      </c>
      <c r="G135" s="29">
        <v>2E-3</v>
      </c>
      <c r="H135" s="29">
        <v>2E-3</v>
      </c>
      <c r="I135" s="29">
        <v>2E-3</v>
      </c>
      <c r="J135" s="29">
        <v>2E-3</v>
      </c>
      <c r="K135" s="29">
        <v>2E-3</v>
      </c>
      <c r="L135" s="29">
        <v>2E-3</v>
      </c>
      <c r="M135" s="29">
        <v>2E-3</v>
      </c>
      <c r="N135" s="29">
        <v>2E-3</v>
      </c>
      <c r="O135" s="29">
        <v>2E-3</v>
      </c>
      <c r="P135" s="29">
        <v>2E-3</v>
      </c>
      <c r="Q135" s="29">
        <v>2E-3</v>
      </c>
      <c r="R135" s="29">
        <v>2E-3</v>
      </c>
      <c r="S135" s="29">
        <v>2E-3</v>
      </c>
      <c r="T135" s="29">
        <v>2E-3</v>
      </c>
      <c r="U135" s="65">
        <v>2E-3</v>
      </c>
      <c r="V135" s="65">
        <v>3.0000000000000001E-3</v>
      </c>
      <c r="W135" s="65">
        <v>3.0000000000000001E-3</v>
      </c>
      <c r="X135" s="65">
        <v>3.0000000000000001E-3</v>
      </c>
    </row>
    <row r="136" spans="1:24" x14ac:dyDescent="0.2">
      <c r="A136" s="30" t="s">
        <v>207</v>
      </c>
      <c r="B136" s="16" t="s">
        <v>178</v>
      </c>
      <c r="C136" s="17" t="s">
        <v>1</v>
      </c>
      <c r="D136" s="29">
        <v>5.0000000000000001E-3</v>
      </c>
      <c r="E136" s="29">
        <v>4.0000000000000001E-3</v>
      </c>
      <c r="F136" s="29">
        <v>4.0000000000000001E-3</v>
      </c>
      <c r="G136" s="29">
        <v>5.0000000000000001E-3</v>
      </c>
      <c r="H136" s="29">
        <v>5.0000000000000001E-3</v>
      </c>
      <c r="I136" s="29">
        <v>5.0000000000000001E-3</v>
      </c>
      <c r="J136" s="29">
        <v>5.0000000000000001E-3</v>
      </c>
      <c r="K136" s="29">
        <v>5.0000000000000001E-3</v>
      </c>
      <c r="L136" s="29">
        <v>5.0000000000000001E-3</v>
      </c>
      <c r="M136" s="29">
        <v>5.0000000000000001E-3</v>
      </c>
      <c r="N136" s="29">
        <v>5.0000000000000001E-3</v>
      </c>
      <c r="O136" s="29">
        <v>5.0000000000000001E-3</v>
      </c>
      <c r="P136" s="29">
        <v>6.0000000000000001E-3</v>
      </c>
      <c r="Q136" s="29">
        <v>6.0000000000000001E-3</v>
      </c>
      <c r="R136" s="29">
        <v>6.0000000000000001E-3</v>
      </c>
      <c r="S136" s="29">
        <v>6.0000000000000001E-3</v>
      </c>
      <c r="T136" s="29">
        <v>6.9999999999999993E-3</v>
      </c>
      <c r="U136" s="65">
        <v>8.0000000000000002E-3</v>
      </c>
      <c r="V136" s="65">
        <v>8.0000000000000002E-3</v>
      </c>
      <c r="W136" s="65">
        <v>9.0000000000000011E-3</v>
      </c>
      <c r="X136" s="65">
        <v>9.0000000000000011E-3</v>
      </c>
    </row>
    <row r="137" spans="1:24" ht="31.5" customHeight="1" x14ac:dyDescent="0.2">
      <c r="A137" s="30" t="s">
        <v>207</v>
      </c>
      <c r="B137" s="17" t="s">
        <v>179</v>
      </c>
      <c r="C137" s="17" t="s">
        <v>35</v>
      </c>
      <c r="D137" s="29">
        <v>1.7000000000000001E-2</v>
      </c>
      <c r="E137" s="29">
        <v>1.6E-2</v>
      </c>
      <c r="F137" s="29">
        <v>1.6E-2</v>
      </c>
      <c r="G137" s="29">
        <v>1.7000000000000001E-2</v>
      </c>
      <c r="H137" s="29">
        <v>1.7000000000000001E-2</v>
      </c>
      <c r="I137" s="29">
        <v>1.7000000000000001E-2</v>
      </c>
      <c r="J137" s="29">
        <v>1.7000000000000001E-2</v>
      </c>
      <c r="K137" s="29">
        <v>1.8000000000000002E-2</v>
      </c>
      <c r="L137" s="29">
        <v>1.8000000000000002E-2</v>
      </c>
      <c r="M137" s="29">
        <v>1.9E-2</v>
      </c>
      <c r="N137" s="29">
        <v>1.9E-2</v>
      </c>
      <c r="O137" s="29">
        <v>0.02</v>
      </c>
      <c r="P137" s="29">
        <v>2.3E-2</v>
      </c>
      <c r="Q137" s="29">
        <v>2.1000000000000001E-2</v>
      </c>
      <c r="R137" s="29">
        <v>2.2000000000000002E-2</v>
      </c>
      <c r="S137" s="29">
        <v>2.1000000000000001E-2</v>
      </c>
      <c r="T137" s="29">
        <v>2.6000000000000002E-2</v>
      </c>
      <c r="U137" s="29">
        <v>2.7000000000000003E-2</v>
      </c>
      <c r="V137" s="29">
        <v>2.8999999999999998E-2</v>
      </c>
      <c r="W137" s="117" t="s">
        <v>344</v>
      </c>
      <c r="X137" s="117" t="s">
        <v>344</v>
      </c>
    </row>
    <row r="138" spans="1:24" x14ac:dyDescent="0.2">
      <c r="A138" s="30" t="s">
        <v>207</v>
      </c>
      <c r="B138" s="16" t="s">
        <v>179</v>
      </c>
      <c r="C138" s="17" t="s">
        <v>36</v>
      </c>
      <c r="D138" s="29">
        <v>9.0000000000000011E-3</v>
      </c>
      <c r="E138" s="29">
        <v>9.0000000000000011E-3</v>
      </c>
      <c r="F138" s="29">
        <v>9.0000000000000011E-3</v>
      </c>
      <c r="G138" s="29">
        <v>9.0000000000000011E-3</v>
      </c>
      <c r="H138" s="29">
        <v>9.0000000000000011E-3</v>
      </c>
      <c r="I138" s="29">
        <v>9.0000000000000011E-3</v>
      </c>
      <c r="J138" s="29">
        <v>9.0000000000000011E-3</v>
      </c>
      <c r="K138" s="29">
        <v>0.01</v>
      </c>
      <c r="L138" s="29">
        <v>0.01</v>
      </c>
      <c r="M138" s="29">
        <v>0.01</v>
      </c>
      <c r="N138" s="29">
        <v>0.01</v>
      </c>
      <c r="O138" s="29">
        <v>0.01</v>
      </c>
      <c r="P138" s="29">
        <v>1.1000000000000001E-2</v>
      </c>
      <c r="Q138" s="29">
        <v>1.1000000000000001E-2</v>
      </c>
      <c r="R138" s="29">
        <v>1.1000000000000001E-2</v>
      </c>
      <c r="S138" s="29">
        <v>1.1000000000000001E-2</v>
      </c>
      <c r="T138" s="29">
        <v>1.3000000000000001E-2</v>
      </c>
      <c r="U138" s="29">
        <v>1.3999999999999999E-2</v>
      </c>
      <c r="V138" s="29">
        <v>1.4999999999999999E-2</v>
      </c>
      <c r="W138" s="117" t="s">
        <v>344</v>
      </c>
      <c r="X138" s="117" t="s">
        <v>344</v>
      </c>
    </row>
    <row r="139" spans="1:24" x14ac:dyDescent="0.2">
      <c r="A139" s="30" t="s">
        <v>207</v>
      </c>
      <c r="B139" s="16" t="s">
        <v>179</v>
      </c>
      <c r="C139" s="17" t="s">
        <v>37</v>
      </c>
      <c r="D139" s="29">
        <v>0.01</v>
      </c>
      <c r="E139" s="29">
        <v>0.01</v>
      </c>
      <c r="F139" s="29">
        <v>0.01</v>
      </c>
      <c r="G139" s="29">
        <v>0.01</v>
      </c>
      <c r="H139" s="29">
        <v>0.01</v>
      </c>
      <c r="I139" s="29">
        <v>1.1000000000000001E-2</v>
      </c>
      <c r="J139" s="29">
        <v>1.1000000000000001E-2</v>
      </c>
      <c r="K139" s="29">
        <v>1.1000000000000001E-2</v>
      </c>
      <c r="L139" s="29">
        <v>1.1000000000000001E-2</v>
      </c>
      <c r="M139" s="29">
        <v>1.1000000000000001E-2</v>
      </c>
      <c r="N139" s="29">
        <v>1.1000000000000001E-2</v>
      </c>
      <c r="O139" s="29">
        <v>1.2E-2</v>
      </c>
      <c r="P139" s="29">
        <v>1.3000000000000001E-2</v>
      </c>
      <c r="Q139" s="29">
        <v>1.3000000000000001E-2</v>
      </c>
      <c r="R139" s="29">
        <v>1.2E-2</v>
      </c>
      <c r="S139" s="29">
        <v>1.3000000000000001E-2</v>
      </c>
      <c r="T139" s="29">
        <v>1.4999999999999999E-2</v>
      </c>
      <c r="U139" s="29">
        <v>1.6E-2</v>
      </c>
      <c r="V139" s="29">
        <v>1.6E-2</v>
      </c>
      <c r="W139" s="117" t="s">
        <v>344</v>
      </c>
      <c r="X139" s="117" t="s">
        <v>344</v>
      </c>
    </row>
    <row r="140" spans="1:24" x14ac:dyDescent="0.2">
      <c r="A140" s="30" t="s">
        <v>207</v>
      </c>
      <c r="B140" s="16" t="s">
        <v>179</v>
      </c>
      <c r="C140" s="17" t="s">
        <v>236</v>
      </c>
      <c r="D140" s="29">
        <v>1.6E-2</v>
      </c>
      <c r="E140" s="29">
        <v>1.6E-2</v>
      </c>
      <c r="F140" s="29">
        <v>1.6E-2</v>
      </c>
      <c r="G140" s="29">
        <v>1.7000000000000001E-2</v>
      </c>
      <c r="H140" s="29">
        <v>1.8000000000000002E-2</v>
      </c>
      <c r="I140" s="29">
        <v>1.8000000000000002E-2</v>
      </c>
      <c r="J140" s="29">
        <v>1.7000000000000001E-2</v>
      </c>
      <c r="K140" s="29">
        <v>1.9E-2</v>
      </c>
      <c r="L140" s="29">
        <v>1.9E-2</v>
      </c>
      <c r="M140" s="29">
        <v>1.8000000000000002E-2</v>
      </c>
      <c r="N140" s="29">
        <v>1.8000000000000002E-2</v>
      </c>
      <c r="O140" s="29">
        <v>1.8000000000000002E-2</v>
      </c>
      <c r="P140" s="29">
        <v>1.9E-2</v>
      </c>
      <c r="Q140" s="29">
        <v>1.9E-2</v>
      </c>
      <c r="R140" s="29">
        <v>1.9E-2</v>
      </c>
      <c r="S140" s="29">
        <v>1.9E-2</v>
      </c>
      <c r="T140" s="29">
        <v>2.4E-2</v>
      </c>
      <c r="U140" s="29">
        <v>2.7999999999999997E-2</v>
      </c>
      <c r="V140" s="29">
        <v>2.5000000000000001E-2</v>
      </c>
      <c r="W140" s="117" t="s">
        <v>344</v>
      </c>
      <c r="X140" s="117" t="s">
        <v>344</v>
      </c>
    </row>
    <row r="141" spans="1:24" x14ac:dyDescent="0.2">
      <c r="A141" s="30" t="s">
        <v>207</v>
      </c>
      <c r="B141" s="16" t="s">
        <v>179</v>
      </c>
      <c r="C141" s="17" t="s">
        <v>38</v>
      </c>
      <c r="D141" s="29">
        <v>1.2E-2</v>
      </c>
      <c r="E141" s="29">
        <v>1.2E-2</v>
      </c>
      <c r="F141" s="29">
        <v>1.1000000000000001E-2</v>
      </c>
      <c r="G141" s="29">
        <v>1.2E-2</v>
      </c>
      <c r="H141" s="29">
        <v>1.2E-2</v>
      </c>
      <c r="I141" s="29">
        <v>1.3000000000000001E-2</v>
      </c>
      <c r="J141" s="29">
        <v>1.3000000000000001E-2</v>
      </c>
      <c r="K141" s="29">
        <v>1.3000000000000001E-2</v>
      </c>
      <c r="L141" s="29">
        <v>1.3000000000000001E-2</v>
      </c>
      <c r="M141" s="29">
        <v>1.3999999999999999E-2</v>
      </c>
      <c r="N141" s="29">
        <v>1.3999999999999999E-2</v>
      </c>
      <c r="O141" s="29">
        <v>1.4999999999999999E-2</v>
      </c>
      <c r="P141" s="29">
        <v>1.6E-2</v>
      </c>
      <c r="Q141" s="29">
        <v>1.6E-2</v>
      </c>
      <c r="R141" s="29">
        <v>1.4999999999999999E-2</v>
      </c>
      <c r="S141" s="29">
        <v>1.4999999999999999E-2</v>
      </c>
      <c r="T141" s="29">
        <v>1.8000000000000002E-2</v>
      </c>
      <c r="U141" s="29">
        <v>0.02</v>
      </c>
      <c r="V141" s="29">
        <v>0.02</v>
      </c>
      <c r="W141" s="117" t="s">
        <v>344</v>
      </c>
      <c r="X141" s="117" t="s">
        <v>344</v>
      </c>
    </row>
    <row r="142" spans="1:24" x14ac:dyDescent="0.2">
      <c r="A142" s="30" t="s">
        <v>207</v>
      </c>
      <c r="B142" s="16" t="s">
        <v>179</v>
      </c>
      <c r="C142" s="17" t="s">
        <v>121</v>
      </c>
      <c r="D142" s="29">
        <v>1.2E-2</v>
      </c>
      <c r="E142" s="29">
        <v>1.2E-2</v>
      </c>
      <c r="F142" s="29">
        <v>1.2E-2</v>
      </c>
      <c r="G142" s="29">
        <v>1.2E-2</v>
      </c>
      <c r="H142" s="29">
        <v>1.2E-2</v>
      </c>
      <c r="I142" s="29">
        <v>1.3000000000000001E-2</v>
      </c>
      <c r="J142" s="29">
        <v>1.3000000000000001E-2</v>
      </c>
      <c r="K142" s="29">
        <v>1.3999999999999999E-2</v>
      </c>
      <c r="L142" s="29">
        <v>1.3999999999999999E-2</v>
      </c>
      <c r="M142" s="29">
        <v>1.3999999999999999E-2</v>
      </c>
      <c r="N142" s="29">
        <v>1.3999999999999999E-2</v>
      </c>
      <c r="O142" s="29">
        <v>1.3999999999999999E-2</v>
      </c>
      <c r="P142" s="29">
        <v>1.4999999999999999E-2</v>
      </c>
      <c r="Q142" s="29">
        <v>1.3999999999999999E-2</v>
      </c>
      <c r="R142" s="29">
        <v>1.4999999999999999E-2</v>
      </c>
      <c r="S142" s="29">
        <v>1.7000000000000001E-2</v>
      </c>
      <c r="T142" s="29">
        <v>0.02</v>
      </c>
      <c r="U142" s="29">
        <v>2.4E-2</v>
      </c>
      <c r="V142" s="29">
        <v>2.5000000000000001E-2</v>
      </c>
      <c r="W142" s="117" t="s">
        <v>344</v>
      </c>
      <c r="X142" s="117" t="s">
        <v>344</v>
      </c>
    </row>
    <row r="143" spans="1:24" x14ac:dyDescent="0.2">
      <c r="A143" s="30" t="s">
        <v>207</v>
      </c>
      <c r="B143" s="16" t="s">
        <v>179</v>
      </c>
      <c r="C143" s="17" t="s">
        <v>39</v>
      </c>
      <c r="D143" s="29">
        <v>1.3999999999999999E-2</v>
      </c>
      <c r="E143" s="29">
        <v>1.3999999999999999E-2</v>
      </c>
      <c r="F143" s="29">
        <v>1.3999999999999999E-2</v>
      </c>
      <c r="G143" s="29">
        <v>1.3999999999999999E-2</v>
      </c>
      <c r="H143" s="29">
        <v>1.3999999999999999E-2</v>
      </c>
      <c r="I143" s="29">
        <v>1.4999999999999999E-2</v>
      </c>
      <c r="J143" s="29">
        <v>1.4999999999999999E-2</v>
      </c>
      <c r="K143" s="29">
        <v>1.6E-2</v>
      </c>
      <c r="L143" s="29">
        <v>1.6E-2</v>
      </c>
      <c r="M143" s="29">
        <v>1.6E-2</v>
      </c>
      <c r="N143" s="29">
        <v>1.6E-2</v>
      </c>
      <c r="O143" s="29">
        <v>1.7000000000000001E-2</v>
      </c>
      <c r="P143" s="29">
        <v>1.9E-2</v>
      </c>
      <c r="Q143" s="29">
        <v>1.8000000000000002E-2</v>
      </c>
      <c r="R143" s="29">
        <v>1.9E-2</v>
      </c>
      <c r="S143" s="29">
        <v>1.9E-2</v>
      </c>
      <c r="T143" s="29">
        <v>2.4E-2</v>
      </c>
      <c r="U143" s="29">
        <v>2.5000000000000001E-2</v>
      </c>
      <c r="V143" s="29">
        <v>2.6000000000000002E-2</v>
      </c>
      <c r="W143" s="117" t="s">
        <v>344</v>
      </c>
      <c r="X143" s="117" t="s">
        <v>344</v>
      </c>
    </row>
    <row r="144" spans="1:24" x14ac:dyDescent="0.2">
      <c r="A144" s="30" t="s">
        <v>207</v>
      </c>
      <c r="B144" s="16" t="s">
        <v>179</v>
      </c>
      <c r="C144" s="17" t="s">
        <v>40</v>
      </c>
      <c r="D144" s="29">
        <v>1.6E-2</v>
      </c>
      <c r="E144" s="29">
        <v>1.6E-2</v>
      </c>
      <c r="F144" s="29">
        <v>1.7000000000000001E-2</v>
      </c>
      <c r="G144" s="29">
        <v>1.7000000000000001E-2</v>
      </c>
      <c r="H144" s="29">
        <v>1.8000000000000002E-2</v>
      </c>
      <c r="I144" s="29">
        <v>1.8000000000000002E-2</v>
      </c>
      <c r="J144" s="29">
        <v>1.9E-2</v>
      </c>
      <c r="K144" s="29">
        <v>0.02</v>
      </c>
      <c r="L144" s="29">
        <v>1.9E-2</v>
      </c>
      <c r="M144" s="29">
        <v>1.9E-2</v>
      </c>
      <c r="N144" s="29">
        <v>1.8000000000000002E-2</v>
      </c>
      <c r="O144" s="29">
        <v>1.8000000000000002E-2</v>
      </c>
      <c r="P144" s="29">
        <v>2.1000000000000001E-2</v>
      </c>
      <c r="Q144" s="29">
        <v>2.1000000000000001E-2</v>
      </c>
      <c r="R144" s="29">
        <v>2.3E-2</v>
      </c>
      <c r="S144" s="29">
        <v>2.3E-2</v>
      </c>
      <c r="T144" s="29">
        <v>2.8999999999999998E-2</v>
      </c>
      <c r="U144" s="29">
        <v>3.1E-2</v>
      </c>
      <c r="V144" s="29">
        <v>0.03</v>
      </c>
      <c r="W144" s="117" t="s">
        <v>344</v>
      </c>
      <c r="X144" s="117" t="s">
        <v>344</v>
      </c>
    </row>
    <row r="145" spans="1:24" ht="31.5" customHeight="1" x14ac:dyDescent="0.2">
      <c r="A145" s="30" t="s">
        <v>207</v>
      </c>
      <c r="B145" s="17" t="s">
        <v>180</v>
      </c>
      <c r="C145" s="17" t="s">
        <v>41</v>
      </c>
      <c r="D145" s="29">
        <v>1.8000000000000002E-2</v>
      </c>
      <c r="E145" s="29">
        <v>1.8000000000000002E-2</v>
      </c>
      <c r="F145" s="29">
        <v>1.8000000000000002E-2</v>
      </c>
      <c r="G145" s="29">
        <v>1.8000000000000002E-2</v>
      </c>
      <c r="H145" s="29">
        <v>1.8000000000000002E-2</v>
      </c>
      <c r="I145" s="29">
        <v>1.9E-2</v>
      </c>
      <c r="J145" s="29">
        <v>1.9E-2</v>
      </c>
      <c r="K145" s="29">
        <v>2.1000000000000001E-2</v>
      </c>
      <c r="L145" s="29">
        <v>2.2000000000000002E-2</v>
      </c>
      <c r="M145" s="29">
        <v>2.1000000000000001E-2</v>
      </c>
      <c r="N145" s="29">
        <v>0.02</v>
      </c>
      <c r="O145" s="29">
        <v>2.1000000000000001E-2</v>
      </c>
      <c r="P145" s="29">
        <v>2.1000000000000001E-2</v>
      </c>
      <c r="Q145" s="29">
        <v>0.02</v>
      </c>
      <c r="R145" s="29">
        <v>2.2000000000000002E-2</v>
      </c>
      <c r="S145" s="29">
        <v>2.3E-2</v>
      </c>
      <c r="T145" s="29">
        <v>2.7000000000000003E-2</v>
      </c>
      <c r="U145" s="29">
        <v>3.3000000000000002E-2</v>
      </c>
      <c r="V145" s="29">
        <v>3.6000000000000004E-2</v>
      </c>
      <c r="W145" s="117" t="s">
        <v>344</v>
      </c>
      <c r="X145" s="117" t="s">
        <v>344</v>
      </c>
    </row>
    <row r="146" spans="1:24" x14ac:dyDescent="0.2">
      <c r="A146" s="30" t="s">
        <v>207</v>
      </c>
      <c r="B146" s="16" t="s">
        <v>180</v>
      </c>
      <c r="C146" s="17" t="s">
        <v>42</v>
      </c>
      <c r="D146" s="29">
        <v>6.9999999999999993E-3</v>
      </c>
      <c r="E146" s="29">
        <v>6.9999999999999993E-3</v>
      </c>
      <c r="F146" s="29">
        <v>6.9999999999999993E-3</v>
      </c>
      <c r="G146" s="29">
        <v>6.9999999999999993E-3</v>
      </c>
      <c r="H146" s="29">
        <v>6.9999999999999993E-3</v>
      </c>
      <c r="I146" s="29">
        <v>8.0000000000000002E-3</v>
      </c>
      <c r="J146" s="29">
        <v>8.0000000000000002E-3</v>
      </c>
      <c r="K146" s="29">
        <v>8.0000000000000002E-3</v>
      </c>
      <c r="L146" s="29">
        <v>8.0000000000000002E-3</v>
      </c>
      <c r="M146" s="29">
        <v>8.0000000000000002E-3</v>
      </c>
      <c r="N146" s="29">
        <v>8.0000000000000002E-3</v>
      </c>
      <c r="O146" s="29">
        <v>9.0000000000000011E-3</v>
      </c>
      <c r="P146" s="29">
        <v>0.01</v>
      </c>
      <c r="Q146" s="29">
        <v>9.0000000000000011E-3</v>
      </c>
      <c r="R146" s="29">
        <v>9.0000000000000011E-3</v>
      </c>
      <c r="S146" s="29">
        <v>0.01</v>
      </c>
      <c r="T146" s="29">
        <v>1.2E-2</v>
      </c>
      <c r="U146" s="29">
        <v>1.3000000000000001E-2</v>
      </c>
      <c r="V146" s="29">
        <v>1.3000000000000001E-2</v>
      </c>
      <c r="W146" s="117" t="s">
        <v>344</v>
      </c>
      <c r="X146" s="117" t="s">
        <v>344</v>
      </c>
    </row>
    <row r="147" spans="1:24" x14ac:dyDescent="0.2">
      <c r="A147" s="30" t="s">
        <v>207</v>
      </c>
      <c r="B147" s="16" t="s">
        <v>180</v>
      </c>
      <c r="C147" s="17" t="s">
        <v>43</v>
      </c>
      <c r="D147" s="29">
        <v>6.9999999999999993E-3</v>
      </c>
      <c r="E147" s="29">
        <v>6.9999999999999993E-3</v>
      </c>
      <c r="F147" s="29">
        <v>6.9999999999999993E-3</v>
      </c>
      <c r="G147" s="29">
        <v>6.9999999999999993E-3</v>
      </c>
      <c r="H147" s="29">
        <v>6.9999999999999993E-3</v>
      </c>
      <c r="I147" s="29">
        <v>6.9999999999999993E-3</v>
      </c>
      <c r="J147" s="29">
        <v>6.9999999999999993E-3</v>
      </c>
      <c r="K147" s="29">
        <v>8.0000000000000002E-3</v>
      </c>
      <c r="L147" s="29">
        <v>8.0000000000000002E-3</v>
      </c>
      <c r="M147" s="29">
        <v>8.0000000000000002E-3</v>
      </c>
      <c r="N147" s="29">
        <v>8.0000000000000002E-3</v>
      </c>
      <c r="O147" s="29">
        <v>8.0000000000000002E-3</v>
      </c>
      <c r="P147" s="29">
        <v>8.0000000000000002E-3</v>
      </c>
      <c r="Q147" s="29">
        <v>8.0000000000000002E-3</v>
      </c>
      <c r="R147" s="29">
        <v>9.0000000000000011E-3</v>
      </c>
      <c r="S147" s="29">
        <v>9.0000000000000011E-3</v>
      </c>
      <c r="T147" s="29">
        <v>1.1000000000000001E-2</v>
      </c>
      <c r="U147" s="29">
        <v>1.2E-2</v>
      </c>
      <c r="V147" s="29">
        <v>1.2E-2</v>
      </c>
      <c r="W147" s="117" t="s">
        <v>344</v>
      </c>
      <c r="X147" s="117" t="s">
        <v>344</v>
      </c>
    </row>
    <row r="148" spans="1:24" x14ac:dyDescent="0.2">
      <c r="A148" s="30" t="s">
        <v>207</v>
      </c>
      <c r="B148" s="16" t="s">
        <v>180</v>
      </c>
      <c r="C148" s="17" t="s">
        <v>44</v>
      </c>
      <c r="D148" s="29">
        <v>1.3000000000000001E-2</v>
      </c>
      <c r="E148" s="29">
        <v>1.2E-2</v>
      </c>
      <c r="F148" s="29">
        <v>1.2E-2</v>
      </c>
      <c r="G148" s="29">
        <v>1.2E-2</v>
      </c>
      <c r="H148" s="29">
        <v>1.3000000000000001E-2</v>
      </c>
      <c r="I148" s="29">
        <v>1.3000000000000001E-2</v>
      </c>
      <c r="J148" s="29">
        <v>1.3000000000000001E-2</v>
      </c>
      <c r="K148" s="29">
        <v>1.3000000000000001E-2</v>
      </c>
      <c r="L148" s="29">
        <v>1.3999999999999999E-2</v>
      </c>
      <c r="M148" s="29">
        <v>1.3999999999999999E-2</v>
      </c>
      <c r="N148" s="29">
        <v>1.4999999999999999E-2</v>
      </c>
      <c r="O148" s="29">
        <v>1.4999999999999999E-2</v>
      </c>
      <c r="P148" s="29">
        <v>1.6E-2</v>
      </c>
      <c r="Q148" s="29">
        <v>1.6E-2</v>
      </c>
      <c r="R148" s="29">
        <v>1.4999999999999999E-2</v>
      </c>
      <c r="S148" s="29">
        <v>1.4999999999999999E-2</v>
      </c>
      <c r="T148" s="29">
        <v>1.8000000000000002E-2</v>
      </c>
      <c r="U148" s="29">
        <v>1.8000000000000002E-2</v>
      </c>
      <c r="V148" s="29">
        <v>1.9E-2</v>
      </c>
      <c r="W148" s="117" t="s">
        <v>344</v>
      </c>
      <c r="X148" s="117" t="s">
        <v>344</v>
      </c>
    </row>
    <row r="149" spans="1:24" ht="31.5" customHeight="1" x14ac:dyDescent="0.2">
      <c r="A149" s="30" t="s">
        <v>207</v>
      </c>
      <c r="B149" s="17" t="s">
        <v>181</v>
      </c>
      <c r="C149" s="17" t="s">
        <v>45</v>
      </c>
      <c r="D149" s="29">
        <f>D142</f>
        <v>1.2E-2</v>
      </c>
      <c r="E149" s="29">
        <f t="shared" ref="E149:T149" si="2">E142</f>
        <v>1.2E-2</v>
      </c>
      <c r="F149" s="29">
        <f t="shared" si="2"/>
        <v>1.2E-2</v>
      </c>
      <c r="G149" s="29">
        <f t="shared" si="2"/>
        <v>1.2E-2</v>
      </c>
      <c r="H149" s="29">
        <f t="shared" si="2"/>
        <v>1.2E-2</v>
      </c>
      <c r="I149" s="29">
        <f t="shared" si="2"/>
        <v>1.3000000000000001E-2</v>
      </c>
      <c r="J149" s="29">
        <f t="shared" si="2"/>
        <v>1.3000000000000001E-2</v>
      </c>
      <c r="K149" s="29">
        <f t="shared" si="2"/>
        <v>1.3999999999999999E-2</v>
      </c>
      <c r="L149" s="29">
        <f t="shared" si="2"/>
        <v>1.3999999999999999E-2</v>
      </c>
      <c r="M149" s="29">
        <f t="shared" si="2"/>
        <v>1.3999999999999999E-2</v>
      </c>
      <c r="N149" s="29">
        <f t="shared" si="2"/>
        <v>1.3999999999999999E-2</v>
      </c>
      <c r="O149" s="29">
        <f t="shared" si="2"/>
        <v>1.3999999999999999E-2</v>
      </c>
      <c r="P149" s="29">
        <f t="shared" si="2"/>
        <v>1.4999999999999999E-2</v>
      </c>
      <c r="Q149" s="29">
        <f t="shared" si="2"/>
        <v>1.3999999999999999E-2</v>
      </c>
      <c r="R149" s="29">
        <f t="shared" si="2"/>
        <v>1.4999999999999999E-2</v>
      </c>
      <c r="S149" s="29">
        <f t="shared" si="2"/>
        <v>1.7000000000000001E-2</v>
      </c>
      <c r="T149" s="29">
        <f t="shared" si="2"/>
        <v>0.02</v>
      </c>
      <c r="U149" s="29">
        <v>2.4E-2</v>
      </c>
      <c r="V149" s="29">
        <v>2.5000000000000001E-2</v>
      </c>
      <c r="W149" s="117" t="s">
        <v>344</v>
      </c>
      <c r="X149" s="117" t="s">
        <v>344</v>
      </c>
    </row>
    <row r="150" spans="1:24" x14ac:dyDescent="0.2">
      <c r="A150" s="30" t="s">
        <v>207</v>
      </c>
      <c r="B150" s="16" t="s">
        <v>181</v>
      </c>
      <c r="C150" s="17" t="s">
        <v>120</v>
      </c>
      <c r="D150" s="29">
        <f>D144</f>
        <v>1.6E-2</v>
      </c>
      <c r="E150" s="29">
        <f t="shared" ref="E150:T150" si="3">E144</f>
        <v>1.6E-2</v>
      </c>
      <c r="F150" s="29">
        <f t="shared" si="3"/>
        <v>1.7000000000000001E-2</v>
      </c>
      <c r="G150" s="29">
        <f t="shared" si="3"/>
        <v>1.7000000000000001E-2</v>
      </c>
      <c r="H150" s="29">
        <f t="shared" si="3"/>
        <v>1.8000000000000002E-2</v>
      </c>
      <c r="I150" s="29">
        <f t="shared" si="3"/>
        <v>1.8000000000000002E-2</v>
      </c>
      <c r="J150" s="29">
        <f t="shared" si="3"/>
        <v>1.9E-2</v>
      </c>
      <c r="K150" s="29">
        <f t="shared" si="3"/>
        <v>0.02</v>
      </c>
      <c r="L150" s="29">
        <f t="shared" si="3"/>
        <v>1.9E-2</v>
      </c>
      <c r="M150" s="29">
        <f t="shared" si="3"/>
        <v>1.9E-2</v>
      </c>
      <c r="N150" s="29">
        <f t="shared" si="3"/>
        <v>1.8000000000000002E-2</v>
      </c>
      <c r="O150" s="29">
        <f t="shared" si="3"/>
        <v>1.8000000000000002E-2</v>
      </c>
      <c r="P150" s="29">
        <f t="shared" si="3"/>
        <v>2.1000000000000001E-2</v>
      </c>
      <c r="Q150" s="29">
        <f t="shared" si="3"/>
        <v>2.1000000000000001E-2</v>
      </c>
      <c r="R150" s="29">
        <f t="shared" si="3"/>
        <v>2.3E-2</v>
      </c>
      <c r="S150" s="29">
        <f t="shared" si="3"/>
        <v>2.3E-2</v>
      </c>
      <c r="T150" s="29">
        <f t="shared" si="3"/>
        <v>2.8999999999999998E-2</v>
      </c>
      <c r="U150" s="29">
        <v>3.1E-2</v>
      </c>
      <c r="V150" s="29">
        <v>0.03</v>
      </c>
      <c r="W150" s="117" t="s">
        <v>344</v>
      </c>
      <c r="X150" s="117" t="s">
        <v>344</v>
      </c>
    </row>
    <row r="151" spans="1:24" x14ac:dyDescent="0.2">
      <c r="A151" s="30" t="s">
        <v>207</v>
      </c>
      <c r="B151" s="16" t="s">
        <v>181</v>
      </c>
      <c r="C151" s="17" t="s">
        <v>46</v>
      </c>
      <c r="D151" s="29">
        <v>5.0000000000000001E-3</v>
      </c>
      <c r="E151" s="29">
        <v>5.0000000000000001E-3</v>
      </c>
      <c r="F151" s="29">
        <v>5.0000000000000001E-3</v>
      </c>
      <c r="G151" s="29">
        <v>5.0000000000000001E-3</v>
      </c>
      <c r="H151" s="29">
        <v>5.0000000000000001E-3</v>
      </c>
      <c r="I151" s="29">
        <v>5.0000000000000001E-3</v>
      </c>
      <c r="J151" s="29">
        <v>5.0000000000000001E-3</v>
      </c>
      <c r="K151" s="29">
        <v>6.0000000000000001E-3</v>
      </c>
      <c r="L151" s="29">
        <v>6.0000000000000001E-3</v>
      </c>
      <c r="M151" s="29">
        <v>6.0000000000000001E-3</v>
      </c>
      <c r="N151" s="29">
        <v>6.0000000000000001E-3</v>
      </c>
      <c r="O151" s="29">
        <v>6.0000000000000001E-3</v>
      </c>
      <c r="P151" s="29">
        <v>6.0000000000000001E-3</v>
      </c>
      <c r="Q151" s="29">
        <v>6.0000000000000001E-3</v>
      </c>
      <c r="R151" s="29">
        <v>6.0000000000000001E-3</v>
      </c>
      <c r="S151" s="29">
        <v>6.0000000000000001E-3</v>
      </c>
      <c r="T151" s="29">
        <v>8.0000000000000002E-3</v>
      </c>
      <c r="U151" s="29">
        <v>8.0000000000000002E-3</v>
      </c>
      <c r="V151" s="65">
        <v>8.0000000000000002E-3</v>
      </c>
      <c r="W151" s="117" t="s">
        <v>344</v>
      </c>
      <c r="X151" s="117" t="s">
        <v>344</v>
      </c>
    </row>
    <row r="152" spans="1:24" ht="31.5" customHeight="1" x14ac:dyDescent="0.2">
      <c r="A152" s="30" t="s">
        <v>207</v>
      </c>
      <c r="B152" s="17" t="s">
        <v>47</v>
      </c>
      <c r="C152" s="17" t="s">
        <v>22</v>
      </c>
      <c r="D152" s="29">
        <v>2.5000000000000001E-2</v>
      </c>
      <c r="E152" s="29">
        <v>2.3E-2</v>
      </c>
      <c r="F152" s="29">
        <v>2.3E-2</v>
      </c>
      <c r="G152" s="29">
        <v>2.4E-2</v>
      </c>
      <c r="H152" s="29">
        <v>2.5000000000000001E-2</v>
      </c>
      <c r="I152" s="29">
        <v>2.6000000000000002E-2</v>
      </c>
      <c r="J152" s="29">
        <v>2.4E-2</v>
      </c>
      <c r="K152" s="29">
        <v>2.6000000000000002E-2</v>
      </c>
      <c r="L152" s="29">
        <v>2.5000000000000001E-2</v>
      </c>
      <c r="M152" s="29">
        <v>2.6000000000000002E-2</v>
      </c>
      <c r="N152" s="29">
        <v>2.7999999999999997E-2</v>
      </c>
      <c r="O152" s="29">
        <v>2.7999999999999997E-2</v>
      </c>
      <c r="P152" s="29">
        <v>3.2000000000000001E-2</v>
      </c>
      <c r="Q152" s="29">
        <v>3.1E-2</v>
      </c>
      <c r="R152" s="29">
        <v>3.2000000000000001E-2</v>
      </c>
      <c r="S152" s="29">
        <v>0.03</v>
      </c>
      <c r="T152" s="29">
        <v>0.04</v>
      </c>
      <c r="U152" s="65">
        <v>3.7999999999999999E-2</v>
      </c>
      <c r="V152" s="65">
        <v>4.4000000000000004E-2</v>
      </c>
      <c r="W152" s="117" t="s">
        <v>344</v>
      </c>
      <c r="X152" s="117" t="s">
        <v>344</v>
      </c>
    </row>
    <row r="153" spans="1:24" x14ac:dyDescent="0.2">
      <c r="A153" s="30" t="s">
        <v>207</v>
      </c>
      <c r="B153" s="16" t="s">
        <v>47</v>
      </c>
      <c r="C153" s="17" t="s">
        <v>23</v>
      </c>
      <c r="D153" s="29">
        <v>2.3E-2</v>
      </c>
      <c r="E153" s="29">
        <v>2.3E-2</v>
      </c>
      <c r="F153" s="29">
        <v>2.2000000000000002E-2</v>
      </c>
      <c r="G153" s="29">
        <v>2.3E-2</v>
      </c>
      <c r="H153" s="29">
        <v>2.2000000000000002E-2</v>
      </c>
      <c r="I153" s="29">
        <v>2.3E-2</v>
      </c>
      <c r="J153" s="29">
        <v>2.3E-2</v>
      </c>
      <c r="K153" s="29">
        <v>2.5000000000000001E-2</v>
      </c>
      <c r="L153" s="29">
        <v>2.7000000000000003E-2</v>
      </c>
      <c r="M153" s="29">
        <v>2.7999999999999997E-2</v>
      </c>
      <c r="N153" s="29">
        <v>2.6000000000000002E-2</v>
      </c>
      <c r="O153" s="29">
        <v>2.8999999999999998E-2</v>
      </c>
      <c r="P153" s="29">
        <v>3.1E-2</v>
      </c>
      <c r="Q153" s="29">
        <v>2.7999999999999997E-2</v>
      </c>
      <c r="R153" s="29">
        <v>0.03</v>
      </c>
      <c r="S153" s="29">
        <v>0.03</v>
      </c>
      <c r="T153" s="29">
        <v>3.4000000000000002E-2</v>
      </c>
      <c r="U153" s="65">
        <v>3.7999999999999999E-2</v>
      </c>
      <c r="V153" s="65">
        <v>3.7999999999999999E-2</v>
      </c>
      <c r="W153" s="117" t="s">
        <v>344</v>
      </c>
      <c r="X153" s="117" t="s">
        <v>344</v>
      </c>
    </row>
    <row r="154" spans="1:24" x14ac:dyDescent="0.2">
      <c r="A154" s="30" t="s">
        <v>207</v>
      </c>
      <c r="B154" s="16" t="s">
        <v>47</v>
      </c>
      <c r="C154" s="17" t="s">
        <v>29</v>
      </c>
      <c r="D154" s="29">
        <v>2.5000000000000001E-2</v>
      </c>
      <c r="E154" s="29">
        <v>2.3E-2</v>
      </c>
      <c r="F154" s="29">
        <v>2.1000000000000001E-2</v>
      </c>
      <c r="G154" s="29">
        <v>2.1000000000000001E-2</v>
      </c>
      <c r="H154" s="29">
        <v>2.3E-2</v>
      </c>
      <c r="I154" s="29">
        <v>2.5000000000000001E-2</v>
      </c>
      <c r="J154" s="29">
        <v>2.6000000000000002E-2</v>
      </c>
      <c r="K154" s="29">
        <v>2.7999999999999997E-2</v>
      </c>
      <c r="L154" s="29">
        <v>2.7000000000000003E-2</v>
      </c>
      <c r="M154" s="29">
        <v>2.7999999999999997E-2</v>
      </c>
      <c r="N154" s="29">
        <v>3.1E-2</v>
      </c>
      <c r="O154" s="29">
        <v>0.03</v>
      </c>
      <c r="P154" s="29">
        <v>0.03</v>
      </c>
      <c r="Q154" s="29">
        <v>2.7999999999999997E-2</v>
      </c>
      <c r="R154" s="29">
        <v>2.7999999999999997E-2</v>
      </c>
      <c r="S154" s="29">
        <v>2.8999999999999998E-2</v>
      </c>
      <c r="T154" s="29">
        <v>3.5000000000000003E-2</v>
      </c>
      <c r="U154" s="65">
        <v>0.04</v>
      </c>
      <c r="V154" s="65">
        <v>4.0999999999999995E-2</v>
      </c>
      <c r="W154" s="117" t="s">
        <v>344</v>
      </c>
      <c r="X154" s="117" t="s">
        <v>344</v>
      </c>
    </row>
    <row r="155" spans="1:24" x14ac:dyDescent="0.2">
      <c r="A155" s="30" t="s">
        <v>207</v>
      </c>
      <c r="B155" s="16" t="s">
        <v>47</v>
      </c>
      <c r="C155" s="17" t="s">
        <v>24</v>
      </c>
      <c r="D155" s="29">
        <v>2.6000000000000002E-2</v>
      </c>
      <c r="E155" s="29">
        <v>2.4E-2</v>
      </c>
      <c r="F155" s="29">
        <v>2.4E-2</v>
      </c>
      <c r="G155" s="29">
        <v>2.4E-2</v>
      </c>
      <c r="H155" s="29">
        <v>2.5000000000000001E-2</v>
      </c>
      <c r="I155" s="29">
        <v>2.6000000000000002E-2</v>
      </c>
      <c r="J155" s="29">
        <v>2.6000000000000002E-2</v>
      </c>
      <c r="K155" s="29">
        <v>2.7999999999999997E-2</v>
      </c>
      <c r="L155" s="29">
        <v>2.8999999999999998E-2</v>
      </c>
      <c r="M155" s="29">
        <v>2.7999999999999997E-2</v>
      </c>
      <c r="N155" s="29">
        <v>2.6000000000000002E-2</v>
      </c>
      <c r="O155" s="29">
        <v>2.8999999999999998E-2</v>
      </c>
      <c r="P155" s="29">
        <v>2.8999999999999998E-2</v>
      </c>
      <c r="Q155" s="29">
        <v>2.7999999999999997E-2</v>
      </c>
      <c r="R155" s="29">
        <v>3.1E-2</v>
      </c>
      <c r="S155" s="29">
        <v>3.2000000000000001E-2</v>
      </c>
      <c r="T155" s="29">
        <v>3.7000000000000005E-2</v>
      </c>
      <c r="U155" s="65">
        <v>4.2999999999999997E-2</v>
      </c>
      <c r="V155" s="65">
        <v>4.9000000000000002E-2</v>
      </c>
      <c r="W155" s="117" t="s">
        <v>344</v>
      </c>
      <c r="X155" s="117" t="s">
        <v>344</v>
      </c>
    </row>
    <row r="156" spans="1:24" x14ac:dyDescent="0.2">
      <c r="A156" s="30" t="s">
        <v>207</v>
      </c>
      <c r="B156" s="16" t="s">
        <v>47</v>
      </c>
      <c r="C156" s="17" t="s">
        <v>25</v>
      </c>
      <c r="D156" s="29">
        <v>2.5000000000000001E-2</v>
      </c>
      <c r="E156" s="29">
        <v>2.5000000000000001E-2</v>
      </c>
      <c r="F156" s="29">
        <v>2.4E-2</v>
      </c>
      <c r="G156" s="29">
        <v>2.5000000000000001E-2</v>
      </c>
      <c r="H156" s="29">
        <v>2.5000000000000001E-2</v>
      </c>
      <c r="I156" s="29">
        <v>2.4E-2</v>
      </c>
      <c r="J156" s="29">
        <v>2.6000000000000002E-2</v>
      </c>
      <c r="K156" s="29">
        <v>2.5000000000000001E-2</v>
      </c>
      <c r="L156" s="29">
        <v>2.6000000000000002E-2</v>
      </c>
      <c r="M156" s="29">
        <v>2.7999999999999997E-2</v>
      </c>
      <c r="N156" s="29">
        <v>2.7999999999999997E-2</v>
      </c>
      <c r="O156" s="29">
        <v>3.1E-2</v>
      </c>
      <c r="P156" s="29">
        <v>3.3000000000000002E-2</v>
      </c>
      <c r="Q156" s="29">
        <v>3.3000000000000002E-2</v>
      </c>
      <c r="R156" s="29">
        <v>2.7000000000000003E-2</v>
      </c>
      <c r="S156" s="29">
        <v>2.8999999999999998E-2</v>
      </c>
      <c r="T156" s="29">
        <v>3.3000000000000002E-2</v>
      </c>
      <c r="U156" s="65">
        <v>3.2000000000000001E-2</v>
      </c>
      <c r="V156" s="65">
        <v>3.5000000000000003E-2</v>
      </c>
      <c r="W156" s="117" t="s">
        <v>344</v>
      </c>
      <c r="X156" s="117" t="s">
        <v>344</v>
      </c>
    </row>
    <row r="157" spans="1:24" x14ac:dyDescent="0.2">
      <c r="A157" s="30" t="s">
        <v>207</v>
      </c>
      <c r="B157" s="16" t="s">
        <v>47</v>
      </c>
      <c r="C157" s="17" t="s">
        <v>2</v>
      </c>
      <c r="D157" s="29">
        <v>3.7999999999999999E-2</v>
      </c>
      <c r="E157" s="29">
        <v>3.9E-2</v>
      </c>
      <c r="F157" s="29">
        <v>4.0999999999999995E-2</v>
      </c>
      <c r="G157" s="29">
        <v>4.5999999999999999E-2</v>
      </c>
      <c r="H157" s="29">
        <v>4.4999999999999998E-2</v>
      </c>
      <c r="I157" s="29">
        <v>4.5999999999999999E-2</v>
      </c>
      <c r="J157" s="29">
        <v>4.2999999999999997E-2</v>
      </c>
      <c r="K157" s="29">
        <v>5.2000000000000005E-2</v>
      </c>
      <c r="L157" s="29">
        <v>5.2000000000000005E-2</v>
      </c>
      <c r="M157" s="29">
        <v>4.7E-2</v>
      </c>
      <c r="N157" s="29">
        <v>4.8000000000000001E-2</v>
      </c>
      <c r="O157" s="29">
        <v>4.2000000000000003E-2</v>
      </c>
      <c r="P157" s="29">
        <v>4.2999999999999997E-2</v>
      </c>
      <c r="Q157" s="29">
        <v>4.2000000000000003E-2</v>
      </c>
      <c r="R157" s="29">
        <v>3.9E-2</v>
      </c>
      <c r="S157" s="29">
        <v>4.0999999999999995E-2</v>
      </c>
      <c r="T157" s="29">
        <v>5.2000000000000005E-2</v>
      </c>
      <c r="U157" s="65">
        <v>6.8000000000000005E-2</v>
      </c>
      <c r="V157" s="65">
        <v>5.7000000000000002E-2</v>
      </c>
      <c r="W157" s="117" t="s">
        <v>344</v>
      </c>
      <c r="X157" s="117" t="s">
        <v>344</v>
      </c>
    </row>
    <row r="158" spans="1:24" x14ac:dyDescent="0.2">
      <c r="A158" s="30" t="s">
        <v>207</v>
      </c>
      <c r="B158" s="16" t="s">
        <v>47</v>
      </c>
      <c r="C158" s="17" t="s">
        <v>3</v>
      </c>
      <c r="D158" s="29">
        <v>2.3E-2</v>
      </c>
      <c r="E158" s="29">
        <v>2.3E-2</v>
      </c>
      <c r="F158" s="29">
        <v>2.3E-2</v>
      </c>
      <c r="G158" s="29">
        <v>2.6000000000000002E-2</v>
      </c>
      <c r="H158" s="29">
        <v>2.7000000000000003E-2</v>
      </c>
      <c r="I158" s="29">
        <v>2.7000000000000003E-2</v>
      </c>
      <c r="J158" s="29">
        <v>2.7999999999999997E-2</v>
      </c>
      <c r="K158" s="29">
        <v>0.03</v>
      </c>
      <c r="L158" s="29">
        <v>2.7999999999999997E-2</v>
      </c>
      <c r="M158" s="29">
        <v>2.6000000000000002E-2</v>
      </c>
      <c r="N158" s="29">
        <v>2.6000000000000002E-2</v>
      </c>
      <c r="O158" s="29">
        <v>2.4E-2</v>
      </c>
      <c r="P158" s="29">
        <v>2.7999999999999997E-2</v>
      </c>
      <c r="Q158" s="29">
        <v>2.7999999999999997E-2</v>
      </c>
      <c r="R158" s="29">
        <v>3.4000000000000002E-2</v>
      </c>
      <c r="S158" s="29">
        <v>3.3000000000000002E-2</v>
      </c>
      <c r="T158" s="29">
        <v>4.2999999999999997E-2</v>
      </c>
      <c r="U158" s="65">
        <v>4.2000000000000003E-2</v>
      </c>
      <c r="V158" s="65">
        <v>4.5999999999999999E-2</v>
      </c>
      <c r="W158" s="117" t="s">
        <v>344</v>
      </c>
      <c r="X158" s="117" t="s">
        <v>344</v>
      </c>
    </row>
    <row r="159" spans="1:24" x14ac:dyDescent="0.2">
      <c r="A159" s="30" t="s">
        <v>207</v>
      </c>
      <c r="B159" s="16" t="s">
        <v>47</v>
      </c>
      <c r="C159" s="17" t="s">
        <v>30</v>
      </c>
      <c r="D159" s="29">
        <v>2.4E-2</v>
      </c>
      <c r="E159" s="29">
        <v>2.4E-2</v>
      </c>
      <c r="F159" s="29">
        <v>2.4E-2</v>
      </c>
      <c r="G159" s="29">
        <v>2.4E-2</v>
      </c>
      <c r="H159" s="29">
        <v>2.6000000000000002E-2</v>
      </c>
      <c r="I159" s="29">
        <v>2.7000000000000003E-2</v>
      </c>
      <c r="J159" s="29">
        <v>2.6000000000000002E-2</v>
      </c>
      <c r="K159" s="29">
        <v>2.7999999999999997E-2</v>
      </c>
      <c r="L159" s="29">
        <v>2.7000000000000003E-2</v>
      </c>
      <c r="M159" s="29">
        <v>2.7999999999999997E-2</v>
      </c>
      <c r="N159" s="29">
        <v>0.03</v>
      </c>
      <c r="O159" s="29">
        <v>0.03</v>
      </c>
      <c r="P159" s="29">
        <v>3.1E-2</v>
      </c>
      <c r="Q159" s="29">
        <v>3.2000000000000001E-2</v>
      </c>
      <c r="R159" s="29">
        <v>0.03</v>
      </c>
      <c r="S159" s="29">
        <v>0.03</v>
      </c>
      <c r="T159" s="29">
        <v>3.6000000000000004E-2</v>
      </c>
      <c r="U159" s="65">
        <v>4.2000000000000003E-2</v>
      </c>
      <c r="V159" s="65">
        <v>4.2000000000000003E-2</v>
      </c>
      <c r="W159" s="117" t="s">
        <v>344</v>
      </c>
      <c r="X159" s="117" t="s">
        <v>344</v>
      </c>
    </row>
    <row r="160" spans="1:24" x14ac:dyDescent="0.2">
      <c r="A160" s="30" t="s">
        <v>207</v>
      </c>
      <c r="B160" s="16" t="s">
        <v>47</v>
      </c>
      <c r="C160" s="17" t="s">
        <v>4</v>
      </c>
      <c r="D160" s="29">
        <v>2.4E-2</v>
      </c>
      <c r="E160" s="29">
        <v>2.4E-2</v>
      </c>
      <c r="F160" s="29">
        <v>2.4E-2</v>
      </c>
      <c r="G160" s="29">
        <v>2.5000000000000001E-2</v>
      </c>
      <c r="H160" s="29">
        <v>2.5000000000000001E-2</v>
      </c>
      <c r="I160" s="29">
        <v>2.5000000000000001E-2</v>
      </c>
      <c r="J160" s="29">
        <v>2.6000000000000002E-2</v>
      </c>
      <c r="K160" s="29">
        <v>2.7999999999999997E-2</v>
      </c>
      <c r="L160" s="29">
        <v>2.7999999999999997E-2</v>
      </c>
      <c r="M160" s="29">
        <v>2.7000000000000003E-2</v>
      </c>
      <c r="N160" s="29">
        <v>2.7999999999999997E-2</v>
      </c>
      <c r="O160" s="29">
        <v>0.03</v>
      </c>
      <c r="P160" s="29">
        <v>3.3000000000000002E-2</v>
      </c>
      <c r="Q160" s="29">
        <v>0.03</v>
      </c>
      <c r="R160" s="29">
        <v>3.3000000000000002E-2</v>
      </c>
      <c r="S160" s="29">
        <v>3.3000000000000002E-2</v>
      </c>
      <c r="T160" s="29">
        <v>0.04</v>
      </c>
      <c r="U160" s="65">
        <v>4.0999999999999995E-2</v>
      </c>
      <c r="V160" s="65">
        <v>4.4000000000000004E-2</v>
      </c>
      <c r="W160" s="117" t="s">
        <v>344</v>
      </c>
      <c r="X160" s="117" t="s">
        <v>344</v>
      </c>
    </row>
    <row r="161" spans="1:24" x14ac:dyDescent="0.2">
      <c r="A161" s="30" t="s">
        <v>207</v>
      </c>
      <c r="B161" s="16" t="s">
        <v>47</v>
      </c>
      <c r="C161" s="17" t="s">
        <v>32</v>
      </c>
      <c r="D161" s="29">
        <v>2.3E-2</v>
      </c>
      <c r="E161" s="29">
        <v>2.1000000000000001E-2</v>
      </c>
      <c r="F161" s="29">
        <v>2.1000000000000001E-2</v>
      </c>
      <c r="G161" s="29">
        <v>2.4E-2</v>
      </c>
      <c r="H161" s="29">
        <v>2.5000000000000001E-2</v>
      </c>
      <c r="I161" s="29">
        <v>2.7000000000000003E-2</v>
      </c>
      <c r="J161" s="29">
        <v>2.6000000000000002E-2</v>
      </c>
      <c r="K161" s="29">
        <v>2.8999999999999998E-2</v>
      </c>
      <c r="L161" s="29">
        <v>2.7999999999999997E-2</v>
      </c>
      <c r="M161" s="29">
        <v>2.7999999999999997E-2</v>
      </c>
      <c r="N161" s="29">
        <v>3.1E-2</v>
      </c>
      <c r="O161" s="29">
        <v>2.8999999999999998E-2</v>
      </c>
      <c r="P161" s="29">
        <v>0.03</v>
      </c>
      <c r="Q161" s="29">
        <v>2.8999999999999998E-2</v>
      </c>
      <c r="R161" s="29">
        <v>2.7999999999999997E-2</v>
      </c>
      <c r="S161" s="29">
        <v>2.6000000000000002E-2</v>
      </c>
      <c r="T161" s="29">
        <v>3.2000000000000001E-2</v>
      </c>
      <c r="U161" s="65">
        <v>3.7000000000000005E-2</v>
      </c>
      <c r="V161" s="65">
        <v>3.7000000000000005E-2</v>
      </c>
      <c r="W161" s="117" t="s">
        <v>344</v>
      </c>
      <c r="X161" s="117" t="s">
        <v>344</v>
      </c>
    </row>
    <row r="162" spans="1:24" x14ac:dyDescent="0.2">
      <c r="A162" s="30" t="s">
        <v>207</v>
      </c>
      <c r="B162" s="16" t="s">
        <v>47</v>
      </c>
      <c r="C162" s="17" t="s">
        <v>5</v>
      </c>
      <c r="D162" s="29">
        <v>2.5000000000000001E-2</v>
      </c>
      <c r="E162" s="29">
        <v>2.4E-2</v>
      </c>
      <c r="F162" s="29">
        <v>2.4E-2</v>
      </c>
      <c r="G162" s="29">
        <v>2.4E-2</v>
      </c>
      <c r="H162" s="29">
        <v>2.5000000000000001E-2</v>
      </c>
      <c r="I162" s="29">
        <v>2.6000000000000002E-2</v>
      </c>
      <c r="J162" s="29">
        <v>2.7000000000000003E-2</v>
      </c>
      <c r="K162" s="29">
        <v>0.03</v>
      </c>
      <c r="L162" s="29">
        <v>0.03</v>
      </c>
      <c r="M162" s="29">
        <v>2.7999999999999997E-2</v>
      </c>
      <c r="N162" s="29">
        <v>0.03</v>
      </c>
      <c r="O162" s="29">
        <v>2.8999999999999998E-2</v>
      </c>
      <c r="P162" s="29">
        <v>3.3000000000000002E-2</v>
      </c>
      <c r="Q162" s="29">
        <v>0.03</v>
      </c>
      <c r="R162" s="29">
        <v>2.7999999999999997E-2</v>
      </c>
      <c r="S162" s="29">
        <v>3.2000000000000001E-2</v>
      </c>
      <c r="T162" s="29">
        <v>0.04</v>
      </c>
      <c r="U162" s="65">
        <v>4.2000000000000003E-2</v>
      </c>
      <c r="V162" s="65">
        <v>4.5999999999999999E-2</v>
      </c>
      <c r="W162" s="117" t="s">
        <v>344</v>
      </c>
      <c r="X162" s="117" t="s">
        <v>344</v>
      </c>
    </row>
    <row r="163" spans="1:24" x14ac:dyDescent="0.2">
      <c r="A163" s="30" t="s">
        <v>207</v>
      </c>
      <c r="B163" s="16" t="s">
        <v>47</v>
      </c>
      <c r="C163" s="17" t="s">
        <v>6</v>
      </c>
      <c r="D163" s="29">
        <v>2.5000000000000001E-2</v>
      </c>
      <c r="E163" s="29">
        <v>2.5000000000000001E-2</v>
      </c>
      <c r="F163" s="29">
        <v>2.5000000000000001E-2</v>
      </c>
      <c r="G163" s="29">
        <v>2.4E-2</v>
      </c>
      <c r="H163" s="29">
        <v>2.5000000000000001E-2</v>
      </c>
      <c r="I163" s="29">
        <v>2.6000000000000002E-2</v>
      </c>
      <c r="J163" s="29">
        <v>2.6000000000000002E-2</v>
      </c>
      <c r="K163" s="29">
        <v>2.8999999999999998E-2</v>
      </c>
      <c r="L163" s="29">
        <v>0.03</v>
      </c>
      <c r="M163" s="29">
        <v>2.7999999999999997E-2</v>
      </c>
      <c r="N163" s="29">
        <v>2.7999999999999997E-2</v>
      </c>
      <c r="O163" s="29">
        <v>0.03</v>
      </c>
      <c r="P163" s="29">
        <v>3.1E-2</v>
      </c>
      <c r="Q163" s="29">
        <v>3.3000000000000002E-2</v>
      </c>
      <c r="R163" s="29">
        <v>3.4000000000000002E-2</v>
      </c>
      <c r="S163" s="29">
        <v>3.4000000000000002E-2</v>
      </c>
      <c r="T163" s="29">
        <v>3.9E-2</v>
      </c>
      <c r="U163" s="65">
        <v>4.4999999999999998E-2</v>
      </c>
      <c r="V163" s="65">
        <v>4.4999999999999998E-2</v>
      </c>
      <c r="W163" s="117" t="s">
        <v>344</v>
      </c>
      <c r="X163" s="117" t="s">
        <v>344</v>
      </c>
    </row>
    <row r="164" spans="1:24" x14ac:dyDescent="0.2">
      <c r="A164" s="30" t="s">
        <v>207</v>
      </c>
      <c r="B164" s="16" t="s">
        <v>47</v>
      </c>
      <c r="C164" s="17" t="s">
        <v>8</v>
      </c>
      <c r="D164" s="29">
        <v>2.5000000000000001E-2</v>
      </c>
      <c r="E164" s="29">
        <v>2.4E-2</v>
      </c>
      <c r="F164" s="29">
        <v>2.3E-2</v>
      </c>
      <c r="G164" s="29">
        <v>2.4E-2</v>
      </c>
      <c r="H164" s="29">
        <v>2.4E-2</v>
      </c>
      <c r="I164" s="29">
        <v>2.5000000000000001E-2</v>
      </c>
      <c r="J164" s="29">
        <v>2.5000000000000001E-2</v>
      </c>
      <c r="K164" s="29">
        <v>2.6000000000000002E-2</v>
      </c>
      <c r="L164" s="29">
        <v>2.5000000000000001E-2</v>
      </c>
      <c r="M164" s="29">
        <v>2.5000000000000001E-2</v>
      </c>
      <c r="N164" s="29">
        <v>2.5000000000000001E-2</v>
      </c>
      <c r="O164" s="29">
        <v>2.6000000000000002E-2</v>
      </c>
      <c r="P164" s="29">
        <v>2.7999999999999997E-2</v>
      </c>
      <c r="Q164" s="29">
        <v>2.8999999999999998E-2</v>
      </c>
      <c r="R164" s="29">
        <v>2.8999999999999998E-2</v>
      </c>
      <c r="S164" s="29">
        <v>3.1E-2</v>
      </c>
      <c r="T164" s="29">
        <v>3.9E-2</v>
      </c>
      <c r="U164" s="65">
        <v>4.2000000000000003E-2</v>
      </c>
      <c r="V164" s="65">
        <v>0.04</v>
      </c>
      <c r="W164" s="117" t="s">
        <v>344</v>
      </c>
      <c r="X164" s="117" t="s">
        <v>344</v>
      </c>
    </row>
    <row r="165" spans="1:24" x14ac:dyDescent="0.2">
      <c r="A165" s="30" t="s">
        <v>207</v>
      </c>
      <c r="B165" s="16" t="s">
        <v>47</v>
      </c>
      <c r="C165" s="17" t="s">
        <v>9</v>
      </c>
      <c r="D165" s="29">
        <v>2.3E-2</v>
      </c>
      <c r="E165" s="29">
        <v>2.4E-2</v>
      </c>
      <c r="F165" s="29">
        <v>2.4E-2</v>
      </c>
      <c r="G165" s="29">
        <v>2.5000000000000001E-2</v>
      </c>
      <c r="H165" s="29">
        <v>2.6000000000000002E-2</v>
      </c>
      <c r="I165" s="29">
        <v>2.7000000000000003E-2</v>
      </c>
      <c r="J165" s="29">
        <v>2.6000000000000002E-2</v>
      </c>
      <c r="K165" s="29">
        <v>2.6000000000000002E-2</v>
      </c>
      <c r="L165" s="29">
        <v>2.6000000000000002E-2</v>
      </c>
      <c r="M165" s="29">
        <v>2.7000000000000003E-2</v>
      </c>
      <c r="N165" s="29">
        <v>2.7000000000000003E-2</v>
      </c>
      <c r="O165" s="29">
        <v>2.8999999999999998E-2</v>
      </c>
      <c r="P165" s="29">
        <v>3.2000000000000001E-2</v>
      </c>
      <c r="Q165" s="29">
        <v>3.3000000000000002E-2</v>
      </c>
      <c r="R165" s="29">
        <v>3.1E-2</v>
      </c>
      <c r="S165" s="29">
        <v>0.03</v>
      </c>
      <c r="T165" s="29">
        <v>3.4000000000000002E-2</v>
      </c>
      <c r="U165" s="65">
        <v>3.7000000000000005E-2</v>
      </c>
      <c r="V165" s="65">
        <v>3.6000000000000004E-2</v>
      </c>
      <c r="W165" s="117" t="s">
        <v>344</v>
      </c>
      <c r="X165" s="117" t="s">
        <v>344</v>
      </c>
    </row>
    <row r="166" spans="1:24" x14ac:dyDescent="0.2">
      <c r="A166" s="30" t="s">
        <v>207</v>
      </c>
      <c r="B166" s="16" t="s">
        <v>47</v>
      </c>
      <c r="C166" s="17" t="s">
        <v>33</v>
      </c>
      <c r="D166" s="29">
        <v>2.6000000000000002E-2</v>
      </c>
      <c r="E166" s="29">
        <v>2.6000000000000002E-2</v>
      </c>
      <c r="F166" s="29">
        <v>2.5000000000000001E-2</v>
      </c>
      <c r="G166" s="29">
        <v>2.4E-2</v>
      </c>
      <c r="H166" s="29">
        <v>2.4E-2</v>
      </c>
      <c r="I166" s="29">
        <v>2.4E-2</v>
      </c>
      <c r="J166" s="29">
        <v>2.4E-2</v>
      </c>
      <c r="K166" s="29">
        <v>2.6000000000000002E-2</v>
      </c>
      <c r="L166" s="29">
        <v>0.03</v>
      </c>
      <c r="M166" s="29">
        <v>0.03</v>
      </c>
      <c r="N166" s="29">
        <v>3.2000000000000001E-2</v>
      </c>
      <c r="O166" s="29">
        <v>3.1E-2</v>
      </c>
      <c r="P166" s="29">
        <v>3.1E-2</v>
      </c>
      <c r="Q166" s="29">
        <v>0.03</v>
      </c>
      <c r="R166" s="29">
        <v>3.1E-2</v>
      </c>
      <c r="S166" s="29">
        <v>2.7999999999999997E-2</v>
      </c>
      <c r="T166" s="29">
        <v>3.5000000000000003E-2</v>
      </c>
      <c r="U166" s="65">
        <v>3.4000000000000002E-2</v>
      </c>
      <c r="V166" s="65">
        <v>3.5000000000000003E-2</v>
      </c>
      <c r="W166" s="117" t="s">
        <v>344</v>
      </c>
      <c r="X166" s="117" t="s">
        <v>344</v>
      </c>
    </row>
    <row r="167" spans="1:24" x14ac:dyDescent="0.2">
      <c r="A167" s="30" t="s">
        <v>207</v>
      </c>
      <c r="B167" s="16" t="s">
        <v>47</v>
      </c>
      <c r="C167" s="17" t="s">
        <v>10</v>
      </c>
      <c r="D167" s="29">
        <v>2.2000000000000002E-2</v>
      </c>
      <c r="E167" s="29">
        <v>2.5000000000000001E-2</v>
      </c>
      <c r="F167" s="29">
        <v>2.7999999999999997E-2</v>
      </c>
      <c r="G167" s="29">
        <v>2.7999999999999997E-2</v>
      </c>
      <c r="H167" s="29">
        <v>2.5000000000000001E-2</v>
      </c>
      <c r="I167" s="29">
        <v>2.4E-2</v>
      </c>
      <c r="J167" s="29">
        <v>2.3E-2</v>
      </c>
      <c r="K167" s="29">
        <v>2.4E-2</v>
      </c>
      <c r="L167" s="29">
        <v>2.7000000000000003E-2</v>
      </c>
      <c r="M167" s="29">
        <v>0.03</v>
      </c>
      <c r="N167" s="29">
        <v>2.7999999999999997E-2</v>
      </c>
      <c r="O167" s="29">
        <v>2.7000000000000003E-2</v>
      </c>
      <c r="P167" s="29">
        <v>3.3000000000000002E-2</v>
      </c>
      <c r="Q167" s="29">
        <v>2.7999999999999997E-2</v>
      </c>
      <c r="R167" s="29">
        <v>3.2000000000000001E-2</v>
      </c>
      <c r="S167" s="29">
        <v>3.7999999999999999E-2</v>
      </c>
      <c r="T167" s="29">
        <v>4.2999999999999997E-2</v>
      </c>
      <c r="U167" s="65">
        <v>5.4000000000000006E-2</v>
      </c>
      <c r="V167" s="65">
        <v>5.7000000000000002E-2</v>
      </c>
      <c r="W167" s="117" t="s">
        <v>344</v>
      </c>
      <c r="X167" s="117" t="s">
        <v>344</v>
      </c>
    </row>
    <row r="168" spans="1:24" x14ac:dyDescent="0.2">
      <c r="A168" s="30" t="s">
        <v>207</v>
      </c>
      <c r="B168" s="16" t="s">
        <v>47</v>
      </c>
      <c r="C168" s="17" t="s">
        <v>11</v>
      </c>
      <c r="D168" s="29">
        <v>2.6000000000000002E-2</v>
      </c>
      <c r="E168" s="29">
        <v>2.6000000000000002E-2</v>
      </c>
      <c r="F168" s="29">
        <v>2.6000000000000002E-2</v>
      </c>
      <c r="G168" s="29">
        <v>2.7000000000000003E-2</v>
      </c>
      <c r="H168" s="29">
        <v>2.8999999999999998E-2</v>
      </c>
      <c r="I168" s="29">
        <v>3.1E-2</v>
      </c>
      <c r="J168" s="29">
        <v>3.1E-2</v>
      </c>
      <c r="K168" s="29">
        <v>2.7999999999999997E-2</v>
      </c>
      <c r="L168" s="29">
        <v>0.03</v>
      </c>
      <c r="M168" s="29">
        <v>0.03</v>
      </c>
      <c r="N168" s="29">
        <v>0.03</v>
      </c>
      <c r="O168" s="29">
        <v>3.2000000000000001E-2</v>
      </c>
      <c r="P168" s="29">
        <v>3.1E-2</v>
      </c>
      <c r="Q168" s="29">
        <v>3.2000000000000001E-2</v>
      </c>
      <c r="R168" s="29">
        <v>3.2000000000000001E-2</v>
      </c>
      <c r="S168" s="29">
        <v>3.6000000000000004E-2</v>
      </c>
      <c r="T168" s="29">
        <v>4.2000000000000003E-2</v>
      </c>
      <c r="U168" s="65">
        <v>4.2000000000000003E-2</v>
      </c>
      <c r="V168" s="65">
        <v>4.7E-2</v>
      </c>
      <c r="W168" s="117" t="s">
        <v>344</v>
      </c>
      <c r="X168" s="117" t="s">
        <v>344</v>
      </c>
    </row>
    <row r="169" spans="1:24" x14ac:dyDescent="0.2">
      <c r="A169" s="30" t="s">
        <v>207</v>
      </c>
      <c r="B169" s="16" t="s">
        <v>47</v>
      </c>
      <c r="C169" s="17" t="s">
        <v>12</v>
      </c>
      <c r="D169" s="29">
        <v>2.6000000000000002E-2</v>
      </c>
      <c r="E169" s="29">
        <v>2.6000000000000002E-2</v>
      </c>
      <c r="F169" s="29">
        <v>2.6000000000000002E-2</v>
      </c>
      <c r="G169" s="29">
        <v>2.6000000000000002E-2</v>
      </c>
      <c r="H169" s="29">
        <v>2.7999999999999997E-2</v>
      </c>
      <c r="I169" s="29">
        <v>2.7999999999999997E-2</v>
      </c>
      <c r="J169" s="29">
        <v>2.7999999999999997E-2</v>
      </c>
      <c r="K169" s="29">
        <v>0.03</v>
      </c>
      <c r="L169" s="29">
        <v>3.2000000000000001E-2</v>
      </c>
      <c r="M169" s="29">
        <v>3.2000000000000001E-2</v>
      </c>
      <c r="N169" s="29">
        <v>3.2000000000000001E-2</v>
      </c>
      <c r="O169" s="29">
        <v>3.3000000000000002E-2</v>
      </c>
      <c r="P169" s="29">
        <v>3.7999999999999999E-2</v>
      </c>
      <c r="Q169" s="29">
        <v>3.3000000000000002E-2</v>
      </c>
      <c r="R169" s="29">
        <v>3.1E-2</v>
      </c>
      <c r="S169" s="29">
        <v>3.1E-2</v>
      </c>
      <c r="T169" s="29">
        <v>4.2999999999999997E-2</v>
      </c>
      <c r="U169" s="65">
        <v>4.2000000000000003E-2</v>
      </c>
      <c r="V169" s="65">
        <v>4.9000000000000002E-2</v>
      </c>
      <c r="W169" s="117" t="s">
        <v>344</v>
      </c>
      <c r="X169" s="117" t="s">
        <v>344</v>
      </c>
    </row>
    <row r="170" spans="1:24" x14ac:dyDescent="0.2">
      <c r="A170" s="30" t="s">
        <v>207</v>
      </c>
      <c r="B170" s="16" t="s">
        <v>47</v>
      </c>
      <c r="C170" s="17" t="s">
        <v>13</v>
      </c>
      <c r="D170" s="29">
        <v>2.6000000000000002E-2</v>
      </c>
      <c r="E170" s="29">
        <v>2.2000000000000002E-2</v>
      </c>
      <c r="F170" s="29">
        <v>2.1000000000000001E-2</v>
      </c>
      <c r="G170" s="29">
        <v>2.1000000000000001E-2</v>
      </c>
      <c r="H170" s="29">
        <v>2.1000000000000001E-2</v>
      </c>
      <c r="I170" s="29">
        <v>2.4E-2</v>
      </c>
      <c r="J170" s="29">
        <v>2.6000000000000002E-2</v>
      </c>
      <c r="K170" s="29">
        <v>2.7000000000000003E-2</v>
      </c>
      <c r="L170" s="29">
        <v>2.5000000000000001E-2</v>
      </c>
      <c r="M170" s="29">
        <v>2.4E-2</v>
      </c>
      <c r="N170" s="29">
        <v>2.5000000000000001E-2</v>
      </c>
      <c r="O170" s="29">
        <v>2.8999999999999998E-2</v>
      </c>
      <c r="P170" s="29">
        <v>3.1E-2</v>
      </c>
      <c r="Q170" s="29">
        <v>0.03</v>
      </c>
      <c r="R170" s="29">
        <v>3.2000000000000001E-2</v>
      </c>
      <c r="S170" s="29">
        <v>3.2000000000000001E-2</v>
      </c>
      <c r="T170" s="29">
        <v>3.9E-2</v>
      </c>
      <c r="U170" s="65">
        <v>4.4000000000000004E-2</v>
      </c>
      <c r="V170" s="65">
        <v>4.0999999999999995E-2</v>
      </c>
      <c r="W170" s="117" t="s">
        <v>344</v>
      </c>
      <c r="X170" s="117" t="s">
        <v>344</v>
      </c>
    </row>
    <row r="171" spans="1:24" x14ac:dyDescent="0.2">
      <c r="A171" s="30" t="s">
        <v>207</v>
      </c>
      <c r="B171" s="16" t="s">
        <v>47</v>
      </c>
      <c r="C171" s="17" t="s">
        <v>7</v>
      </c>
      <c r="D171" s="29">
        <v>4.8000000000000001E-2</v>
      </c>
      <c r="E171" s="29">
        <v>4.4999999999999998E-2</v>
      </c>
      <c r="F171" s="29">
        <v>4.8000000000000001E-2</v>
      </c>
      <c r="G171" s="29">
        <v>4.8000000000000001E-2</v>
      </c>
      <c r="H171" s="29">
        <v>5.5E-2</v>
      </c>
      <c r="I171" s="29">
        <v>6.7000000000000004E-2</v>
      </c>
      <c r="J171" s="29">
        <v>7.400000000000001E-2</v>
      </c>
      <c r="K171" s="29">
        <v>7.0000000000000007E-2</v>
      </c>
      <c r="L171" s="29">
        <v>5.5E-2</v>
      </c>
      <c r="M171" s="29">
        <v>0.05</v>
      </c>
      <c r="N171" s="29">
        <v>4.8000000000000001E-2</v>
      </c>
      <c r="O171" s="29">
        <v>4.8000000000000001E-2</v>
      </c>
      <c r="P171" s="29">
        <v>4.7E-2</v>
      </c>
      <c r="Q171" s="29">
        <v>0.04</v>
      </c>
      <c r="R171" s="29">
        <v>4.0999999999999995E-2</v>
      </c>
      <c r="S171" s="29">
        <v>4.2000000000000003E-2</v>
      </c>
      <c r="T171" s="29">
        <v>4.4000000000000004E-2</v>
      </c>
      <c r="U171" s="65">
        <v>5.7000000000000002E-2</v>
      </c>
      <c r="V171" s="65">
        <v>6.2E-2</v>
      </c>
      <c r="W171" s="117" t="s">
        <v>344</v>
      </c>
      <c r="X171" s="117" t="s">
        <v>344</v>
      </c>
    </row>
    <row r="172" spans="1:24" x14ac:dyDescent="0.2">
      <c r="A172" s="30" t="s">
        <v>207</v>
      </c>
      <c r="B172" s="16" t="s">
        <v>47</v>
      </c>
      <c r="C172" s="17" t="s">
        <v>14</v>
      </c>
      <c r="D172" s="29">
        <v>2.3E-2</v>
      </c>
      <c r="E172" s="29">
        <v>2.3E-2</v>
      </c>
      <c r="F172" s="29">
        <v>2.4E-2</v>
      </c>
      <c r="G172" s="29">
        <v>2.5000000000000001E-2</v>
      </c>
      <c r="H172" s="29">
        <v>2.5000000000000001E-2</v>
      </c>
      <c r="I172" s="29">
        <v>2.6000000000000002E-2</v>
      </c>
      <c r="J172" s="29">
        <v>2.7000000000000003E-2</v>
      </c>
      <c r="K172" s="29">
        <v>2.7999999999999997E-2</v>
      </c>
      <c r="L172" s="29">
        <v>2.7999999999999997E-2</v>
      </c>
      <c r="M172" s="29">
        <v>0.03</v>
      </c>
      <c r="N172" s="29">
        <v>2.7000000000000003E-2</v>
      </c>
      <c r="O172" s="29">
        <v>3.1E-2</v>
      </c>
      <c r="P172" s="29">
        <v>3.3000000000000002E-2</v>
      </c>
      <c r="Q172" s="29">
        <v>3.1E-2</v>
      </c>
      <c r="R172" s="29">
        <v>3.2000000000000001E-2</v>
      </c>
      <c r="S172" s="29">
        <v>3.3000000000000002E-2</v>
      </c>
      <c r="T172" s="29">
        <v>4.4999999999999998E-2</v>
      </c>
      <c r="U172" s="65">
        <v>4.4999999999999998E-2</v>
      </c>
      <c r="V172" s="65">
        <v>4.2000000000000003E-2</v>
      </c>
      <c r="W172" s="117" t="s">
        <v>344</v>
      </c>
      <c r="X172" s="117" t="s">
        <v>344</v>
      </c>
    </row>
    <row r="173" spans="1:24" x14ac:dyDescent="0.2">
      <c r="A173" s="30" t="s">
        <v>207</v>
      </c>
      <c r="B173" s="16" t="s">
        <v>47</v>
      </c>
      <c r="C173" s="17" t="s">
        <v>31</v>
      </c>
      <c r="D173" s="29">
        <v>2.3E-2</v>
      </c>
      <c r="E173" s="29">
        <v>2.3E-2</v>
      </c>
      <c r="F173" s="29">
        <v>2.4E-2</v>
      </c>
      <c r="G173" s="29">
        <v>2.5000000000000001E-2</v>
      </c>
      <c r="H173" s="29">
        <v>2.7999999999999997E-2</v>
      </c>
      <c r="I173" s="29">
        <v>2.6000000000000002E-2</v>
      </c>
      <c r="J173" s="29">
        <v>2.5000000000000001E-2</v>
      </c>
      <c r="K173" s="29">
        <v>2.5000000000000001E-2</v>
      </c>
      <c r="L173" s="29">
        <v>2.4E-2</v>
      </c>
      <c r="M173" s="29">
        <v>2.5000000000000001E-2</v>
      </c>
      <c r="N173" s="29">
        <v>2.6000000000000002E-2</v>
      </c>
      <c r="O173" s="29">
        <v>2.7000000000000003E-2</v>
      </c>
      <c r="P173" s="29">
        <v>2.8999999999999998E-2</v>
      </c>
      <c r="Q173" s="29">
        <v>0.03</v>
      </c>
      <c r="R173" s="29">
        <v>3.1E-2</v>
      </c>
      <c r="S173" s="29">
        <v>0.03</v>
      </c>
      <c r="T173" s="29">
        <v>3.9E-2</v>
      </c>
      <c r="U173" s="65">
        <v>4.2999999999999997E-2</v>
      </c>
      <c r="V173" s="65">
        <v>4.5999999999999999E-2</v>
      </c>
      <c r="W173" s="117" t="s">
        <v>344</v>
      </c>
      <c r="X173" s="117" t="s">
        <v>344</v>
      </c>
    </row>
    <row r="174" spans="1:24" x14ac:dyDescent="0.2">
      <c r="A174" s="30" t="s">
        <v>207</v>
      </c>
      <c r="B174" s="16" t="s">
        <v>47</v>
      </c>
      <c r="C174" s="17" t="s">
        <v>15</v>
      </c>
      <c r="D174" s="29">
        <v>4.0999999999999995E-2</v>
      </c>
      <c r="E174" s="29">
        <v>4.5999999999999999E-2</v>
      </c>
      <c r="F174" s="29">
        <v>5.0999999999999997E-2</v>
      </c>
      <c r="G174" s="29">
        <v>4.9000000000000002E-2</v>
      </c>
      <c r="H174" s="29">
        <v>4.8000000000000001E-2</v>
      </c>
      <c r="I174" s="29">
        <v>4.0999999999999995E-2</v>
      </c>
      <c r="J174" s="29">
        <v>4.7E-2</v>
      </c>
      <c r="K174" s="29">
        <v>4.8000000000000001E-2</v>
      </c>
      <c r="L174" s="29">
        <v>5.0999999999999997E-2</v>
      </c>
      <c r="M174" s="29">
        <v>5.7999999999999996E-2</v>
      </c>
      <c r="N174" s="29">
        <v>4.5999999999999999E-2</v>
      </c>
      <c r="O174" s="29">
        <v>5.5E-2</v>
      </c>
      <c r="P174" s="29">
        <v>5.4000000000000006E-2</v>
      </c>
      <c r="Q174" s="29">
        <v>5.2999999999999999E-2</v>
      </c>
      <c r="R174" s="29">
        <v>5.5E-2</v>
      </c>
      <c r="S174" s="29">
        <v>6.0999999999999999E-2</v>
      </c>
      <c r="T174" s="29" t="s">
        <v>256</v>
      </c>
      <c r="U174" s="29" t="s">
        <v>256</v>
      </c>
      <c r="V174" s="65" t="s">
        <v>256</v>
      </c>
      <c r="W174" s="117" t="s">
        <v>344</v>
      </c>
      <c r="X174" s="117" t="s">
        <v>344</v>
      </c>
    </row>
    <row r="175" spans="1:24" x14ac:dyDescent="0.2">
      <c r="A175" s="30" t="s">
        <v>207</v>
      </c>
      <c r="B175" s="16" t="s">
        <v>47</v>
      </c>
      <c r="C175" s="17" t="s">
        <v>16</v>
      </c>
      <c r="D175" s="29">
        <v>2.5000000000000001E-2</v>
      </c>
      <c r="E175" s="29">
        <v>2.4E-2</v>
      </c>
      <c r="F175" s="29">
        <v>2.2000000000000002E-2</v>
      </c>
      <c r="G175" s="29">
        <v>2.3E-2</v>
      </c>
      <c r="H175" s="29">
        <v>2.3E-2</v>
      </c>
      <c r="I175" s="29">
        <v>2.4E-2</v>
      </c>
      <c r="J175" s="29">
        <v>2.5000000000000001E-2</v>
      </c>
      <c r="K175" s="29">
        <v>2.5000000000000001E-2</v>
      </c>
      <c r="L175" s="29">
        <v>2.5000000000000001E-2</v>
      </c>
      <c r="M175" s="29">
        <v>2.6000000000000002E-2</v>
      </c>
      <c r="N175" s="29">
        <v>2.7000000000000003E-2</v>
      </c>
      <c r="O175" s="29">
        <v>2.7000000000000003E-2</v>
      </c>
      <c r="P175" s="29">
        <v>3.2000000000000001E-2</v>
      </c>
      <c r="Q175" s="29">
        <v>3.1E-2</v>
      </c>
      <c r="R175" s="29">
        <v>2.8999999999999998E-2</v>
      </c>
      <c r="S175" s="29">
        <v>2.7000000000000003E-2</v>
      </c>
      <c r="T175" s="29">
        <v>3.5000000000000003E-2</v>
      </c>
      <c r="U175" s="65">
        <v>3.6000000000000004E-2</v>
      </c>
      <c r="V175" s="65">
        <v>0.04</v>
      </c>
      <c r="W175" s="117" t="s">
        <v>344</v>
      </c>
      <c r="X175" s="117" t="s">
        <v>344</v>
      </c>
    </row>
    <row r="176" spans="1:24" x14ac:dyDescent="0.2">
      <c r="A176" s="30" t="s">
        <v>207</v>
      </c>
      <c r="B176" s="16" t="s">
        <v>47</v>
      </c>
      <c r="C176" s="17" t="s">
        <v>26</v>
      </c>
      <c r="D176" s="29">
        <v>2.4E-2</v>
      </c>
      <c r="E176" s="29">
        <v>2.3E-2</v>
      </c>
      <c r="F176" s="29">
        <v>2.4E-2</v>
      </c>
      <c r="G176" s="29">
        <v>2.3E-2</v>
      </c>
      <c r="H176" s="29">
        <v>2.3E-2</v>
      </c>
      <c r="I176" s="29">
        <v>2.5000000000000001E-2</v>
      </c>
      <c r="J176" s="29">
        <v>2.5000000000000001E-2</v>
      </c>
      <c r="K176" s="29">
        <v>2.8999999999999998E-2</v>
      </c>
      <c r="L176" s="29">
        <v>2.7000000000000003E-2</v>
      </c>
      <c r="M176" s="29">
        <v>2.7999999999999997E-2</v>
      </c>
      <c r="N176" s="29">
        <v>2.7000000000000003E-2</v>
      </c>
      <c r="O176" s="29">
        <v>2.7000000000000003E-2</v>
      </c>
      <c r="P176" s="29">
        <v>2.7999999999999997E-2</v>
      </c>
      <c r="Q176" s="29">
        <v>2.7999999999999997E-2</v>
      </c>
      <c r="R176" s="29">
        <v>3.2000000000000001E-2</v>
      </c>
      <c r="S176" s="29">
        <v>0.03</v>
      </c>
      <c r="T176" s="29">
        <v>3.7000000000000005E-2</v>
      </c>
      <c r="U176" s="65">
        <v>0.04</v>
      </c>
      <c r="V176" s="65">
        <v>4.7E-2</v>
      </c>
      <c r="W176" s="117" t="s">
        <v>344</v>
      </c>
      <c r="X176" s="117" t="s">
        <v>344</v>
      </c>
    </row>
    <row r="177" spans="1:24" x14ac:dyDescent="0.2">
      <c r="A177" s="30" t="s">
        <v>207</v>
      </c>
      <c r="B177" s="16" t="s">
        <v>47</v>
      </c>
      <c r="C177" s="17" t="s">
        <v>17</v>
      </c>
      <c r="D177" s="29">
        <v>2.2000000000000002E-2</v>
      </c>
      <c r="E177" s="29">
        <v>2.3E-2</v>
      </c>
      <c r="F177" s="29">
        <v>2.4E-2</v>
      </c>
      <c r="G177" s="29">
        <v>2.3E-2</v>
      </c>
      <c r="H177" s="29">
        <v>2.4E-2</v>
      </c>
      <c r="I177" s="29">
        <v>2.5000000000000001E-2</v>
      </c>
      <c r="J177" s="29">
        <v>2.7000000000000003E-2</v>
      </c>
      <c r="K177" s="29">
        <v>2.7000000000000003E-2</v>
      </c>
      <c r="L177" s="29">
        <v>2.7000000000000003E-2</v>
      </c>
      <c r="M177" s="29">
        <v>2.6000000000000002E-2</v>
      </c>
      <c r="N177" s="29">
        <v>2.6000000000000002E-2</v>
      </c>
      <c r="O177" s="29">
        <v>2.7999999999999997E-2</v>
      </c>
      <c r="P177" s="29">
        <v>3.1E-2</v>
      </c>
      <c r="Q177" s="29">
        <v>3.2000000000000001E-2</v>
      </c>
      <c r="R177" s="29">
        <v>3.2000000000000001E-2</v>
      </c>
      <c r="S177" s="29">
        <v>3.2000000000000001E-2</v>
      </c>
      <c r="T177" s="29">
        <v>3.9E-2</v>
      </c>
      <c r="U177" s="65">
        <v>4.5999999999999999E-2</v>
      </c>
      <c r="V177" s="65">
        <v>3.6000000000000004E-2</v>
      </c>
      <c r="W177" s="117" t="s">
        <v>344</v>
      </c>
      <c r="X177" s="117" t="s">
        <v>344</v>
      </c>
    </row>
    <row r="178" spans="1:24" x14ac:dyDescent="0.2">
      <c r="A178" s="30" t="s">
        <v>207</v>
      </c>
      <c r="B178" s="16" t="s">
        <v>47</v>
      </c>
      <c r="C178" s="17" t="s">
        <v>18</v>
      </c>
      <c r="D178" s="29">
        <v>4.2000000000000003E-2</v>
      </c>
      <c r="E178" s="29">
        <v>3.9E-2</v>
      </c>
      <c r="F178" s="29">
        <v>0.04</v>
      </c>
      <c r="G178" s="29">
        <v>4.0999999999999995E-2</v>
      </c>
      <c r="H178" s="29">
        <v>3.7999999999999999E-2</v>
      </c>
      <c r="I178" s="29">
        <v>3.7999999999999999E-2</v>
      </c>
      <c r="J178" s="29">
        <v>3.6000000000000004E-2</v>
      </c>
      <c r="K178" s="29">
        <v>4.7E-2</v>
      </c>
      <c r="L178" s="29">
        <v>6.0999999999999999E-2</v>
      </c>
      <c r="M178" s="29">
        <v>5.7999999999999996E-2</v>
      </c>
      <c r="N178" s="29">
        <v>5.7999999999999996E-2</v>
      </c>
      <c r="O178" s="29">
        <v>5.5E-2</v>
      </c>
      <c r="P178" s="29">
        <v>0.05</v>
      </c>
      <c r="Q178" s="29">
        <v>6.4000000000000001E-2</v>
      </c>
      <c r="R178" s="29">
        <v>0.08</v>
      </c>
      <c r="S178" s="29">
        <v>9.3000000000000013E-2</v>
      </c>
      <c r="T178" s="29">
        <v>0.11599999999999999</v>
      </c>
      <c r="U178" s="65">
        <v>0.14400000000000002</v>
      </c>
      <c r="V178" s="65">
        <v>0.14300000000000002</v>
      </c>
      <c r="W178" s="117" t="s">
        <v>344</v>
      </c>
      <c r="X178" s="117" t="s">
        <v>344</v>
      </c>
    </row>
    <row r="179" spans="1:24" x14ac:dyDescent="0.2">
      <c r="A179" s="30" t="s">
        <v>207</v>
      </c>
      <c r="B179" s="16" t="s">
        <v>47</v>
      </c>
      <c r="C179" s="17" t="s">
        <v>19</v>
      </c>
      <c r="D179" s="29">
        <v>2.4E-2</v>
      </c>
      <c r="E179" s="29">
        <v>2.4E-2</v>
      </c>
      <c r="F179" s="29">
        <v>2.4E-2</v>
      </c>
      <c r="G179" s="29">
        <v>2.4E-2</v>
      </c>
      <c r="H179" s="29">
        <v>2.5000000000000001E-2</v>
      </c>
      <c r="I179" s="29">
        <v>2.4E-2</v>
      </c>
      <c r="J179" s="29">
        <v>2.6000000000000002E-2</v>
      </c>
      <c r="K179" s="29">
        <v>2.7999999999999997E-2</v>
      </c>
      <c r="L179" s="29">
        <v>2.7999999999999997E-2</v>
      </c>
      <c r="M179" s="29">
        <v>2.7999999999999997E-2</v>
      </c>
      <c r="N179" s="29">
        <v>2.7999999999999997E-2</v>
      </c>
      <c r="O179" s="29">
        <v>2.8999999999999998E-2</v>
      </c>
      <c r="P179" s="29">
        <v>3.1E-2</v>
      </c>
      <c r="Q179" s="29">
        <v>3.1E-2</v>
      </c>
      <c r="R179" s="29">
        <v>3.6000000000000004E-2</v>
      </c>
      <c r="S179" s="29">
        <v>3.5000000000000003E-2</v>
      </c>
      <c r="T179" s="29">
        <v>4.0999999999999995E-2</v>
      </c>
      <c r="U179" s="65">
        <v>4.4999999999999998E-2</v>
      </c>
      <c r="V179" s="65">
        <v>4.8000000000000001E-2</v>
      </c>
      <c r="W179" s="117" t="s">
        <v>344</v>
      </c>
      <c r="X179" s="117" t="s">
        <v>344</v>
      </c>
    </row>
    <row r="180" spans="1:24" x14ac:dyDescent="0.2">
      <c r="A180" s="30" t="s">
        <v>207</v>
      </c>
      <c r="B180" s="16" t="s">
        <v>47</v>
      </c>
      <c r="C180" s="17" t="s">
        <v>20</v>
      </c>
      <c r="D180" s="29">
        <v>2.4E-2</v>
      </c>
      <c r="E180" s="29">
        <v>2.5000000000000001E-2</v>
      </c>
      <c r="F180" s="29">
        <v>2.4E-2</v>
      </c>
      <c r="G180" s="29">
        <v>2.3E-2</v>
      </c>
      <c r="H180" s="29">
        <v>2.5000000000000001E-2</v>
      </c>
      <c r="I180" s="29">
        <v>2.4E-2</v>
      </c>
      <c r="J180" s="29">
        <v>2.5000000000000001E-2</v>
      </c>
      <c r="K180" s="29">
        <v>2.6000000000000002E-2</v>
      </c>
      <c r="L180" s="29">
        <v>2.5000000000000001E-2</v>
      </c>
      <c r="M180" s="29">
        <v>2.6000000000000002E-2</v>
      </c>
      <c r="N180" s="29">
        <v>2.6000000000000002E-2</v>
      </c>
      <c r="O180" s="29">
        <v>2.5000000000000001E-2</v>
      </c>
      <c r="P180" s="29">
        <v>2.7000000000000003E-2</v>
      </c>
      <c r="Q180" s="29">
        <v>2.7999999999999997E-2</v>
      </c>
      <c r="R180" s="29">
        <v>3.1E-2</v>
      </c>
      <c r="S180" s="29">
        <v>3.2000000000000001E-2</v>
      </c>
      <c r="T180" s="29">
        <v>3.5000000000000003E-2</v>
      </c>
      <c r="U180" s="65">
        <v>3.6000000000000004E-2</v>
      </c>
      <c r="V180" s="65">
        <v>3.5000000000000003E-2</v>
      </c>
      <c r="W180" s="117" t="s">
        <v>344</v>
      </c>
      <c r="X180" s="117" t="s">
        <v>344</v>
      </c>
    </row>
    <row r="181" spans="1:24" x14ac:dyDescent="0.2">
      <c r="A181" s="30" t="s">
        <v>207</v>
      </c>
      <c r="B181" s="16" t="s">
        <v>47</v>
      </c>
      <c r="C181" s="17" t="s">
        <v>21</v>
      </c>
      <c r="D181" s="29">
        <v>2.6000000000000002E-2</v>
      </c>
      <c r="E181" s="29">
        <v>2.7000000000000003E-2</v>
      </c>
      <c r="F181" s="29">
        <v>2.7000000000000003E-2</v>
      </c>
      <c r="G181" s="29">
        <v>2.7999999999999997E-2</v>
      </c>
      <c r="H181" s="29">
        <v>3.1E-2</v>
      </c>
      <c r="I181" s="29">
        <v>0.03</v>
      </c>
      <c r="J181" s="29">
        <v>0.03</v>
      </c>
      <c r="K181" s="29">
        <v>3.3000000000000002E-2</v>
      </c>
      <c r="L181" s="29">
        <v>3.3000000000000002E-2</v>
      </c>
      <c r="M181" s="29">
        <v>3.1E-2</v>
      </c>
      <c r="N181" s="29">
        <v>3.1E-2</v>
      </c>
      <c r="O181" s="29">
        <v>3.1E-2</v>
      </c>
      <c r="P181" s="29">
        <v>3.1E-2</v>
      </c>
      <c r="Q181" s="29">
        <v>3.2000000000000001E-2</v>
      </c>
      <c r="R181" s="29">
        <v>3.2000000000000001E-2</v>
      </c>
      <c r="S181" s="29">
        <v>3.2000000000000001E-2</v>
      </c>
      <c r="T181" s="29">
        <v>3.9E-2</v>
      </c>
      <c r="U181" s="65">
        <v>4.4000000000000004E-2</v>
      </c>
      <c r="V181" s="65">
        <v>3.7999999999999999E-2</v>
      </c>
      <c r="W181" s="117" t="s">
        <v>344</v>
      </c>
      <c r="X181" s="117" t="s">
        <v>344</v>
      </c>
    </row>
    <row r="182" spans="1:24" x14ac:dyDescent="0.2">
      <c r="A182" s="30" t="s">
        <v>207</v>
      </c>
      <c r="B182" s="16" t="s">
        <v>47</v>
      </c>
      <c r="C182" s="17" t="s">
        <v>27</v>
      </c>
      <c r="D182" s="29">
        <v>2.3E-2</v>
      </c>
      <c r="E182" s="29">
        <v>2.3E-2</v>
      </c>
      <c r="F182" s="29">
        <v>2.3E-2</v>
      </c>
      <c r="G182" s="29">
        <v>2.4E-2</v>
      </c>
      <c r="H182" s="29">
        <v>2.6000000000000002E-2</v>
      </c>
      <c r="I182" s="29">
        <v>2.7000000000000003E-2</v>
      </c>
      <c r="J182" s="29">
        <v>2.7000000000000003E-2</v>
      </c>
      <c r="K182" s="29">
        <v>2.7000000000000003E-2</v>
      </c>
      <c r="L182" s="29">
        <v>2.7000000000000003E-2</v>
      </c>
      <c r="M182" s="29">
        <v>2.7999999999999997E-2</v>
      </c>
      <c r="N182" s="29">
        <v>3.1E-2</v>
      </c>
      <c r="O182" s="29">
        <v>3.1E-2</v>
      </c>
      <c r="P182" s="29">
        <v>3.3000000000000002E-2</v>
      </c>
      <c r="Q182" s="29">
        <v>3.1E-2</v>
      </c>
      <c r="R182" s="29">
        <v>0.03</v>
      </c>
      <c r="S182" s="29">
        <v>2.7999999999999997E-2</v>
      </c>
      <c r="T182" s="29">
        <v>3.6000000000000004E-2</v>
      </c>
      <c r="U182" s="65">
        <v>4.2000000000000003E-2</v>
      </c>
      <c r="V182" s="65">
        <v>0.04</v>
      </c>
      <c r="W182" s="117" t="s">
        <v>344</v>
      </c>
      <c r="X182" s="117" t="s">
        <v>344</v>
      </c>
    </row>
    <row r="183" spans="1:24" x14ac:dyDescent="0.2">
      <c r="A183" s="30" t="s">
        <v>207</v>
      </c>
      <c r="B183" s="16" t="s">
        <v>47</v>
      </c>
      <c r="C183" s="17" t="s">
        <v>28</v>
      </c>
      <c r="D183" s="29">
        <v>2.3E-2</v>
      </c>
      <c r="E183" s="29">
        <v>2.5000000000000001E-2</v>
      </c>
      <c r="F183" s="29">
        <v>2.4E-2</v>
      </c>
      <c r="G183" s="29">
        <v>2.5000000000000001E-2</v>
      </c>
      <c r="H183" s="29">
        <v>2.4E-2</v>
      </c>
      <c r="I183" s="29">
        <v>2.6000000000000002E-2</v>
      </c>
      <c r="J183" s="29">
        <v>2.7000000000000003E-2</v>
      </c>
      <c r="K183" s="29">
        <v>2.7999999999999997E-2</v>
      </c>
      <c r="L183" s="29">
        <v>2.7000000000000003E-2</v>
      </c>
      <c r="M183" s="29">
        <v>2.6000000000000002E-2</v>
      </c>
      <c r="N183" s="29">
        <v>2.4E-2</v>
      </c>
      <c r="O183" s="29">
        <v>2.7000000000000003E-2</v>
      </c>
      <c r="P183" s="29">
        <v>2.8999999999999998E-2</v>
      </c>
      <c r="Q183" s="29">
        <v>2.8999999999999998E-2</v>
      </c>
      <c r="R183" s="29">
        <v>2.8999999999999998E-2</v>
      </c>
      <c r="S183" s="29">
        <v>0.03</v>
      </c>
      <c r="T183" s="29">
        <v>3.9E-2</v>
      </c>
      <c r="U183" s="65">
        <v>4.4000000000000004E-2</v>
      </c>
      <c r="V183" s="65">
        <v>0.04</v>
      </c>
      <c r="W183" s="117" t="s">
        <v>344</v>
      </c>
      <c r="X183" s="117" t="s">
        <v>344</v>
      </c>
    </row>
    <row r="184" spans="1:24" ht="31.5" customHeight="1" x14ac:dyDescent="0.2">
      <c r="A184" s="30" t="s">
        <v>207</v>
      </c>
      <c r="B184" s="17" t="s">
        <v>182</v>
      </c>
      <c r="C184" s="17" t="s">
        <v>54</v>
      </c>
      <c r="D184" s="29" t="s">
        <v>190</v>
      </c>
      <c r="E184" s="29" t="s">
        <v>190</v>
      </c>
      <c r="F184" s="29" t="s">
        <v>190</v>
      </c>
      <c r="G184" s="29" t="s">
        <v>190</v>
      </c>
      <c r="H184" s="29" t="s">
        <v>190</v>
      </c>
      <c r="I184" s="29" t="s">
        <v>190</v>
      </c>
      <c r="J184" s="29" t="s">
        <v>190</v>
      </c>
      <c r="K184" s="29" t="s">
        <v>190</v>
      </c>
      <c r="L184" s="29">
        <v>0.02</v>
      </c>
      <c r="M184" s="29">
        <v>0.02</v>
      </c>
      <c r="N184" s="29">
        <v>2.1000000000000001E-2</v>
      </c>
      <c r="O184" s="29">
        <v>2.2000000000000002E-2</v>
      </c>
      <c r="P184" s="29">
        <v>2.4E-2</v>
      </c>
      <c r="Q184" s="29">
        <v>2.3E-2</v>
      </c>
      <c r="R184" s="29">
        <v>2.4E-2</v>
      </c>
      <c r="S184" s="29">
        <v>2.3E-2</v>
      </c>
      <c r="T184" s="29">
        <v>2.8999999999999998E-2</v>
      </c>
      <c r="U184" s="65">
        <v>2.8999999999999998E-2</v>
      </c>
      <c r="V184" s="65">
        <v>3.1E-2</v>
      </c>
      <c r="W184" s="117" t="s">
        <v>344</v>
      </c>
      <c r="X184" s="117" t="s">
        <v>344</v>
      </c>
    </row>
    <row r="185" spans="1:24" x14ac:dyDescent="0.2">
      <c r="A185" s="30" t="s">
        <v>207</v>
      </c>
      <c r="B185" s="16" t="s">
        <v>182</v>
      </c>
      <c r="C185" s="16" t="s">
        <v>55</v>
      </c>
      <c r="D185" s="29" t="s">
        <v>190</v>
      </c>
      <c r="E185" s="29" t="s">
        <v>190</v>
      </c>
      <c r="F185" s="29" t="s">
        <v>190</v>
      </c>
      <c r="G185" s="29" t="s">
        <v>190</v>
      </c>
      <c r="H185" s="29" t="s">
        <v>190</v>
      </c>
      <c r="I185" s="29" t="s">
        <v>190</v>
      </c>
      <c r="J185" s="29" t="s">
        <v>190</v>
      </c>
      <c r="K185" s="29" t="s">
        <v>190</v>
      </c>
      <c r="L185" s="29">
        <v>9.4E-2</v>
      </c>
      <c r="M185" s="29">
        <v>0.12</v>
      </c>
      <c r="N185" s="29">
        <v>0.10400000000000001</v>
      </c>
      <c r="O185" s="29">
        <v>9.0999999999999998E-2</v>
      </c>
      <c r="P185" s="29">
        <v>0.10400000000000001</v>
      </c>
      <c r="Q185" s="29">
        <v>9.4E-2</v>
      </c>
      <c r="R185" s="29" t="s">
        <v>256</v>
      </c>
      <c r="S185" s="29" t="s">
        <v>256</v>
      </c>
      <c r="T185" s="29" t="s">
        <v>256</v>
      </c>
      <c r="U185" s="29" t="s">
        <v>256</v>
      </c>
      <c r="V185" s="29" t="s">
        <v>256</v>
      </c>
      <c r="W185" s="117" t="s">
        <v>344</v>
      </c>
      <c r="X185" s="117" t="s">
        <v>344</v>
      </c>
    </row>
    <row r="186" spans="1:24" x14ac:dyDescent="0.2">
      <c r="A186" s="30" t="s">
        <v>207</v>
      </c>
      <c r="B186" s="16" t="s">
        <v>182</v>
      </c>
      <c r="C186" s="16" t="s">
        <v>56</v>
      </c>
      <c r="D186" s="29" t="s">
        <v>190</v>
      </c>
      <c r="E186" s="29" t="s">
        <v>190</v>
      </c>
      <c r="F186" s="29" t="s">
        <v>190</v>
      </c>
      <c r="G186" s="29" t="s">
        <v>190</v>
      </c>
      <c r="H186" s="29" t="s">
        <v>190</v>
      </c>
      <c r="I186" s="29" t="s">
        <v>190</v>
      </c>
      <c r="J186" s="29" t="s">
        <v>190</v>
      </c>
      <c r="K186" s="29" t="s">
        <v>190</v>
      </c>
      <c r="L186" s="29">
        <v>4.4999999999999998E-2</v>
      </c>
      <c r="M186" s="29">
        <v>4.8000000000000001E-2</v>
      </c>
      <c r="N186" s="29">
        <v>5.5999999999999994E-2</v>
      </c>
      <c r="O186" s="29">
        <v>0.05</v>
      </c>
      <c r="P186" s="29">
        <v>5.0999999999999997E-2</v>
      </c>
      <c r="Q186" s="29">
        <v>4.9000000000000002E-2</v>
      </c>
      <c r="R186" s="29">
        <v>4.7E-2</v>
      </c>
      <c r="S186" s="29">
        <v>4.9000000000000002E-2</v>
      </c>
      <c r="T186" s="29">
        <v>6.2E-2</v>
      </c>
      <c r="U186" s="65">
        <v>6.8000000000000005E-2</v>
      </c>
      <c r="V186" s="65">
        <v>7.400000000000001E-2</v>
      </c>
      <c r="W186" s="117" t="s">
        <v>344</v>
      </c>
      <c r="X186" s="117" t="s">
        <v>344</v>
      </c>
    </row>
    <row r="187" spans="1:24" x14ac:dyDescent="0.2">
      <c r="A187" s="30" t="s">
        <v>207</v>
      </c>
      <c r="B187" s="16" t="s">
        <v>182</v>
      </c>
      <c r="C187" s="16" t="s">
        <v>57</v>
      </c>
      <c r="D187" s="29" t="s">
        <v>190</v>
      </c>
      <c r="E187" s="29" t="s">
        <v>190</v>
      </c>
      <c r="F187" s="29" t="s">
        <v>190</v>
      </c>
      <c r="G187" s="29" t="s">
        <v>190</v>
      </c>
      <c r="H187" s="29" t="s">
        <v>190</v>
      </c>
      <c r="I187" s="29" t="s">
        <v>190</v>
      </c>
      <c r="J187" s="29" t="s">
        <v>190</v>
      </c>
      <c r="K187" s="29" t="s">
        <v>190</v>
      </c>
      <c r="L187" s="29" t="s">
        <v>256</v>
      </c>
      <c r="M187" s="29" t="s">
        <v>256</v>
      </c>
      <c r="N187" s="29" t="s">
        <v>256</v>
      </c>
      <c r="O187" s="29" t="s">
        <v>256</v>
      </c>
      <c r="P187" s="29" t="s">
        <v>256</v>
      </c>
      <c r="Q187" s="29" t="s">
        <v>256</v>
      </c>
      <c r="R187" s="29">
        <v>0.151</v>
      </c>
      <c r="S187" s="29" t="s">
        <v>256</v>
      </c>
      <c r="T187" s="29" t="s">
        <v>256</v>
      </c>
      <c r="U187" s="29" t="s">
        <v>256</v>
      </c>
      <c r="V187" s="29" t="s">
        <v>256</v>
      </c>
      <c r="W187" s="117" t="s">
        <v>344</v>
      </c>
      <c r="X187" s="117" t="s">
        <v>344</v>
      </c>
    </row>
    <row r="188" spans="1:24" x14ac:dyDescent="0.2">
      <c r="A188" s="30" t="s">
        <v>207</v>
      </c>
      <c r="B188" s="16" t="s">
        <v>182</v>
      </c>
      <c r="C188" s="16" t="s">
        <v>58</v>
      </c>
      <c r="D188" s="29" t="s">
        <v>190</v>
      </c>
      <c r="E188" s="29" t="s">
        <v>190</v>
      </c>
      <c r="F188" s="29" t="s">
        <v>190</v>
      </c>
      <c r="G188" s="29" t="s">
        <v>190</v>
      </c>
      <c r="H188" s="29" t="s">
        <v>190</v>
      </c>
      <c r="I188" s="29" t="s">
        <v>190</v>
      </c>
      <c r="J188" s="29" t="s">
        <v>190</v>
      </c>
      <c r="K188" s="29" t="s">
        <v>190</v>
      </c>
      <c r="L188" s="29">
        <v>2.5000000000000001E-2</v>
      </c>
      <c r="M188" s="29">
        <v>2.5000000000000001E-2</v>
      </c>
      <c r="N188" s="29">
        <v>2.5000000000000001E-2</v>
      </c>
      <c r="O188" s="29">
        <v>2.7000000000000003E-2</v>
      </c>
      <c r="P188" s="29">
        <v>2.8999999999999998E-2</v>
      </c>
      <c r="Q188" s="29">
        <v>2.7999999999999997E-2</v>
      </c>
      <c r="R188" s="29">
        <v>3.2000000000000001E-2</v>
      </c>
      <c r="S188" s="29">
        <v>3.2000000000000001E-2</v>
      </c>
      <c r="T188" s="29">
        <v>3.7999999999999999E-2</v>
      </c>
      <c r="U188" s="65">
        <v>0.04</v>
      </c>
      <c r="V188" s="65">
        <v>4.2999999999999997E-2</v>
      </c>
      <c r="W188" s="117" t="s">
        <v>344</v>
      </c>
      <c r="X188" s="117" t="s">
        <v>344</v>
      </c>
    </row>
    <row r="189" spans="1:24" x14ac:dyDescent="0.2">
      <c r="A189" s="30" t="s">
        <v>207</v>
      </c>
      <c r="B189" s="16" t="s">
        <v>182</v>
      </c>
      <c r="C189" s="16" t="s">
        <v>96</v>
      </c>
      <c r="D189" s="29" t="s">
        <v>190</v>
      </c>
      <c r="E189" s="29" t="s">
        <v>190</v>
      </c>
      <c r="F189" s="29" t="s">
        <v>190</v>
      </c>
      <c r="G189" s="29" t="s">
        <v>190</v>
      </c>
      <c r="H189" s="29" t="s">
        <v>190</v>
      </c>
      <c r="I189" s="29" t="s">
        <v>190</v>
      </c>
      <c r="J189" s="29" t="s">
        <v>190</v>
      </c>
      <c r="K189" s="29" t="s">
        <v>190</v>
      </c>
      <c r="L189" s="29">
        <v>7.8E-2</v>
      </c>
      <c r="M189" s="29">
        <v>5.9000000000000004E-2</v>
      </c>
      <c r="N189" s="29">
        <v>0.06</v>
      </c>
      <c r="O189" s="29">
        <v>7.400000000000001E-2</v>
      </c>
      <c r="P189" s="29">
        <v>7.6999999999999999E-2</v>
      </c>
      <c r="Q189" s="29">
        <v>8.199999999999999E-2</v>
      </c>
      <c r="R189" s="29">
        <v>7.8E-2</v>
      </c>
      <c r="S189" s="29">
        <v>9.4E-2</v>
      </c>
      <c r="T189" s="29">
        <v>0.11900000000000001</v>
      </c>
      <c r="U189" s="65">
        <v>0.113</v>
      </c>
      <c r="V189" s="65">
        <v>9.2999999999999999E-2</v>
      </c>
      <c r="W189" s="117" t="s">
        <v>344</v>
      </c>
      <c r="X189" s="117" t="s">
        <v>344</v>
      </c>
    </row>
    <row r="190" spans="1:24" x14ac:dyDescent="0.2">
      <c r="A190" s="30" t="s">
        <v>207</v>
      </c>
      <c r="B190" s="16" t="s">
        <v>182</v>
      </c>
      <c r="C190" s="16" t="s">
        <v>59</v>
      </c>
      <c r="D190" s="29" t="s">
        <v>190</v>
      </c>
      <c r="E190" s="29" t="s">
        <v>190</v>
      </c>
      <c r="F190" s="29" t="s">
        <v>190</v>
      </c>
      <c r="G190" s="29" t="s">
        <v>190</v>
      </c>
      <c r="H190" s="29" t="s">
        <v>190</v>
      </c>
      <c r="I190" s="29" t="s">
        <v>190</v>
      </c>
      <c r="J190" s="29" t="s">
        <v>190</v>
      </c>
      <c r="K190" s="29" t="s">
        <v>190</v>
      </c>
      <c r="L190" s="29" t="s">
        <v>256</v>
      </c>
      <c r="M190" s="29" t="s">
        <v>256</v>
      </c>
      <c r="N190" s="29" t="s">
        <v>208</v>
      </c>
      <c r="O190" s="29" t="s">
        <v>256</v>
      </c>
      <c r="P190" s="29" t="s">
        <v>256</v>
      </c>
      <c r="Q190" s="29" t="s">
        <v>208</v>
      </c>
      <c r="R190" s="29" t="s">
        <v>208</v>
      </c>
      <c r="S190" s="29" t="s">
        <v>256</v>
      </c>
      <c r="T190" s="29" t="s">
        <v>208</v>
      </c>
      <c r="U190" s="29" t="s">
        <v>256</v>
      </c>
      <c r="V190" s="29" t="s">
        <v>208</v>
      </c>
      <c r="W190" s="117" t="s">
        <v>344</v>
      </c>
      <c r="X190" s="117" t="s">
        <v>344</v>
      </c>
    </row>
    <row r="191" spans="1:24" x14ac:dyDescent="0.2">
      <c r="A191" s="30" t="s">
        <v>207</v>
      </c>
      <c r="B191" s="16" t="s">
        <v>182</v>
      </c>
      <c r="C191" s="16" t="s">
        <v>60</v>
      </c>
      <c r="D191" s="29" t="s">
        <v>190</v>
      </c>
      <c r="E191" s="29" t="s">
        <v>190</v>
      </c>
      <c r="F191" s="29" t="s">
        <v>190</v>
      </c>
      <c r="G191" s="29" t="s">
        <v>190</v>
      </c>
      <c r="H191" s="29" t="s">
        <v>190</v>
      </c>
      <c r="I191" s="29" t="s">
        <v>190</v>
      </c>
      <c r="J191" s="29" t="s">
        <v>190</v>
      </c>
      <c r="K191" s="29" t="s">
        <v>190</v>
      </c>
      <c r="L191" s="29">
        <v>9.4E-2</v>
      </c>
      <c r="M191" s="29">
        <v>9.6999999999999989E-2</v>
      </c>
      <c r="N191" s="29">
        <v>8.1000000000000003E-2</v>
      </c>
      <c r="O191" s="29">
        <v>0.106</v>
      </c>
      <c r="P191" s="29">
        <v>0.111</v>
      </c>
      <c r="Q191" s="29" t="s">
        <v>256</v>
      </c>
      <c r="R191" s="29" t="s">
        <v>256</v>
      </c>
      <c r="S191" s="29" t="s">
        <v>256</v>
      </c>
      <c r="T191" s="29" t="s">
        <v>256</v>
      </c>
      <c r="U191" s="29" t="s">
        <v>256</v>
      </c>
      <c r="V191" s="29" t="s">
        <v>256</v>
      </c>
      <c r="W191" s="117" t="s">
        <v>344</v>
      </c>
      <c r="X191" s="117" t="s">
        <v>344</v>
      </c>
    </row>
    <row r="192" spans="1:24" x14ac:dyDescent="0.2">
      <c r="A192" s="30" t="s">
        <v>207</v>
      </c>
      <c r="B192" s="16" t="s">
        <v>182</v>
      </c>
      <c r="C192" s="16" t="s">
        <v>97</v>
      </c>
      <c r="D192" s="29" t="s">
        <v>190</v>
      </c>
      <c r="E192" s="29" t="s">
        <v>190</v>
      </c>
      <c r="F192" s="29" t="s">
        <v>190</v>
      </c>
      <c r="G192" s="29" t="s">
        <v>190</v>
      </c>
      <c r="H192" s="29" t="s">
        <v>190</v>
      </c>
      <c r="I192" s="29" t="s">
        <v>190</v>
      </c>
      <c r="J192" s="29" t="s">
        <v>190</v>
      </c>
      <c r="K192" s="29" t="s">
        <v>190</v>
      </c>
      <c r="L192" s="29">
        <v>0.109</v>
      </c>
      <c r="M192" s="29">
        <v>0.126</v>
      </c>
      <c r="N192" s="29">
        <v>0.11199999999999999</v>
      </c>
      <c r="O192" s="29">
        <v>9.6000000000000002E-2</v>
      </c>
      <c r="P192" s="29" t="s">
        <v>256</v>
      </c>
      <c r="Q192" s="29" t="s">
        <v>256</v>
      </c>
      <c r="R192" s="29">
        <v>0.14699999999999999</v>
      </c>
      <c r="S192" s="29" t="s">
        <v>256</v>
      </c>
      <c r="T192" s="29" t="s">
        <v>256</v>
      </c>
      <c r="U192" s="29" t="s">
        <v>256</v>
      </c>
      <c r="V192" s="29" t="s">
        <v>256</v>
      </c>
      <c r="W192" s="117" t="s">
        <v>344</v>
      </c>
      <c r="X192" s="117" t="s">
        <v>344</v>
      </c>
    </row>
    <row r="193" spans="1:24" x14ac:dyDescent="0.2">
      <c r="A193" s="30" t="s">
        <v>207</v>
      </c>
      <c r="B193" s="16" t="s">
        <v>182</v>
      </c>
      <c r="C193" s="16" t="s">
        <v>61</v>
      </c>
      <c r="D193" s="29" t="s">
        <v>190</v>
      </c>
      <c r="E193" s="29" t="s">
        <v>190</v>
      </c>
      <c r="F193" s="29" t="s">
        <v>190</v>
      </c>
      <c r="G193" s="29" t="s">
        <v>190</v>
      </c>
      <c r="H193" s="29" t="s">
        <v>190</v>
      </c>
      <c r="I193" s="29" t="s">
        <v>190</v>
      </c>
      <c r="J193" s="29" t="s">
        <v>190</v>
      </c>
      <c r="K193" s="29" t="s">
        <v>190</v>
      </c>
      <c r="L193" s="29">
        <v>0.08</v>
      </c>
      <c r="M193" s="29">
        <v>7.400000000000001E-2</v>
      </c>
      <c r="N193" s="29">
        <v>7.9000000000000001E-2</v>
      </c>
      <c r="O193" s="29">
        <v>8.4000000000000005E-2</v>
      </c>
      <c r="P193" s="29">
        <v>8.3000000000000004E-2</v>
      </c>
      <c r="Q193" s="29">
        <v>7.8E-2</v>
      </c>
      <c r="R193" s="29">
        <v>8.4000000000000005E-2</v>
      </c>
      <c r="S193" s="29" t="s">
        <v>256</v>
      </c>
      <c r="T193" s="29">
        <v>0.124</v>
      </c>
      <c r="U193" s="65">
        <v>0.11199999999999999</v>
      </c>
      <c r="V193" s="65">
        <v>0.10400000000000001</v>
      </c>
      <c r="W193" s="117" t="s">
        <v>344</v>
      </c>
      <c r="X193" s="117" t="s">
        <v>344</v>
      </c>
    </row>
    <row r="194" spans="1:24" x14ac:dyDescent="0.2">
      <c r="A194" s="30" t="s">
        <v>207</v>
      </c>
      <c r="B194" s="16" t="s">
        <v>182</v>
      </c>
      <c r="C194" s="16" t="s">
        <v>62</v>
      </c>
      <c r="D194" s="29" t="s">
        <v>190</v>
      </c>
      <c r="E194" s="29" t="s">
        <v>190</v>
      </c>
      <c r="F194" s="29" t="s">
        <v>190</v>
      </c>
      <c r="G194" s="29" t="s">
        <v>190</v>
      </c>
      <c r="H194" s="29" t="s">
        <v>190</v>
      </c>
      <c r="I194" s="29" t="s">
        <v>190</v>
      </c>
      <c r="J194" s="29" t="s">
        <v>190</v>
      </c>
      <c r="K194" s="29" t="s">
        <v>190</v>
      </c>
      <c r="L194" s="29">
        <v>0.03</v>
      </c>
      <c r="M194" s="29">
        <v>2.8999999999999998E-2</v>
      </c>
      <c r="N194" s="29">
        <v>3.2000000000000001E-2</v>
      </c>
      <c r="O194" s="29">
        <v>3.1E-2</v>
      </c>
      <c r="P194" s="29">
        <v>3.3000000000000002E-2</v>
      </c>
      <c r="Q194" s="29">
        <v>3.1E-2</v>
      </c>
      <c r="R194" s="29">
        <v>3.1E-2</v>
      </c>
      <c r="S194" s="29">
        <v>3.2000000000000001E-2</v>
      </c>
      <c r="T194" s="29">
        <v>3.7999999999999999E-2</v>
      </c>
      <c r="U194" s="65">
        <v>4.2000000000000003E-2</v>
      </c>
      <c r="V194" s="65">
        <v>4.4999999999999998E-2</v>
      </c>
      <c r="W194" s="117" t="s">
        <v>344</v>
      </c>
      <c r="X194" s="117" t="s">
        <v>344</v>
      </c>
    </row>
    <row r="195" spans="1:24" x14ac:dyDescent="0.2">
      <c r="A195" s="30" t="s">
        <v>207</v>
      </c>
      <c r="B195" s="16" t="s">
        <v>182</v>
      </c>
      <c r="C195" s="16" t="s">
        <v>63</v>
      </c>
      <c r="D195" s="29" t="s">
        <v>190</v>
      </c>
      <c r="E195" s="29" t="s">
        <v>190</v>
      </c>
      <c r="F195" s="29" t="s">
        <v>190</v>
      </c>
      <c r="G195" s="29" t="s">
        <v>190</v>
      </c>
      <c r="H195" s="29" t="s">
        <v>190</v>
      </c>
      <c r="I195" s="29" t="s">
        <v>190</v>
      </c>
      <c r="J195" s="29" t="s">
        <v>190</v>
      </c>
      <c r="K195" s="29" t="s">
        <v>190</v>
      </c>
      <c r="L195" s="29">
        <v>3.6000000000000004E-2</v>
      </c>
      <c r="M195" s="29">
        <v>3.3000000000000002E-2</v>
      </c>
      <c r="N195" s="29">
        <v>3.3000000000000002E-2</v>
      </c>
      <c r="O195" s="29">
        <v>0.03</v>
      </c>
      <c r="P195" s="29">
        <v>3.5000000000000003E-2</v>
      </c>
      <c r="Q195" s="29">
        <v>3.7999999999999999E-2</v>
      </c>
      <c r="R195" s="29">
        <v>4.2000000000000003E-2</v>
      </c>
      <c r="S195" s="29">
        <v>4.2000000000000003E-2</v>
      </c>
      <c r="T195" s="29">
        <v>5.5E-2</v>
      </c>
      <c r="U195" s="65">
        <v>5.2000000000000005E-2</v>
      </c>
      <c r="V195" s="65">
        <v>6.0999999999999999E-2</v>
      </c>
      <c r="W195" s="117" t="s">
        <v>344</v>
      </c>
      <c r="X195" s="117" t="s">
        <v>344</v>
      </c>
    </row>
    <row r="196" spans="1:24" x14ac:dyDescent="0.2">
      <c r="A196" s="30" t="s">
        <v>207</v>
      </c>
      <c r="B196" s="16" t="s">
        <v>182</v>
      </c>
      <c r="C196" s="16" t="s">
        <v>64</v>
      </c>
      <c r="D196" s="29" t="s">
        <v>190</v>
      </c>
      <c r="E196" s="29" t="s">
        <v>190</v>
      </c>
      <c r="F196" s="29" t="s">
        <v>190</v>
      </c>
      <c r="G196" s="29" t="s">
        <v>190</v>
      </c>
      <c r="H196" s="29" t="s">
        <v>190</v>
      </c>
      <c r="I196" s="29" t="s">
        <v>190</v>
      </c>
      <c r="J196" s="29" t="s">
        <v>190</v>
      </c>
      <c r="K196" s="29" t="s">
        <v>190</v>
      </c>
      <c r="L196" s="29">
        <v>2.1000000000000001E-2</v>
      </c>
      <c r="M196" s="29">
        <v>2.2000000000000002E-2</v>
      </c>
      <c r="N196" s="29">
        <v>2.3E-2</v>
      </c>
      <c r="O196" s="29">
        <v>2.3E-2</v>
      </c>
      <c r="P196" s="29">
        <v>2.3E-2</v>
      </c>
      <c r="Q196" s="29">
        <v>2.3E-2</v>
      </c>
      <c r="R196" s="29">
        <v>2.2000000000000002E-2</v>
      </c>
      <c r="S196" s="29">
        <v>2.3E-2</v>
      </c>
      <c r="T196" s="29">
        <v>2.6000000000000002E-2</v>
      </c>
      <c r="U196" s="65">
        <v>3.1E-2</v>
      </c>
      <c r="V196" s="65">
        <v>0.03</v>
      </c>
      <c r="W196" s="117" t="s">
        <v>344</v>
      </c>
      <c r="X196" s="117" t="s">
        <v>344</v>
      </c>
    </row>
    <row r="197" spans="1:24" x14ac:dyDescent="0.2">
      <c r="A197" s="30" t="s">
        <v>207</v>
      </c>
      <c r="B197" s="16" t="s">
        <v>182</v>
      </c>
      <c r="C197" s="16" t="s">
        <v>65</v>
      </c>
      <c r="D197" s="29" t="s">
        <v>190</v>
      </c>
      <c r="E197" s="29" t="s">
        <v>190</v>
      </c>
      <c r="F197" s="29" t="s">
        <v>190</v>
      </c>
      <c r="G197" s="29" t="s">
        <v>190</v>
      </c>
      <c r="H197" s="29" t="s">
        <v>190</v>
      </c>
      <c r="I197" s="29" t="s">
        <v>190</v>
      </c>
      <c r="J197" s="29" t="s">
        <v>190</v>
      </c>
      <c r="K197" s="29" t="s">
        <v>190</v>
      </c>
      <c r="L197" s="29">
        <v>2.8999999999999998E-2</v>
      </c>
      <c r="M197" s="29">
        <v>0.03</v>
      </c>
      <c r="N197" s="29">
        <v>0.03</v>
      </c>
      <c r="O197" s="29">
        <v>3.2000000000000001E-2</v>
      </c>
      <c r="P197" s="29">
        <v>3.5000000000000003E-2</v>
      </c>
      <c r="Q197" s="29">
        <v>3.7000000000000005E-2</v>
      </c>
      <c r="R197" s="29">
        <v>3.4000000000000002E-2</v>
      </c>
      <c r="S197" s="29">
        <v>3.3000000000000002E-2</v>
      </c>
      <c r="T197" s="29">
        <v>0.04</v>
      </c>
      <c r="U197" s="65">
        <v>4.0999999999999995E-2</v>
      </c>
      <c r="V197" s="65">
        <v>4.0999999999999995E-2</v>
      </c>
      <c r="W197" s="117" t="s">
        <v>344</v>
      </c>
      <c r="X197" s="117" t="s">
        <v>344</v>
      </c>
    </row>
    <row r="198" spans="1:24" x14ac:dyDescent="0.2">
      <c r="A198" s="30" t="s">
        <v>207</v>
      </c>
      <c r="B198" s="16" t="s">
        <v>182</v>
      </c>
      <c r="C198" s="16" t="s">
        <v>66</v>
      </c>
      <c r="D198" s="29" t="s">
        <v>190</v>
      </c>
      <c r="E198" s="29" t="s">
        <v>190</v>
      </c>
      <c r="F198" s="29" t="s">
        <v>190</v>
      </c>
      <c r="G198" s="29" t="s">
        <v>190</v>
      </c>
      <c r="H198" s="29" t="s">
        <v>190</v>
      </c>
      <c r="I198" s="29" t="s">
        <v>190</v>
      </c>
      <c r="J198" s="29" t="s">
        <v>190</v>
      </c>
      <c r="K198" s="29" t="s">
        <v>190</v>
      </c>
      <c r="L198" s="29">
        <v>6.3E-2</v>
      </c>
      <c r="M198" s="29">
        <v>6.6000000000000003E-2</v>
      </c>
      <c r="N198" s="29">
        <v>0.06</v>
      </c>
      <c r="O198" s="29">
        <v>6.4000000000000001E-2</v>
      </c>
      <c r="P198" s="29">
        <v>7.2000000000000008E-2</v>
      </c>
      <c r="Q198" s="29">
        <v>6.2E-2</v>
      </c>
      <c r="R198" s="29">
        <v>7.0000000000000007E-2</v>
      </c>
      <c r="S198" s="29">
        <v>6.9000000000000006E-2</v>
      </c>
      <c r="T198" s="29">
        <v>8.4000000000000005E-2</v>
      </c>
      <c r="U198" s="65">
        <v>9.6000000000000002E-2</v>
      </c>
      <c r="V198" s="65">
        <v>0.107</v>
      </c>
      <c r="W198" s="117" t="s">
        <v>344</v>
      </c>
      <c r="X198" s="117" t="s">
        <v>344</v>
      </c>
    </row>
    <row r="199" spans="1:24" x14ac:dyDescent="0.2">
      <c r="A199" s="30" t="s">
        <v>207</v>
      </c>
      <c r="B199" s="16" t="s">
        <v>182</v>
      </c>
      <c r="C199" s="16" t="s">
        <v>67</v>
      </c>
      <c r="D199" s="29" t="s">
        <v>190</v>
      </c>
      <c r="E199" s="29" t="s">
        <v>190</v>
      </c>
      <c r="F199" s="29" t="s">
        <v>190</v>
      </c>
      <c r="G199" s="29" t="s">
        <v>190</v>
      </c>
      <c r="H199" s="29" t="s">
        <v>190</v>
      </c>
      <c r="I199" s="29" t="s">
        <v>190</v>
      </c>
      <c r="J199" s="29" t="s">
        <v>190</v>
      </c>
      <c r="K199" s="29" t="s">
        <v>190</v>
      </c>
      <c r="L199" s="29">
        <v>1.7000000000000001E-2</v>
      </c>
      <c r="M199" s="29">
        <v>1.7000000000000001E-2</v>
      </c>
      <c r="N199" s="29">
        <v>1.7000000000000001E-2</v>
      </c>
      <c r="O199" s="29">
        <v>1.8000000000000002E-2</v>
      </c>
      <c r="P199" s="29">
        <v>0.02</v>
      </c>
      <c r="Q199" s="29">
        <v>1.9E-2</v>
      </c>
      <c r="R199" s="29">
        <v>1.7000000000000001E-2</v>
      </c>
      <c r="S199" s="29">
        <v>1.8000000000000002E-2</v>
      </c>
      <c r="T199" s="29">
        <v>2.2000000000000002E-2</v>
      </c>
      <c r="U199" s="65">
        <v>2.2000000000000002E-2</v>
      </c>
      <c r="V199" s="65">
        <v>2.4E-2</v>
      </c>
      <c r="W199" s="117" t="s">
        <v>344</v>
      </c>
      <c r="X199" s="117" t="s">
        <v>344</v>
      </c>
    </row>
    <row r="200" spans="1:24" x14ac:dyDescent="0.2">
      <c r="A200" s="30" t="s">
        <v>207</v>
      </c>
      <c r="B200" s="16" t="s">
        <v>182</v>
      </c>
      <c r="C200" s="16" t="s">
        <v>68</v>
      </c>
      <c r="D200" s="29" t="s">
        <v>190</v>
      </c>
      <c r="E200" s="29" t="s">
        <v>190</v>
      </c>
      <c r="F200" s="29" t="s">
        <v>190</v>
      </c>
      <c r="G200" s="29" t="s">
        <v>190</v>
      </c>
      <c r="H200" s="29" t="s">
        <v>190</v>
      </c>
      <c r="I200" s="29" t="s">
        <v>190</v>
      </c>
      <c r="J200" s="29" t="s">
        <v>190</v>
      </c>
      <c r="K200" s="29" t="s">
        <v>190</v>
      </c>
      <c r="L200" s="29">
        <v>2.5000000000000001E-2</v>
      </c>
      <c r="M200" s="29">
        <v>2.4E-2</v>
      </c>
      <c r="N200" s="29">
        <v>2.5000000000000001E-2</v>
      </c>
      <c r="O200" s="29">
        <v>2.7999999999999997E-2</v>
      </c>
      <c r="P200" s="29">
        <v>0.03</v>
      </c>
      <c r="Q200" s="29">
        <v>2.8999999999999998E-2</v>
      </c>
      <c r="R200" s="29">
        <v>3.2000000000000001E-2</v>
      </c>
      <c r="S200" s="29">
        <v>3.2000000000000001E-2</v>
      </c>
      <c r="T200" s="29">
        <v>3.7999999999999999E-2</v>
      </c>
      <c r="U200" s="65">
        <v>4.4999999999999998E-2</v>
      </c>
      <c r="V200" s="65">
        <v>4.0999999999999995E-2</v>
      </c>
      <c r="W200" s="117" t="s">
        <v>344</v>
      </c>
      <c r="X200" s="117" t="s">
        <v>344</v>
      </c>
    </row>
    <row r="201" spans="1:24" x14ac:dyDescent="0.2">
      <c r="A201" s="30" t="s">
        <v>207</v>
      </c>
      <c r="B201" s="16" t="s">
        <v>182</v>
      </c>
      <c r="C201" s="16" t="s">
        <v>69</v>
      </c>
      <c r="D201" s="29" t="s">
        <v>190</v>
      </c>
      <c r="E201" s="29" t="s">
        <v>190</v>
      </c>
      <c r="F201" s="29" t="s">
        <v>190</v>
      </c>
      <c r="G201" s="29" t="s">
        <v>190</v>
      </c>
      <c r="H201" s="29" t="s">
        <v>190</v>
      </c>
      <c r="I201" s="29" t="s">
        <v>190</v>
      </c>
      <c r="J201" s="29" t="s">
        <v>190</v>
      </c>
      <c r="K201" s="29" t="s">
        <v>190</v>
      </c>
      <c r="L201" s="29">
        <v>1.9E-2</v>
      </c>
      <c r="M201" s="29">
        <v>1.9E-2</v>
      </c>
      <c r="N201" s="29">
        <v>1.9E-2</v>
      </c>
      <c r="O201" s="29">
        <v>1.8000000000000002E-2</v>
      </c>
      <c r="P201" s="29">
        <v>1.9E-2</v>
      </c>
      <c r="Q201" s="29">
        <v>0.02</v>
      </c>
      <c r="R201" s="29">
        <v>0.02</v>
      </c>
      <c r="S201" s="29">
        <v>0.02</v>
      </c>
      <c r="T201" s="29">
        <v>2.5000000000000001E-2</v>
      </c>
      <c r="U201" s="65">
        <v>2.8999999999999998E-2</v>
      </c>
      <c r="V201" s="65">
        <v>2.5000000000000001E-2</v>
      </c>
      <c r="W201" s="117" t="s">
        <v>344</v>
      </c>
      <c r="X201" s="117" t="s">
        <v>344</v>
      </c>
    </row>
    <row r="202" spans="1:24" x14ac:dyDescent="0.2">
      <c r="A202" s="30" t="s">
        <v>207</v>
      </c>
      <c r="B202" s="16" t="s">
        <v>182</v>
      </c>
      <c r="C202" s="16" t="s">
        <v>70</v>
      </c>
      <c r="D202" s="29" t="s">
        <v>190</v>
      </c>
      <c r="E202" s="29" t="s">
        <v>190</v>
      </c>
      <c r="F202" s="29" t="s">
        <v>190</v>
      </c>
      <c r="G202" s="29" t="s">
        <v>190</v>
      </c>
      <c r="H202" s="29" t="s">
        <v>190</v>
      </c>
      <c r="I202" s="29" t="s">
        <v>190</v>
      </c>
      <c r="J202" s="29" t="s">
        <v>190</v>
      </c>
      <c r="K202" s="29" t="s">
        <v>190</v>
      </c>
      <c r="L202" s="29">
        <v>9.6000000000000002E-2</v>
      </c>
      <c r="M202" s="29">
        <v>0.109</v>
      </c>
      <c r="N202" s="29" t="s">
        <v>256</v>
      </c>
      <c r="O202" s="29" t="s">
        <v>256</v>
      </c>
      <c r="P202" s="29" t="s">
        <v>256</v>
      </c>
      <c r="Q202" s="29" t="s">
        <v>256</v>
      </c>
      <c r="R202" s="29" t="s">
        <v>256</v>
      </c>
      <c r="S202" s="29" t="s">
        <v>256</v>
      </c>
      <c r="T202" s="29" t="s">
        <v>256</v>
      </c>
      <c r="U202" s="29" t="s">
        <v>256</v>
      </c>
      <c r="V202" s="29" t="s">
        <v>256</v>
      </c>
      <c r="W202" s="117" t="s">
        <v>344</v>
      </c>
      <c r="X202" s="117" t="s">
        <v>344</v>
      </c>
    </row>
    <row r="203" spans="1:24" x14ac:dyDescent="0.2">
      <c r="A203" s="30" t="s">
        <v>207</v>
      </c>
      <c r="B203" s="16" t="s">
        <v>182</v>
      </c>
      <c r="C203" s="16" t="s">
        <v>71</v>
      </c>
      <c r="D203" s="29" t="s">
        <v>190</v>
      </c>
      <c r="E203" s="29" t="s">
        <v>190</v>
      </c>
      <c r="F203" s="29" t="s">
        <v>190</v>
      </c>
      <c r="G203" s="29" t="s">
        <v>190</v>
      </c>
      <c r="H203" s="29" t="s">
        <v>190</v>
      </c>
      <c r="I203" s="29" t="s">
        <v>190</v>
      </c>
      <c r="J203" s="29" t="s">
        <v>190</v>
      </c>
      <c r="K203" s="29" t="s">
        <v>190</v>
      </c>
      <c r="L203" s="29">
        <v>0.11599999999999999</v>
      </c>
      <c r="M203" s="29">
        <v>0.113</v>
      </c>
      <c r="N203" s="29">
        <v>9.5000000000000001E-2</v>
      </c>
      <c r="O203" s="29">
        <v>0.13</v>
      </c>
      <c r="P203" s="29">
        <v>0.16899999999999998</v>
      </c>
      <c r="Q203" s="29">
        <v>0.13100000000000001</v>
      </c>
      <c r="R203" s="29">
        <v>0.13600000000000001</v>
      </c>
      <c r="S203" s="29">
        <v>0.151</v>
      </c>
      <c r="T203" s="29" t="s">
        <v>256</v>
      </c>
      <c r="U203" s="65">
        <v>0.17600000000000002</v>
      </c>
      <c r="V203" s="29" t="s">
        <v>208</v>
      </c>
      <c r="W203" s="117" t="s">
        <v>344</v>
      </c>
      <c r="X203" s="117" t="s">
        <v>344</v>
      </c>
    </row>
    <row r="204" spans="1:24" x14ac:dyDescent="0.2">
      <c r="A204" s="30" t="s">
        <v>207</v>
      </c>
      <c r="B204" s="16" t="s">
        <v>182</v>
      </c>
      <c r="C204" s="16" t="s">
        <v>72</v>
      </c>
      <c r="D204" s="29" t="s">
        <v>190</v>
      </c>
      <c r="E204" s="29" t="s">
        <v>190</v>
      </c>
      <c r="F204" s="29" t="s">
        <v>190</v>
      </c>
      <c r="G204" s="29" t="s">
        <v>190</v>
      </c>
      <c r="H204" s="29" t="s">
        <v>190</v>
      </c>
      <c r="I204" s="29" t="s">
        <v>190</v>
      </c>
      <c r="J204" s="29" t="s">
        <v>190</v>
      </c>
      <c r="K204" s="29" t="s">
        <v>190</v>
      </c>
      <c r="L204" s="29">
        <v>3.7999999999999999E-2</v>
      </c>
      <c r="M204" s="29">
        <v>4.0999999999999995E-2</v>
      </c>
      <c r="N204" s="29">
        <v>3.7000000000000005E-2</v>
      </c>
      <c r="O204" s="29">
        <v>3.9E-2</v>
      </c>
      <c r="P204" s="29">
        <v>4.2999999999999997E-2</v>
      </c>
      <c r="Q204" s="29">
        <v>4.2999999999999997E-2</v>
      </c>
      <c r="R204" s="29">
        <v>4.2000000000000003E-2</v>
      </c>
      <c r="S204" s="29">
        <v>0.04</v>
      </c>
      <c r="T204" s="29">
        <v>0.05</v>
      </c>
      <c r="U204" s="65">
        <v>5.7999999999999996E-2</v>
      </c>
      <c r="V204" s="65">
        <v>4.4000000000000004E-2</v>
      </c>
      <c r="W204" s="117" t="s">
        <v>344</v>
      </c>
      <c r="X204" s="117" t="s">
        <v>344</v>
      </c>
    </row>
    <row r="205" spans="1:24" x14ac:dyDescent="0.2">
      <c r="A205" s="30" t="s">
        <v>207</v>
      </c>
      <c r="B205" s="16" t="s">
        <v>182</v>
      </c>
      <c r="C205" s="16" t="s">
        <v>73</v>
      </c>
      <c r="D205" s="29" t="s">
        <v>190</v>
      </c>
      <c r="E205" s="29" t="s">
        <v>190</v>
      </c>
      <c r="F205" s="29" t="s">
        <v>190</v>
      </c>
      <c r="G205" s="29" t="s">
        <v>190</v>
      </c>
      <c r="H205" s="29" t="s">
        <v>190</v>
      </c>
      <c r="I205" s="29" t="s">
        <v>190</v>
      </c>
      <c r="J205" s="29" t="s">
        <v>190</v>
      </c>
      <c r="K205" s="29" t="s">
        <v>190</v>
      </c>
      <c r="L205" s="29">
        <v>9.0999999999999998E-2</v>
      </c>
      <c r="M205" s="29">
        <v>0.105</v>
      </c>
      <c r="N205" s="29">
        <v>0.10199999999999999</v>
      </c>
      <c r="O205" s="29">
        <v>9.0999999999999998E-2</v>
      </c>
      <c r="P205" s="29">
        <v>0.10300000000000001</v>
      </c>
      <c r="Q205" s="29">
        <v>0.10300000000000001</v>
      </c>
      <c r="R205" s="29">
        <v>0.122</v>
      </c>
      <c r="S205" s="29">
        <v>0.1</v>
      </c>
      <c r="T205" s="29" t="s">
        <v>256</v>
      </c>
      <c r="U205" s="29" t="s">
        <v>256</v>
      </c>
      <c r="V205" s="65">
        <v>0.155</v>
      </c>
      <c r="W205" s="117" t="s">
        <v>344</v>
      </c>
      <c r="X205" s="117" t="s">
        <v>344</v>
      </c>
    </row>
    <row r="206" spans="1:24" x14ac:dyDescent="0.2">
      <c r="A206" s="30" t="s">
        <v>207</v>
      </c>
      <c r="B206" s="16" t="s">
        <v>182</v>
      </c>
      <c r="C206" s="16" t="s">
        <v>53</v>
      </c>
      <c r="D206" s="29" t="s">
        <v>190</v>
      </c>
      <c r="E206" s="29" t="s">
        <v>190</v>
      </c>
      <c r="F206" s="29" t="s">
        <v>190</v>
      </c>
      <c r="G206" s="29" t="s">
        <v>190</v>
      </c>
      <c r="H206" s="29" t="s">
        <v>190</v>
      </c>
      <c r="I206" s="29" t="s">
        <v>190</v>
      </c>
      <c r="J206" s="29" t="s">
        <v>190</v>
      </c>
      <c r="K206" s="29" t="s">
        <v>190</v>
      </c>
      <c r="L206" s="29">
        <v>1.3000000000000001E-2</v>
      </c>
      <c r="M206" s="29">
        <v>1.3000000000000001E-2</v>
      </c>
      <c r="N206" s="29">
        <v>1.3000000000000001E-2</v>
      </c>
      <c r="O206" s="29">
        <v>1.3000000000000001E-2</v>
      </c>
      <c r="P206" s="29">
        <v>1.3000000000000001E-2</v>
      </c>
      <c r="Q206" s="29">
        <v>1.3999999999999999E-2</v>
      </c>
      <c r="R206" s="29">
        <v>1.3999999999999999E-2</v>
      </c>
      <c r="S206" s="29">
        <v>1.3000000000000001E-2</v>
      </c>
      <c r="T206" s="29">
        <v>1.6E-2</v>
      </c>
      <c r="U206" s="65">
        <v>1.7000000000000001E-2</v>
      </c>
      <c r="V206" s="65">
        <v>1.7000000000000001E-2</v>
      </c>
      <c r="W206" s="117" t="s">
        <v>344</v>
      </c>
      <c r="X206" s="117" t="s">
        <v>344</v>
      </c>
    </row>
    <row r="207" spans="1:24" x14ac:dyDescent="0.2">
      <c r="A207" s="30" t="s">
        <v>207</v>
      </c>
      <c r="B207" s="16" t="s">
        <v>182</v>
      </c>
      <c r="C207" s="16" t="s">
        <v>74</v>
      </c>
      <c r="D207" s="29" t="s">
        <v>190</v>
      </c>
      <c r="E207" s="29" t="s">
        <v>190</v>
      </c>
      <c r="F207" s="29" t="s">
        <v>190</v>
      </c>
      <c r="G207" s="29" t="s">
        <v>190</v>
      </c>
      <c r="H207" s="29" t="s">
        <v>190</v>
      </c>
      <c r="I207" s="29" t="s">
        <v>190</v>
      </c>
      <c r="J207" s="29" t="s">
        <v>190</v>
      </c>
      <c r="K207" s="29" t="s">
        <v>190</v>
      </c>
      <c r="L207" s="29" t="s">
        <v>256</v>
      </c>
      <c r="M207" s="29" t="s">
        <v>256</v>
      </c>
      <c r="N207" s="29" t="s">
        <v>256</v>
      </c>
      <c r="O207" s="29" t="s">
        <v>256</v>
      </c>
      <c r="P207" s="29" t="s">
        <v>256</v>
      </c>
      <c r="Q207" s="29" t="s">
        <v>208</v>
      </c>
      <c r="R207" s="29" t="s">
        <v>208</v>
      </c>
      <c r="S207" s="29" t="s">
        <v>256</v>
      </c>
      <c r="T207" s="29" t="s">
        <v>208</v>
      </c>
      <c r="U207" s="29" t="s">
        <v>208</v>
      </c>
      <c r="V207" s="29" t="s">
        <v>208</v>
      </c>
      <c r="W207" s="117" t="s">
        <v>344</v>
      </c>
      <c r="X207" s="117" t="s">
        <v>344</v>
      </c>
    </row>
    <row r="208" spans="1:24" x14ac:dyDescent="0.2">
      <c r="A208" s="30" t="s">
        <v>207</v>
      </c>
      <c r="B208" s="16" t="s">
        <v>182</v>
      </c>
      <c r="C208" s="16" t="s">
        <v>75</v>
      </c>
      <c r="D208" s="29" t="s">
        <v>190</v>
      </c>
      <c r="E208" s="29" t="s">
        <v>190</v>
      </c>
      <c r="F208" s="29" t="s">
        <v>190</v>
      </c>
      <c r="G208" s="29" t="s">
        <v>190</v>
      </c>
      <c r="H208" s="29" t="s">
        <v>190</v>
      </c>
      <c r="I208" s="29" t="s">
        <v>190</v>
      </c>
      <c r="J208" s="29" t="s">
        <v>190</v>
      </c>
      <c r="K208" s="29" t="s">
        <v>190</v>
      </c>
      <c r="L208" s="29">
        <v>2.8999999999999998E-2</v>
      </c>
      <c r="M208" s="29">
        <v>0.03</v>
      </c>
      <c r="N208" s="29">
        <v>0.03</v>
      </c>
      <c r="O208" s="29">
        <v>3.2000000000000001E-2</v>
      </c>
      <c r="P208" s="29">
        <v>3.1E-2</v>
      </c>
      <c r="Q208" s="29">
        <v>3.1E-2</v>
      </c>
      <c r="R208" s="29">
        <v>3.2000000000000001E-2</v>
      </c>
      <c r="S208" s="29">
        <v>3.6000000000000004E-2</v>
      </c>
      <c r="T208" s="29">
        <v>4.2000000000000003E-2</v>
      </c>
      <c r="U208" s="65">
        <v>4.2000000000000003E-2</v>
      </c>
      <c r="V208" s="65">
        <v>4.5999999999999999E-2</v>
      </c>
      <c r="W208" s="117" t="s">
        <v>344</v>
      </c>
      <c r="X208" s="117" t="s">
        <v>344</v>
      </c>
    </row>
    <row r="209" spans="1:24" x14ac:dyDescent="0.2">
      <c r="A209" s="30" t="s">
        <v>207</v>
      </c>
      <c r="B209" s="16" t="s">
        <v>182</v>
      </c>
      <c r="C209" s="16" t="s">
        <v>76</v>
      </c>
      <c r="D209" s="29" t="s">
        <v>190</v>
      </c>
      <c r="E209" s="29" t="s">
        <v>190</v>
      </c>
      <c r="F209" s="29" t="s">
        <v>190</v>
      </c>
      <c r="G209" s="29" t="s">
        <v>190</v>
      </c>
      <c r="H209" s="29" t="s">
        <v>190</v>
      </c>
      <c r="I209" s="29" t="s">
        <v>190</v>
      </c>
      <c r="J209" s="29" t="s">
        <v>190</v>
      </c>
      <c r="K209" s="29" t="s">
        <v>190</v>
      </c>
      <c r="L209" s="29">
        <v>4.8000000000000001E-2</v>
      </c>
      <c r="M209" s="29">
        <v>4.4999999999999998E-2</v>
      </c>
      <c r="N209" s="29">
        <v>4.5999999999999999E-2</v>
      </c>
      <c r="O209" s="29">
        <v>0.05</v>
      </c>
      <c r="P209" s="29">
        <v>0.06</v>
      </c>
      <c r="Q209" s="29">
        <v>6.2E-2</v>
      </c>
      <c r="R209" s="29">
        <v>6.8000000000000005E-2</v>
      </c>
      <c r="S209" s="29">
        <v>6.7000000000000004E-2</v>
      </c>
      <c r="T209" s="29">
        <v>7.2999999999999995E-2</v>
      </c>
      <c r="U209" s="65">
        <v>0.1</v>
      </c>
      <c r="V209" s="65">
        <v>8.3000000000000004E-2</v>
      </c>
      <c r="W209" s="117" t="s">
        <v>344</v>
      </c>
      <c r="X209" s="117" t="s">
        <v>344</v>
      </c>
    </row>
    <row r="210" spans="1:24" x14ac:dyDescent="0.2">
      <c r="A210" s="30" t="s">
        <v>207</v>
      </c>
      <c r="B210" s="16" t="s">
        <v>182</v>
      </c>
      <c r="C210" s="16" t="s">
        <v>77</v>
      </c>
      <c r="D210" s="29" t="s">
        <v>190</v>
      </c>
      <c r="E210" s="29" t="s">
        <v>190</v>
      </c>
      <c r="F210" s="29" t="s">
        <v>190</v>
      </c>
      <c r="G210" s="29" t="s">
        <v>190</v>
      </c>
      <c r="H210" s="29" t="s">
        <v>190</v>
      </c>
      <c r="I210" s="29" t="s">
        <v>190</v>
      </c>
      <c r="J210" s="29" t="s">
        <v>190</v>
      </c>
      <c r="K210" s="29" t="s">
        <v>190</v>
      </c>
      <c r="L210" s="29">
        <v>3.9E-2</v>
      </c>
      <c r="M210" s="29">
        <v>3.9E-2</v>
      </c>
      <c r="N210" s="29">
        <v>3.7000000000000005E-2</v>
      </c>
      <c r="O210" s="29">
        <v>3.7000000000000005E-2</v>
      </c>
      <c r="P210" s="29">
        <v>4.5999999999999999E-2</v>
      </c>
      <c r="Q210" s="29">
        <v>3.7999999999999999E-2</v>
      </c>
      <c r="R210" s="29">
        <v>4.2000000000000003E-2</v>
      </c>
      <c r="S210" s="29">
        <v>4.8000000000000001E-2</v>
      </c>
      <c r="T210" s="29">
        <v>5.9000000000000004E-2</v>
      </c>
      <c r="U210" s="65">
        <v>6.8000000000000005E-2</v>
      </c>
      <c r="V210" s="65">
        <v>7.2999999999999995E-2</v>
      </c>
      <c r="W210" s="117" t="s">
        <v>344</v>
      </c>
      <c r="X210" s="117" t="s">
        <v>344</v>
      </c>
    </row>
    <row r="211" spans="1:24" x14ac:dyDescent="0.2">
      <c r="A211" s="30" t="s">
        <v>207</v>
      </c>
      <c r="B211" s="16" t="s">
        <v>182</v>
      </c>
      <c r="C211" s="16" t="s">
        <v>78</v>
      </c>
      <c r="D211" s="29" t="s">
        <v>190</v>
      </c>
      <c r="E211" s="29" t="s">
        <v>190</v>
      </c>
      <c r="F211" s="29" t="s">
        <v>190</v>
      </c>
      <c r="G211" s="29" t="s">
        <v>190</v>
      </c>
      <c r="H211" s="29" t="s">
        <v>190</v>
      </c>
      <c r="I211" s="29" t="s">
        <v>190</v>
      </c>
      <c r="J211" s="29" t="s">
        <v>190</v>
      </c>
      <c r="K211" s="29" t="s">
        <v>190</v>
      </c>
      <c r="L211" s="29">
        <v>2.3E-2</v>
      </c>
      <c r="M211" s="29">
        <v>2.3E-2</v>
      </c>
      <c r="N211" s="29">
        <v>2.2000000000000002E-2</v>
      </c>
      <c r="O211" s="29">
        <v>2.5000000000000001E-2</v>
      </c>
      <c r="P211" s="29">
        <v>2.6000000000000002E-2</v>
      </c>
      <c r="Q211" s="29">
        <v>2.4E-2</v>
      </c>
      <c r="R211" s="29">
        <v>2.6000000000000002E-2</v>
      </c>
      <c r="S211" s="29">
        <v>2.6000000000000002E-2</v>
      </c>
      <c r="T211" s="29">
        <v>3.4000000000000002E-2</v>
      </c>
      <c r="U211" s="65">
        <v>3.5000000000000003E-2</v>
      </c>
      <c r="V211" s="65">
        <v>3.4000000000000002E-2</v>
      </c>
      <c r="W211" s="117" t="s">
        <v>344</v>
      </c>
      <c r="X211" s="117" t="s">
        <v>344</v>
      </c>
    </row>
    <row r="212" spans="1:24" x14ac:dyDescent="0.2">
      <c r="A212" s="30" t="s">
        <v>207</v>
      </c>
      <c r="B212" s="16" t="s">
        <v>182</v>
      </c>
      <c r="C212" s="16" t="s">
        <v>79</v>
      </c>
      <c r="D212" s="29" t="s">
        <v>190</v>
      </c>
      <c r="E212" s="29" t="s">
        <v>190</v>
      </c>
      <c r="F212" s="29" t="s">
        <v>190</v>
      </c>
      <c r="G212" s="29" t="s">
        <v>190</v>
      </c>
      <c r="H212" s="29" t="s">
        <v>190</v>
      </c>
      <c r="I212" s="29" t="s">
        <v>190</v>
      </c>
      <c r="J212" s="29" t="s">
        <v>190</v>
      </c>
      <c r="K212" s="29" t="s">
        <v>190</v>
      </c>
      <c r="L212" s="29">
        <v>2.6000000000000002E-2</v>
      </c>
      <c r="M212" s="29">
        <v>2.5000000000000001E-2</v>
      </c>
      <c r="N212" s="29">
        <v>2.3E-2</v>
      </c>
      <c r="O212" s="29">
        <v>2.5000000000000001E-2</v>
      </c>
      <c r="P212" s="29">
        <v>2.7999999999999997E-2</v>
      </c>
      <c r="Q212" s="29">
        <v>2.7999999999999997E-2</v>
      </c>
      <c r="R212" s="29">
        <v>2.7000000000000003E-2</v>
      </c>
      <c r="S212" s="29">
        <v>2.7999999999999997E-2</v>
      </c>
      <c r="T212" s="29">
        <v>3.7000000000000005E-2</v>
      </c>
      <c r="U212" s="65">
        <v>4.0999999999999995E-2</v>
      </c>
      <c r="V212" s="65">
        <v>3.9E-2</v>
      </c>
      <c r="W212" s="117" t="s">
        <v>344</v>
      </c>
      <c r="X212" s="117" t="s">
        <v>344</v>
      </c>
    </row>
    <row r="213" spans="1:24" x14ac:dyDescent="0.2">
      <c r="A213" s="30" t="s">
        <v>207</v>
      </c>
      <c r="B213" s="16" t="s">
        <v>182</v>
      </c>
      <c r="C213" s="16" t="s">
        <v>80</v>
      </c>
      <c r="D213" s="29" t="s">
        <v>190</v>
      </c>
      <c r="E213" s="29" t="s">
        <v>190</v>
      </c>
      <c r="F213" s="29" t="s">
        <v>190</v>
      </c>
      <c r="G213" s="29" t="s">
        <v>190</v>
      </c>
      <c r="H213" s="29" t="s">
        <v>190</v>
      </c>
      <c r="I213" s="29" t="s">
        <v>190</v>
      </c>
      <c r="J213" s="29" t="s">
        <v>190</v>
      </c>
      <c r="K213" s="29" t="s">
        <v>190</v>
      </c>
      <c r="L213" s="29">
        <v>8.6999999999999994E-2</v>
      </c>
      <c r="M213" s="29">
        <v>7.2000000000000008E-2</v>
      </c>
      <c r="N213" s="29">
        <v>5.7000000000000002E-2</v>
      </c>
      <c r="O213" s="29">
        <v>7.2000000000000008E-2</v>
      </c>
      <c r="P213" s="29">
        <v>7.9000000000000001E-2</v>
      </c>
      <c r="Q213" s="29">
        <v>7.5999999999999998E-2</v>
      </c>
      <c r="R213" s="29">
        <v>9.0999999999999998E-2</v>
      </c>
      <c r="S213" s="29">
        <v>8.900000000000001E-2</v>
      </c>
      <c r="T213" s="29" t="s">
        <v>256</v>
      </c>
      <c r="U213" s="29" t="s">
        <v>256</v>
      </c>
      <c r="V213" s="29" t="s">
        <v>256</v>
      </c>
      <c r="W213" s="117" t="s">
        <v>344</v>
      </c>
      <c r="X213" s="117" t="s">
        <v>344</v>
      </c>
    </row>
    <row r="214" spans="1:24" x14ac:dyDescent="0.2">
      <c r="A214" s="30" t="s">
        <v>207</v>
      </c>
      <c r="B214" s="16" t="s">
        <v>182</v>
      </c>
      <c r="C214" s="16" t="s">
        <v>81</v>
      </c>
      <c r="D214" s="29" t="s">
        <v>190</v>
      </c>
      <c r="E214" s="29" t="s">
        <v>190</v>
      </c>
      <c r="F214" s="29" t="s">
        <v>190</v>
      </c>
      <c r="G214" s="29" t="s">
        <v>190</v>
      </c>
      <c r="H214" s="29" t="s">
        <v>190</v>
      </c>
      <c r="I214" s="29" t="s">
        <v>190</v>
      </c>
      <c r="J214" s="29" t="s">
        <v>190</v>
      </c>
      <c r="K214" s="29" t="s">
        <v>190</v>
      </c>
      <c r="L214" s="29">
        <v>2.1000000000000001E-2</v>
      </c>
      <c r="M214" s="29">
        <v>2.2000000000000002E-2</v>
      </c>
      <c r="N214" s="29">
        <v>2.3E-2</v>
      </c>
      <c r="O214" s="29">
        <v>2.3E-2</v>
      </c>
      <c r="P214" s="29">
        <v>2.4E-2</v>
      </c>
      <c r="Q214" s="29">
        <v>2.5000000000000001E-2</v>
      </c>
      <c r="R214" s="29">
        <v>2.7000000000000003E-2</v>
      </c>
      <c r="S214" s="29">
        <v>2.7000000000000003E-2</v>
      </c>
      <c r="T214" s="29">
        <v>3.3000000000000002E-2</v>
      </c>
      <c r="U214" s="65">
        <v>3.7000000000000005E-2</v>
      </c>
      <c r="V214" s="65">
        <v>3.7999999999999999E-2</v>
      </c>
      <c r="W214" s="117" t="s">
        <v>344</v>
      </c>
      <c r="X214" s="117" t="s">
        <v>344</v>
      </c>
    </row>
    <row r="215" spans="1:24" x14ac:dyDescent="0.2">
      <c r="A215" s="30" t="s">
        <v>207</v>
      </c>
      <c r="B215" s="16" t="s">
        <v>182</v>
      </c>
      <c r="C215" s="16" t="s">
        <v>82</v>
      </c>
      <c r="D215" s="29" t="s">
        <v>190</v>
      </c>
      <c r="E215" s="29" t="s">
        <v>190</v>
      </c>
      <c r="F215" s="29" t="s">
        <v>190</v>
      </c>
      <c r="G215" s="29" t="s">
        <v>190</v>
      </c>
      <c r="H215" s="29" t="s">
        <v>190</v>
      </c>
      <c r="I215" s="29" t="s">
        <v>190</v>
      </c>
      <c r="J215" s="29" t="s">
        <v>190</v>
      </c>
      <c r="K215" s="29" t="s">
        <v>190</v>
      </c>
      <c r="L215" s="29">
        <v>9.8000000000000004E-2</v>
      </c>
      <c r="M215" s="29">
        <v>0.10400000000000001</v>
      </c>
      <c r="N215" s="29" t="s">
        <v>256</v>
      </c>
      <c r="O215" s="29">
        <v>0.13400000000000001</v>
      </c>
      <c r="P215" s="29">
        <v>0.10300000000000001</v>
      </c>
      <c r="Q215" s="29">
        <v>0.10800000000000001</v>
      </c>
      <c r="R215" s="29" t="s">
        <v>256</v>
      </c>
      <c r="S215" s="29" t="s">
        <v>256</v>
      </c>
      <c r="T215" s="29" t="s">
        <v>256</v>
      </c>
      <c r="U215" s="29" t="s">
        <v>256</v>
      </c>
      <c r="V215" s="29" t="s">
        <v>208</v>
      </c>
      <c r="W215" s="117" t="s">
        <v>344</v>
      </c>
      <c r="X215" s="117" t="s">
        <v>344</v>
      </c>
    </row>
    <row r="216" spans="1:24" x14ac:dyDescent="0.2">
      <c r="A216" s="30" t="s">
        <v>207</v>
      </c>
      <c r="B216" s="16" t="s">
        <v>182</v>
      </c>
      <c r="C216" s="16" t="s">
        <v>83</v>
      </c>
      <c r="D216" s="29" t="s">
        <v>190</v>
      </c>
      <c r="E216" s="29" t="s">
        <v>190</v>
      </c>
      <c r="F216" s="29" t="s">
        <v>190</v>
      </c>
      <c r="G216" s="29" t="s">
        <v>190</v>
      </c>
      <c r="H216" s="29" t="s">
        <v>190</v>
      </c>
      <c r="I216" s="29" t="s">
        <v>190</v>
      </c>
      <c r="J216" s="29" t="s">
        <v>190</v>
      </c>
      <c r="K216" s="29" t="s">
        <v>190</v>
      </c>
      <c r="L216" s="29">
        <v>8.5000000000000006E-2</v>
      </c>
      <c r="M216" s="29">
        <v>9.6000000000000002E-2</v>
      </c>
      <c r="N216" s="29">
        <v>9.1999999999999998E-2</v>
      </c>
      <c r="O216" s="29">
        <v>8.900000000000001E-2</v>
      </c>
      <c r="P216" s="29">
        <v>0.107</v>
      </c>
      <c r="Q216" s="29">
        <v>0.109</v>
      </c>
      <c r="R216" s="29">
        <v>0.11800000000000001</v>
      </c>
      <c r="S216" s="29">
        <v>0.125</v>
      </c>
      <c r="T216" s="29">
        <v>0.15</v>
      </c>
      <c r="U216" s="65">
        <v>0.14599999999999999</v>
      </c>
      <c r="V216" s="65">
        <v>0.151</v>
      </c>
      <c r="W216" s="117" t="s">
        <v>344</v>
      </c>
      <c r="X216" s="117" t="s">
        <v>344</v>
      </c>
    </row>
    <row r="217" spans="1:24" x14ac:dyDescent="0.2">
      <c r="A217" s="30" t="s">
        <v>207</v>
      </c>
      <c r="B217" s="16" t="s">
        <v>182</v>
      </c>
      <c r="C217" s="16" t="s">
        <v>84</v>
      </c>
      <c r="D217" s="29" t="s">
        <v>190</v>
      </c>
      <c r="E217" s="29" t="s">
        <v>190</v>
      </c>
      <c r="F217" s="29" t="s">
        <v>190</v>
      </c>
      <c r="G217" s="29" t="s">
        <v>190</v>
      </c>
      <c r="H217" s="29" t="s">
        <v>190</v>
      </c>
      <c r="I217" s="29" t="s">
        <v>190</v>
      </c>
      <c r="J217" s="29" t="s">
        <v>190</v>
      </c>
      <c r="K217" s="29" t="s">
        <v>190</v>
      </c>
      <c r="L217" s="29">
        <v>5.9000000000000004E-2</v>
      </c>
      <c r="M217" s="29">
        <v>0.06</v>
      </c>
      <c r="N217" s="29">
        <v>6.0999999999999999E-2</v>
      </c>
      <c r="O217" s="29">
        <v>7.2999999999999995E-2</v>
      </c>
      <c r="P217" s="29">
        <v>6.5000000000000002E-2</v>
      </c>
      <c r="Q217" s="29">
        <v>6.3E-2</v>
      </c>
      <c r="R217" s="29">
        <v>7.8E-2</v>
      </c>
      <c r="S217" s="29">
        <v>7.400000000000001E-2</v>
      </c>
      <c r="T217" s="29">
        <v>8.900000000000001E-2</v>
      </c>
      <c r="U217" s="65">
        <v>0.122</v>
      </c>
      <c r="V217" s="29" t="s">
        <v>256</v>
      </c>
      <c r="W217" s="117" t="s">
        <v>344</v>
      </c>
      <c r="X217" s="117" t="s">
        <v>344</v>
      </c>
    </row>
    <row r="218" spans="1:24" x14ac:dyDescent="0.2">
      <c r="A218" s="30" t="s">
        <v>207</v>
      </c>
      <c r="B218" s="16" t="s">
        <v>182</v>
      </c>
      <c r="C218" s="16" t="s">
        <v>15</v>
      </c>
      <c r="D218" s="29" t="s">
        <v>190</v>
      </c>
      <c r="E218" s="29" t="s">
        <v>190</v>
      </c>
      <c r="F218" s="29" t="s">
        <v>190</v>
      </c>
      <c r="G218" s="29" t="s">
        <v>190</v>
      </c>
      <c r="H218" s="29" t="s">
        <v>190</v>
      </c>
      <c r="I218" s="29" t="s">
        <v>190</v>
      </c>
      <c r="J218" s="29" t="s">
        <v>190</v>
      </c>
      <c r="K218" s="29" t="s">
        <v>190</v>
      </c>
      <c r="L218" s="29">
        <v>5.0999999999999997E-2</v>
      </c>
      <c r="M218" s="29">
        <v>5.7999999999999996E-2</v>
      </c>
      <c r="N218" s="29">
        <v>4.5999999999999999E-2</v>
      </c>
      <c r="O218" s="29">
        <v>5.5E-2</v>
      </c>
      <c r="P218" s="29">
        <v>5.4000000000000006E-2</v>
      </c>
      <c r="Q218" s="29">
        <v>5.2999999999999999E-2</v>
      </c>
      <c r="R218" s="29">
        <v>5.5E-2</v>
      </c>
      <c r="S218" s="29">
        <v>6.0999999999999999E-2</v>
      </c>
      <c r="T218" s="29" t="s">
        <v>256</v>
      </c>
      <c r="U218" s="29" t="s">
        <v>256</v>
      </c>
      <c r="V218" s="29" t="s">
        <v>256</v>
      </c>
      <c r="W218" s="117" t="s">
        <v>344</v>
      </c>
      <c r="X218" s="117" t="s">
        <v>344</v>
      </c>
    </row>
    <row r="219" spans="1:24" x14ac:dyDescent="0.2">
      <c r="A219" s="30" t="s">
        <v>207</v>
      </c>
      <c r="B219" s="16" t="s">
        <v>182</v>
      </c>
      <c r="C219" s="16" t="s">
        <v>85</v>
      </c>
      <c r="D219" s="29" t="s">
        <v>190</v>
      </c>
      <c r="E219" s="29" t="s">
        <v>190</v>
      </c>
      <c r="F219" s="29" t="s">
        <v>190</v>
      </c>
      <c r="G219" s="29" t="s">
        <v>190</v>
      </c>
      <c r="H219" s="29" t="s">
        <v>190</v>
      </c>
      <c r="I219" s="29" t="s">
        <v>190</v>
      </c>
      <c r="J219" s="29" t="s">
        <v>190</v>
      </c>
      <c r="K219" s="29" t="s">
        <v>190</v>
      </c>
      <c r="L219" s="29">
        <v>2.7000000000000003E-2</v>
      </c>
      <c r="M219" s="29">
        <v>2.8999999999999998E-2</v>
      </c>
      <c r="N219" s="29">
        <v>0.03</v>
      </c>
      <c r="O219" s="29">
        <v>3.1E-2</v>
      </c>
      <c r="P219" s="29">
        <v>3.6000000000000004E-2</v>
      </c>
      <c r="Q219" s="29">
        <v>3.4000000000000002E-2</v>
      </c>
      <c r="R219" s="29">
        <v>3.2000000000000001E-2</v>
      </c>
      <c r="S219" s="29">
        <v>3.1E-2</v>
      </c>
      <c r="T219" s="29">
        <v>0.04</v>
      </c>
      <c r="U219" s="65">
        <v>0.04</v>
      </c>
      <c r="V219" s="65">
        <v>4.4000000000000004E-2</v>
      </c>
      <c r="W219" s="117" t="s">
        <v>344</v>
      </c>
      <c r="X219" s="117" t="s">
        <v>344</v>
      </c>
    </row>
    <row r="220" spans="1:24" x14ac:dyDescent="0.2">
      <c r="A220" s="30" t="s">
        <v>207</v>
      </c>
      <c r="B220" s="16" t="s">
        <v>182</v>
      </c>
      <c r="C220" s="16" t="s">
        <v>86</v>
      </c>
      <c r="D220" s="29" t="s">
        <v>190</v>
      </c>
      <c r="E220" s="29" t="s">
        <v>190</v>
      </c>
      <c r="F220" s="29" t="s">
        <v>190</v>
      </c>
      <c r="G220" s="29" t="s">
        <v>190</v>
      </c>
      <c r="H220" s="29" t="s">
        <v>190</v>
      </c>
      <c r="I220" s="29" t="s">
        <v>190</v>
      </c>
      <c r="J220" s="29" t="s">
        <v>190</v>
      </c>
      <c r="K220" s="29" t="s">
        <v>190</v>
      </c>
      <c r="L220" s="29">
        <v>7.2999999999999995E-2</v>
      </c>
      <c r="M220" s="29">
        <v>7.8E-2</v>
      </c>
      <c r="N220" s="29">
        <v>7.4999999999999997E-2</v>
      </c>
      <c r="O220" s="29">
        <v>7.4999999999999997E-2</v>
      </c>
      <c r="P220" s="29">
        <v>8.900000000000001E-2</v>
      </c>
      <c r="Q220" s="29">
        <v>7.2999999999999995E-2</v>
      </c>
      <c r="R220" s="29">
        <v>7.6999999999999999E-2</v>
      </c>
      <c r="S220" s="29">
        <v>6.9000000000000006E-2</v>
      </c>
      <c r="T220" s="29">
        <v>9.3000000000000013E-2</v>
      </c>
      <c r="U220" s="65">
        <v>0.107</v>
      </c>
      <c r="V220" s="65">
        <v>0.11800000000000001</v>
      </c>
      <c r="W220" s="117" t="s">
        <v>344</v>
      </c>
      <c r="X220" s="117" t="s">
        <v>344</v>
      </c>
    </row>
    <row r="221" spans="1:24" x14ac:dyDescent="0.2">
      <c r="A221" s="30" t="s">
        <v>207</v>
      </c>
      <c r="B221" s="16" t="s">
        <v>182</v>
      </c>
      <c r="C221" s="16" t="s">
        <v>87</v>
      </c>
      <c r="D221" s="29" t="s">
        <v>190</v>
      </c>
      <c r="E221" s="29" t="s">
        <v>190</v>
      </c>
      <c r="F221" s="29" t="s">
        <v>190</v>
      </c>
      <c r="G221" s="29" t="s">
        <v>190</v>
      </c>
      <c r="H221" s="29" t="s">
        <v>190</v>
      </c>
      <c r="I221" s="29" t="s">
        <v>190</v>
      </c>
      <c r="J221" s="29" t="s">
        <v>190</v>
      </c>
      <c r="K221" s="29" t="s">
        <v>190</v>
      </c>
      <c r="L221" s="29">
        <v>0.09</v>
      </c>
      <c r="M221" s="29" t="s">
        <v>256</v>
      </c>
      <c r="N221" s="29" t="s">
        <v>256</v>
      </c>
      <c r="O221" s="29" t="s">
        <v>256</v>
      </c>
      <c r="P221" s="29" t="s">
        <v>256</v>
      </c>
      <c r="Q221" s="29" t="s">
        <v>256</v>
      </c>
      <c r="R221" s="29">
        <v>8.5000000000000006E-2</v>
      </c>
      <c r="S221" s="29" t="s">
        <v>256</v>
      </c>
      <c r="T221" s="29" t="s">
        <v>256</v>
      </c>
      <c r="U221" s="65">
        <v>0.125</v>
      </c>
      <c r="V221" s="29" t="s">
        <v>256</v>
      </c>
      <c r="W221" s="117" t="s">
        <v>344</v>
      </c>
      <c r="X221" s="117" t="s">
        <v>344</v>
      </c>
    </row>
    <row r="222" spans="1:24" x14ac:dyDescent="0.2">
      <c r="A222" s="30" t="s">
        <v>207</v>
      </c>
      <c r="B222" s="16" t="s">
        <v>182</v>
      </c>
      <c r="C222" s="16" t="s">
        <v>88</v>
      </c>
      <c r="D222" s="29" t="s">
        <v>190</v>
      </c>
      <c r="E222" s="29" t="s">
        <v>190</v>
      </c>
      <c r="F222" s="29" t="s">
        <v>190</v>
      </c>
      <c r="G222" s="29" t="s">
        <v>190</v>
      </c>
      <c r="H222" s="29" t="s">
        <v>190</v>
      </c>
      <c r="I222" s="29" t="s">
        <v>190</v>
      </c>
      <c r="J222" s="29" t="s">
        <v>190</v>
      </c>
      <c r="K222" s="29" t="s">
        <v>190</v>
      </c>
      <c r="L222" s="29" t="s">
        <v>256</v>
      </c>
      <c r="M222" s="29" t="s">
        <v>256</v>
      </c>
      <c r="N222" s="29" t="s">
        <v>256</v>
      </c>
      <c r="O222" s="29" t="s">
        <v>256</v>
      </c>
      <c r="P222" s="29" t="s">
        <v>256</v>
      </c>
      <c r="Q222" s="29" t="s">
        <v>256</v>
      </c>
      <c r="R222" s="29" t="s">
        <v>208</v>
      </c>
      <c r="S222" s="29" t="s">
        <v>208</v>
      </c>
      <c r="T222" s="29" t="s">
        <v>256</v>
      </c>
      <c r="U222" s="65" t="s">
        <v>190</v>
      </c>
      <c r="V222" s="65" t="s">
        <v>208</v>
      </c>
      <c r="W222" s="117" t="s">
        <v>344</v>
      </c>
      <c r="X222" s="117" t="s">
        <v>344</v>
      </c>
    </row>
    <row r="223" spans="1:24" x14ac:dyDescent="0.2">
      <c r="A223" s="30" t="s">
        <v>207</v>
      </c>
      <c r="B223" s="16" t="s">
        <v>182</v>
      </c>
      <c r="C223" s="16" t="s">
        <v>18</v>
      </c>
      <c r="D223" s="29" t="s">
        <v>190</v>
      </c>
      <c r="E223" s="29" t="s">
        <v>190</v>
      </c>
      <c r="F223" s="29" t="s">
        <v>190</v>
      </c>
      <c r="G223" s="29" t="s">
        <v>190</v>
      </c>
      <c r="H223" s="29" t="s">
        <v>190</v>
      </c>
      <c r="I223" s="29" t="s">
        <v>190</v>
      </c>
      <c r="J223" s="29" t="s">
        <v>190</v>
      </c>
      <c r="K223" s="29" t="s">
        <v>190</v>
      </c>
      <c r="L223" s="29">
        <v>6.0999999999999999E-2</v>
      </c>
      <c r="M223" s="29">
        <v>5.7999999999999996E-2</v>
      </c>
      <c r="N223" s="29">
        <v>5.7999999999999996E-2</v>
      </c>
      <c r="O223" s="29">
        <v>5.5E-2</v>
      </c>
      <c r="P223" s="29">
        <v>0.05</v>
      </c>
      <c r="Q223" s="29">
        <v>6.4000000000000001E-2</v>
      </c>
      <c r="R223" s="29">
        <v>0.08</v>
      </c>
      <c r="S223" s="29">
        <v>9.3000000000000013E-2</v>
      </c>
      <c r="T223" s="29">
        <v>0.11599999999999999</v>
      </c>
      <c r="U223" s="65">
        <v>0.14400000000000002</v>
      </c>
      <c r="V223" s="65">
        <v>0.14300000000000002</v>
      </c>
      <c r="W223" s="117" t="s">
        <v>344</v>
      </c>
      <c r="X223" s="117" t="s">
        <v>344</v>
      </c>
    </row>
    <row r="224" spans="1:24" x14ac:dyDescent="0.2">
      <c r="A224" s="30" t="s">
        <v>207</v>
      </c>
      <c r="B224" s="16" t="s">
        <v>182</v>
      </c>
      <c r="C224" s="16" t="s">
        <v>89</v>
      </c>
      <c r="D224" s="29" t="s">
        <v>190</v>
      </c>
      <c r="E224" s="29" t="s">
        <v>190</v>
      </c>
      <c r="F224" s="29" t="s">
        <v>190</v>
      </c>
      <c r="G224" s="29" t="s">
        <v>190</v>
      </c>
      <c r="H224" s="29" t="s">
        <v>190</v>
      </c>
      <c r="I224" s="29" t="s">
        <v>190</v>
      </c>
      <c r="J224" s="29" t="s">
        <v>190</v>
      </c>
      <c r="K224" s="29" t="s">
        <v>190</v>
      </c>
      <c r="L224" s="29">
        <v>7.2000000000000008E-2</v>
      </c>
      <c r="M224" s="29">
        <v>7.2999999999999995E-2</v>
      </c>
      <c r="N224" s="29">
        <v>7.400000000000001E-2</v>
      </c>
      <c r="O224" s="29">
        <v>7.8E-2</v>
      </c>
      <c r="P224" s="29">
        <v>0.1</v>
      </c>
      <c r="Q224" s="29">
        <v>9.1999999999999998E-2</v>
      </c>
      <c r="R224" s="29">
        <v>8.3000000000000004E-2</v>
      </c>
      <c r="S224" s="29">
        <v>8.199999999999999E-2</v>
      </c>
      <c r="T224" s="29">
        <v>7.4999999999999997E-2</v>
      </c>
      <c r="U224" s="65">
        <v>0.107</v>
      </c>
      <c r="V224" s="65">
        <v>8.5000000000000006E-2</v>
      </c>
      <c r="W224" s="117" t="s">
        <v>344</v>
      </c>
      <c r="X224" s="117" t="s">
        <v>344</v>
      </c>
    </row>
    <row r="225" spans="1:24" x14ac:dyDescent="0.2">
      <c r="A225" s="30" t="s">
        <v>207</v>
      </c>
      <c r="B225" s="16" t="s">
        <v>182</v>
      </c>
      <c r="C225" s="16" t="s">
        <v>90</v>
      </c>
      <c r="D225" s="29" t="s">
        <v>190</v>
      </c>
      <c r="E225" s="29" t="s">
        <v>190</v>
      </c>
      <c r="F225" s="29" t="s">
        <v>190</v>
      </c>
      <c r="G225" s="29" t="s">
        <v>190</v>
      </c>
      <c r="H225" s="29" t="s">
        <v>190</v>
      </c>
      <c r="I225" s="29" t="s">
        <v>190</v>
      </c>
      <c r="J225" s="29" t="s">
        <v>190</v>
      </c>
      <c r="K225" s="29" t="s">
        <v>190</v>
      </c>
      <c r="L225" s="29">
        <v>7.5999999999999998E-2</v>
      </c>
      <c r="M225" s="29">
        <v>7.4999999999999997E-2</v>
      </c>
      <c r="N225" s="29">
        <v>6.6000000000000003E-2</v>
      </c>
      <c r="O225" s="29">
        <v>5.7999999999999996E-2</v>
      </c>
      <c r="P225" s="29">
        <v>8.3000000000000004E-2</v>
      </c>
      <c r="Q225" s="29">
        <v>7.2000000000000008E-2</v>
      </c>
      <c r="R225" s="29">
        <v>9.8000000000000004E-2</v>
      </c>
      <c r="S225" s="29">
        <v>0.106</v>
      </c>
      <c r="T225" s="29" t="s">
        <v>256</v>
      </c>
      <c r="U225" s="65">
        <v>0.13300000000000001</v>
      </c>
      <c r="V225" s="65">
        <v>0.14300000000000002</v>
      </c>
      <c r="W225" s="117" t="s">
        <v>344</v>
      </c>
      <c r="X225" s="117" t="s">
        <v>344</v>
      </c>
    </row>
    <row r="226" spans="1:24" x14ac:dyDescent="0.2">
      <c r="A226" s="30" t="s">
        <v>207</v>
      </c>
      <c r="B226" s="16" t="s">
        <v>182</v>
      </c>
      <c r="C226" s="16" t="s">
        <v>91</v>
      </c>
      <c r="D226" s="29" t="s">
        <v>190</v>
      </c>
      <c r="E226" s="29" t="s">
        <v>190</v>
      </c>
      <c r="F226" s="29" t="s">
        <v>190</v>
      </c>
      <c r="G226" s="29" t="s">
        <v>190</v>
      </c>
      <c r="H226" s="29" t="s">
        <v>190</v>
      </c>
      <c r="I226" s="29" t="s">
        <v>190</v>
      </c>
      <c r="J226" s="29" t="s">
        <v>190</v>
      </c>
      <c r="K226" s="29" t="s">
        <v>190</v>
      </c>
      <c r="L226" s="29">
        <v>0.10800000000000001</v>
      </c>
      <c r="M226" s="29">
        <v>0.11800000000000001</v>
      </c>
      <c r="N226" s="29" t="s">
        <v>256</v>
      </c>
      <c r="O226" s="29">
        <v>0.11800000000000001</v>
      </c>
      <c r="P226" s="29">
        <v>0.13600000000000001</v>
      </c>
      <c r="Q226" s="29" t="s">
        <v>256</v>
      </c>
      <c r="R226" s="29" t="s">
        <v>256</v>
      </c>
      <c r="S226" s="29" t="s">
        <v>256</v>
      </c>
      <c r="T226" s="29" t="s">
        <v>256</v>
      </c>
      <c r="U226" s="29" t="s">
        <v>256</v>
      </c>
      <c r="V226" s="29" t="s">
        <v>256</v>
      </c>
      <c r="W226" s="117" t="s">
        <v>344</v>
      </c>
      <c r="X226" s="117" t="s">
        <v>344</v>
      </c>
    </row>
    <row r="227" spans="1:24" x14ac:dyDescent="0.2">
      <c r="A227" s="30" t="s">
        <v>207</v>
      </c>
      <c r="B227" s="16" t="s">
        <v>182</v>
      </c>
      <c r="C227" s="16" t="s">
        <v>92</v>
      </c>
      <c r="D227" s="29" t="s">
        <v>190</v>
      </c>
      <c r="E227" s="29" t="s">
        <v>190</v>
      </c>
      <c r="F227" s="29" t="s">
        <v>190</v>
      </c>
      <c r="G227" s="29" t="s">
        <v>190</v>
      </c>
      <c r="H227" s="29" t="s">
        <v>190</v>
      </c>
      <c r="I227" s="29" t="s">
        <v>190</v>
      </c>
      <c r="J227" s="29" t="s">
        <v>190</v>
      </c>
      <c r="K227" s="29" t="s">
        <v>190</v>
      </c>
      <c r="L227" s="29">
        <v>9.9000000000000005E-2</v>
      </c>
      <c r="M227" s="29">
        <v>0.1</v>
      </c>
      <c r="N227" s="29">
        <v>8.8000000000000009E-2</v>
      </c>
      <c r="O227" s="29" t="s">
        <v>256</v>
      </c>
      <c r="P227" s="29" t="s">
        <v>256</v>
      </c>
      <c r="Q227" s="29">
        <v>9.5000000000000001E-2</v>
      </c>
      <c r="R227" s="29">
        <v>0.107</v>
      </c>
      <c r="S227" s="29">
        <v>0.105</v>
      </c>
      <c r="T227" s="29" t="s">
        <v>256</v>
      </c>
      <c r="U227" s="65">
        <v>0.129</v>
      </c>
      <c r="V227" s="29" t="s">
        <v>256</v>
      </c>
      <c r="W227" s="117" t="s">
        <v>344</v>
      </c>
      <c r="X227" s="117" t="s">
        <v>344</v>
      </c>
    </row>
    <row r="228" spans="1:24" x14ac:dyDescent="0.2">
      <c r="A228" s="30" t="s">
        <v>207</v>
      </c>
      <c r="B228" s="16" t="s">
        <v>182</v>
      </c>
      <c r="C228" s="16" t="s">
        <v>93</v>
      </c>
      <c r="D228" s="29" t="s">
        <v>190</v>
      </c>
      <c r="E228" s="29" t="s">
        <v>190</v>
      </c>
      <c r="F228" s="29" t="s">
        <v>190</v>
      </c>
      <c r="G228" s="29" t="s">
        <v>190</v>
      </c>
      <c r="H228" s="29" t="s">
        <v>190</v>
      </c>
      <c r="I228" s="29" t="s">
        <v>190</v>
      </c>
      <c r="J228" s="29" t="s">
        <v>190</v>
      </c>
      <c r="K228" s="29" t="s">
        <v>190</v>
      </c>
      <c r="L228" s="29" t="s">
        <v>256</v>
      </c>
      <c r="M228" s="29" t="s">
        <v>256</v>
      </c>
      <c r="N228" s="29" t="s">
        <v>208</v>
      </c>
      <c r="O228" s="29" t="s">
        <v>208</v>
      </c>
      <c r="P228" s="29" t="s">
        <v>256</v>
      </c>
      <c r="Q228" s="29" t="s">
        <v>256</v>
      </c>
      <c r="R228" s="29" t="s">
        <v>256</v>
      </c>
      <c r="S228" s="29" t="s">
        <v>208</v>
      </c>
      <c r="T228" s="29" t="s">
        <v>256</v>
      </c>
      <c r="U228" s="29" t="s">
        <v>208</v>
      </c>
      <c r="V228" s="29" t="s">
        <v>208</v>
      </c>
      <c r="W228" s="117" t="s">
        <v>344</v>
      </c>
      <c r="X228" s="117" t="s">
        <v>344</v>
      </c>
    </row>
    <row r="229" spans="1:24" x14ac:dyDescent="0.2">
      <c r="A229" s="30" t="s">
        <v>207</v>
      </c>
      <c r="B229" s="16" t="s">
        <v>182</v>
      </c>
      <c r="C229" s="16" t="s">
        <v>94</v>
      </c>
      <c r="D229" s="29" t="s">
        <v>190</v>
      </c>
      <c r="E229" s="29" t="s">
        <v>190</v>
      </c>
      <c r="F229" s="29" t="s">
        <v>190</v>
      </c>
      <c r="G229" s="29" t="s">
        <v>190</v>
      </c>
      <c r="H229" s="29" t="s">
        <v>190</v>
      </c>
      <c r="I229" s="29" t="s">
        <v>190</v>
      </c>
      <c r="J229" s="29" t="s">
        <v>190</v>
      </c>
      <c r="K229" s="29" t="s">
        <v>190</v>
      </c>
      <c r="L229" s="29">
        <v>5.5E-2</v>
      </c>
      <c r="M229" s="29">
        <v>0.05</v>
      </c>
      <c r="N229" s="29">
        <v>4.8000000000000001E-2</v>
      </c>
      <c r="O229" s="29">
        <v>4.8000000000000001E-2</v>
      </c>
      <c r="P229" s="29">
        <v>4.7E-2</v>
      </c>
      <c r="Q229" s="29">
        <v>0.04</v>
      </c>
      <c r="R229" s="29">
        <v>4.0999999999999995E-2</v>
      </c>
      <c r="S229" s="29">
        <v>4.2000000000000003E-2</v>
      </c>
      <c r="T229" s="29">
        <v>4.4000000000000004E-2</v>
      </c>
      <c r="U229" s="65">
        <v>5.7000000000000002E-2</v>
      </c>
      <c r="V229" s="65">
        <v>6.2E-2</v>
      </c>
      <c r="W229" s="117" t="s">
        <v>344</v>
      </c>
      <c r="X229" s="117" t="s">
        <v>344</v>
      </c>
    </row>
    <row r="230" spans="1:24" x14ac:dyDescent="0.2">
      <c r="A230" s="30" t="s">
        <v>207</v>
      </c>
      <c r="B230" s="16" t="s">
        <v>182</v>
      </c>
      <c r="C230" s="16" t="s">
        <v>95</v>
      </c>
      <c r="D230" s="29" t="s">
        <v>190</v>
      </c>
      <c r="E230" s="29" t="s">
        <v>190</v>
      </c>
      <c r="F230" s="29" t="s">
        <v>190</v>
      </c>
      <c r="G230" s="29" t="s">
        <v>190</v>
      </c>
      <c r="H230" s="29" t="s">
        <v>190</v>
      </c>
      <c r="I230" s="29" t="s">
        <v>190</v>
      </c>
      <c r="J230" s="29" t="s">
        <v>190</v>
      </c>
      <c r="K230" s="29" t="s">
        <v>190</v>
      </c>
      <c r="L230" s="29">
        <v>9.6000000000000002E-2</v>
      </c>
      <c r="M230" s="29">
        <v>0.11699999999999999</v>
      </c>
      <c r="N230" s="29">
        <v>0.11699999999999999</v>
      </c>
      <c r="O230" s="29" t="s">
        <v>256</v>
      </c>
      <c r="P230" s="29">
        <v>0.14800000000000002</v>
      </c>
      <c r="Q230" s="29" t="s">
        <v>256</v>
      </c>
      <c r="R230" s="29" t="s">
        <v>256</v>
      </c>
      <c r="S230" s="29" t="s">
        <v>256</v>
      </c>
      <c r="T230" s="29" t="s">
        <v>256</v>
      </c>
      <c r="U230" s="29" t="s">
        <v>256</v>
      </c>
      <c r="V230" s="29" t="s">
        <v>208</v>
      </c>
      <c r="W230" s="117" t="s">
        <v>344</v>
      </c>
      <c r="X230" s="117" t="s">
        <v>344</v>
      </c>
    </row>
    <row r="231" spans="1:24" ht="30" customHeight="1" x14ac:dyDescent="0.2">
      <c r="A231" s="30" t="s">
        <v>207</v>
      </c>
      <c r="B231" s="17" t="s">
        <v>183</v>
      </c>
      <c r="C231" s="17" t="s">
        <v>112</v>
      </c>
      <c r="D231" s="33" t="s">
        <v>190</v>
      </c>
      <c r="E231" s="33" t="s">
        <v>190</v>
      </c>
      <c r="F231" s="33" t="s">
        <v>190</v>
      </c>
      <c r="G231" s="33" t="s">
        <v>190</v>
      </c>
      <c r="H231" s="33" t="s">
        <v>190</v>
      </c>
      <c r="I231" s="33" t="s">
        <v>190</v>
      </c>
      <c r="J231" s="29" t="s">
        <v>190</v>
      </c>
      <c r="K231" s="29" t="s">
        <v>190</v>
      </c>
      <c r="L231" s="29">
        <v>3.5000000000000003E-2</v>
      </c>
      <c r="M231" s="29">
        <v>3.4000000000000002E-2</v>
      </c>
      <c r="N231" s="29">
        <v>0.03</v>
      </c>
      <c r="O231" s="29">
        <v>3.6000000000000004E-2</v>
      </c>
      <c r="P231" s="29">
        <v>3.6000000000000004E-2</v>
      </c>
      <c r="Q231" s="29">
        <v>3.4000000000000002E-2</v>
      </c>
      <c r="R231" s="29">
        <v>3.9E-2</v>
      </c>
      <c r="S231" s="29">
        <v>3.7999999999999999E-2</v>
      </c>
      <c r="T231" s="29">
        <v>4.4000000000000004E-2</v>
      </c>
      <c r="U231" s="65">
        <v>5.5999999999999994E-2</v>
      </c>
      <c r="V231" s="65">
        <v>6.4000000000000001E-2</v>
      </c>
      <c r="W231" s="117" t="s">
        <v>344</v>
      </c>
      <c r="X231" s="117" t="s">
        <v>344</v>
      </c>
    </row>
    <row r="232" spans="1:24" x14ac:dyDescent="0.2">
      <c r="A232" s="30" t="s">
        <v>207</v>
      </c>
      <c r="B232" s="17" t="s">
        <v>183</v>
      </c>
      <c r="C232" s="9" t="s">
        <v>113</v>
      </c>
      <c r="D232" s="33" t="s">
        <v>190</v>
      </c>
      <c r="E232" s="33" t="s">
        <v>190</v>
      </c>
      <c r="F232" s="33" t="s">
        <v>190</v>
      </c>
      <c r="G232" s="33" t="s">
        <v>190</v>
      </c>
      <c r="H232" s="33" t="s">
        <v>190</v>
      </c>
      <c r="I232" s="33" t="s">
        <v>190</v>
      </c>
      <c r="J232" s="29" t="s">
        <v>190</v>
      </c>
      <c r="K232" s="29" t="s">
        <v>190</v>
      </c>
      <c r="L232" s="29">
        <v>6.0999999999999999E-2</v>
      </c>
      <c r="M232" s="29">
        <v>7.0000000000000007E-2</v>
      </c>
      <c r="N232" s="29">
        <v>6.6000000000000003E-2</v>
      </c>
      <c r="O232" s="29">
        <v>6.7000000000000004E-2</v>
      </c>
      <c r="P232" s="29">
        <v>0.08</v>
      </c>
      <c r="Q232" s="29">
        <v>0.06</v>
      </c>
      <c r="R232" s="29">
        <v>8.3000000000000004E-2</v>
      </c>
      <c r="S232" s="29">
        <v>0.12</v>
      </c>
      <c r="T232" s="29">
        <v>9.0999999999999998E-2</v>
      </c>
      <c r="U232" s="65">
        <v>0.14499999999999999</v>
      </c>
      <c r="V232" s="29" t="s">
        <v>256</v>
      </c>
      <c r="W232" s="117" t="s">
        <v>344</v>
      </c>
      <c r="X232" s="117" t="s">
        <v>344</v>
      </c>
    </row>
    <row r="233" spans="1:24" x14ac:dyDescent="0.2">
      <c r="A233" s="30" t="s">
        <v>207</v>
      </c>
      <c r="B233" s="17" t="s">
        <v>183</v>
      </c>
      <c r="C233" s="9" t="s">
        <v>114</v>
      </c>
      <c r="D233" s="33" t="s">
        <v>190</v>
      </c>
      <c r="E233" s="33" t="s">
        <v>190</v>
      </c>
      <c r="F233" s="33" t="s">
        <v>190</v>
      </c>
      <c r="G233" s="33" t="s">
        <v>190</v>
      </c>
      <c r="H233" s="33" t="s">
        <v>190</v>
      </c>
      <c r="I233" s="33" t="s">
        <v>190</v>
      </c>
      <c r="J233" s="29" t="s">
        <v>190</v>
      </c>
      <c r="K233" s="29" t="s">
        <v>190</v>
      </c>
      <c r="L233" s="29">
        <v>3.4000000000000002E-2</v>
      </c>
      <c r="M233" s="29">
        <v>3.6000000000000004E-2</v>
      </c>
      <c r="N233" s="29">
        <v>3.4000000000000002E-2</v>
      </c>
      <c r="O233" s="29">
        <v>3.3000000000000002E-2</v>
      </c>
      <c r="P233" s="29">
        <v>3.9E-2</v>
      </c>
      <c r="Q233" s="29">
        <v>3.5000000000000003E-2</v>
      </c>
      <c r="R233" s="29">
        <v>3.7999999999999999E-2</v>
      </c>
      <c r="S233" s="29">
        <v>4.2999999999999997E-2</v>
      </c>
      <c r="T233" s="29">
        <v>5.2999999999999999E-2</v>
      </c>
      <c r="U233" s="65">
        <v>6.0999999999999999E-2</v>
      </c>
      <c r="V233" s="65">
        <v>6.8000000000000005E-2</v>
      </c>
      <c r="W233" s="117" t="s">
        <v>344</v>
      </c>
      <c r="X233" s="117" t="s">
        <v>344</v>
      </c>
    </row>
    <row r="234" spans="1:24" x14ac:dyDescent="0.2">
      <c r="A234" s="30" t="s">
        <v>207</v>
      </c>
      <c r="B234" s="17" t="s">
        <v>183</v>
      </c>
      <c r="C234" s="9" t="s">
        <v>115</v>
      </c>
      <c r="D234" s="33" t="s">
        <v>190</v>
      </c>
      <c r="E234" s="33" t="s">
        <v>190</v>
      </c>
      <c r="F234" s="33" t="s">
        <v>190</v>
      </c>
      <c r="G234" s="33" t="s">
        <v>190</v>
      </c>
      <c r="H234" s="33" t="s">
        <v>190</v>
      </c>
      <c r="I234" s="33" t="s">
        <v>190</v>
      </c>
      <c r="J234" s="29" t="s">
        <v>190</v>
      </c>
      <c r="K234" s="29" t="s">
        <v>190</v>
      </c>
      <c r="L234" s="29">
        <v>7.2000000000000008E-2</v>
      </c>
      <c r="M234" s="29">
        <v>0.08</v>
      </c>
      <c r="N234" s="29">
        <v>8.1000000000000003E-2</v>
      </c>
      <c r="O234" s="29">
        <v>7.4999999999999997E-2</v>
      </c>
      <c r="P234" s="29">
        <v>8.3000000000000004E-2</v>
      </c>
      <c r="Q234" s="29">
        <v>8.1000000000000003E-2</v>
      </c>
      <c r="R234" s="29">
        <v>8.8000000000000009E-2</v>
      </c>
      <c r="S234" s="29">
        <v>0.111</v>
      </c>
      <c r="T234" s="29">
        <v>0.122</v>
      </c>
      <c r="U234" s="65">
        <v>0.17499999999999999</v>
      </c>
      <c r="V234" s="29" t="s">
        <v>256</v>
      </c>
      <c r="W234" s="117" t="s">
        <v>344</v>
      </c>
      <c r="X234" s="117" t="s">
        <v>344</v>
      </c>
    </row>
    <row r="235" spans="1:24" x14ac:dyDescent="0.2">
      <c r="A235" s="30" t="s">
        <v>207</v>
      </c>
      <c r="B235" s="17" t="s">
        <v>183</v>
      </c>
      <c r="C235" s="9" t="s">
        <v>13</v>
      </c>
      <c r="D235" s="33" t="s">
        <v>190</v>
      </c>
      <c r="E235" s="33" t="s">
        <v>190</v>
      </c>
      <c r="F235" s="33" t="s">
        <v>190</v>
      </c>
      <c r="G235" s="33" t="s">
        <v>190</v>
      </c>
      <c r="H235" s="33" t="s">
        <v>190</v>
      </c>
      <c r="I235" s="33" t="s">
        <v>190</v>
      </c>
      <c r="J235" s="29" t="s">
        <v>190</v>
      </c>
      <c r="K235" s="29" t="s">
        <v>190</v>
      </c>
      <c r="L235" s="29">
        <v>2.5000000000000001E-2</v>
      </c>
      <c r="M235" s="29">
        <v>2.4E-2</v>
      </c>
      <c r="N235" s="29">
        <v>2.5000000000000001E-2</v>
      </c>
      <c r="O235" s="29">
        <v>2.8999999999999998E-2</v>
      </c>
      <c r="P235" s="29">
        <v>3.1E-2</v>
      </c>
      <c r="Q235" s="29">
        <v>0.03</v>
      </c>
      <c r="R235" s="29">
        <v>3.2000000000000001E-2</v>
      </c>
      <c r="S235" s="29">
        <v>3.2000000000000001E-2</v>
      </c>
      <c r="T235" s="29">
        <v>3.9E-2</v>
      </c>
      <c r="U235" s="65">
        <v>4.4000000000000004E-2</v>
      </c>
      <c r="V235" s="65">
        <v>4.0999999999999995E-2</v>
      </c>
      <c r="W235" s="117" t="s">
        <v>344</v>
      </c>
      <c r="X235" s="117" t="s">
        <v>344</v>
      </c>
    </row>
    <row r="236" spans="1:24" x14ac:dyDescent="0.2">
      <c r="A236" s="30" t="s">
        <v>207</v>
      </c>
      <c r="B236" s="17" t="s">
        <v>183</v>
      </c>
      <c r="C236" s="9" t="s">
        <v>116</v>
      </c>
      <c r="D236" s="33" t="s">
        <v>190</v>
      </c>
      <c r="E236" s="33" t="s">
        <v>190</v>
      </c>
      <c r="F236" s="33" t="s">
        <v>190</v>
      </c>
      <c r="G236" s="33" t="s">
        <v>190</v>
      </c>
      <c r="H236" s="33" t="s">
        <v>190</v>
      </c>
      <c r="I236" s="33" t="s">
        <v>190</v>
      </c>
      <c r="J236" s="29" t="s">
        <v>190</v>
      </c>
      <c r="K236" s="29" t="s">
        <v>190</v>
      </c>
      <c r="L236" s="29">
        <v>5.0999999999999997E-2</v>
      </c>
      <c r="M236" s="29">
        <v>5.7999999999999996E-2</v>
      </c>
      <c r="N236" s="29">
        <v>4.5999999999999999E-2</v>
      </c>
      <c r="O236" s="29">
        <v>5.5E-2</v>
      </c>
      <c r="P236" s="29">
        <v>5.4000000000000006E-2</v>
      </c>
      <c r="Q236" s="29">
        <v>5.2999999999999999E-2</v>
      </c>
      <c r="R236" s="29">
        <v>5.5E-2</v>
      </c>
      <c r="S236" s="29">
        <v>6.0999999999999999E-2</v>
      </c>
      <c r="T236" s="29" t="s">
        <v>256</v>
      </c>
      <c r="U236" s="29" t="s">
        <v>256</v>
      </c>
      <c r="V236" s="29" t="s">
        <v>256</v>
      </c>
      <c r="W236" s="117" t="s">
        <v>344</v>
      </c>
      <c r="X236" s="117" t="s">
        <v>344</v>
      </c>
    </row>
    <row r="237" spans="1:24" x14ac:dyDescent="0.2">
      <c r="A237" s="30" t="s">
        <v>207</v>
      </c>
      <c r="B237" s="17" t="s">
        <v>183</v>
      </c>
      <c r="C237" s="9" t="s">
        <v>117</v>
      </c>
      <c r="D237" s="33" t="s">
        <v>190</v>
      </c>
      <c r="E237" s="33" t="s">
        <v>190</v>
      </c>
      <c r="F237" s="33" t="s">
        <v>190</v>
      </c>
      <c r="G237" s="33" t="s">
        <v>190</v>
      </c>
      <c r="H237" s="33" t="s">
        <v>190</v>
      </c>
      <c r="I237" s="33" t="s">
        <v>190</v>
      </c>
      <c r="J237" s="29" t="s">
        <v>190</v>
      </c>
      <c r="K237" s="29" t="s">
        <v>190</v>
      </c>
      <c r="L237" s="29">
        <v>5.5E-2</v>
      </c>
      <c r="M237" s="29">
        <v>0.05</v>
      </c>
      <c r="N237" s="29">
        <v>4.8000000000000001E-2</v>
      </c>
      <c r="O237" s="29">
        <v>4.8000000000000001E-2</v>
      </c>
      <c r="P237" s="29">
        <v>4.7E-2</v>
      </c>
      <c r="Q237" s="29">
        <v>0.04</v>
      </c>
      <c r="R237" s="29">
        <v>4.0999999999999995E-2</v>
      </c>
      <c r="S237" s="29">
        <v>4.2000000000000003E-2</v>
      </c>
      <c r="T237" s="29">
        <v>4.4000000000000004E-2</v>
      </c>
      <c r="U237" s="65">
        <v>5.7000000000000002E-2</v>
      </c>
      <c r="V237" s="65">
        <v>6.2E-2</v>
      </c>
      <c r="W237" s="117" t="s">
        <v>344</v>
      </c>
      <c r="X237" s="117" t="s">
        <v>344</v>
      </c>
    </row>
    <row r="238" spans="1:24" x14ac:dyDescent="0.2">
      <c r="A238" s="30" t="s">
        <v>207</v>
      </c>
      <c r="B238" s="17" t="s">
        <v>183</v>
      </c>
      <c r="C238" s="9" t="s">
        <v>118</v>
      </c>
      <c r="D238" s="33" t="s">
        <v>190</v>
      </c>
      <c r="E238" s="33" t="s">
        <v>190</v>
      </c>
      <c r="F238" s="33" t="s">
        <v>190</v>
      </c>
      <c r="G238" s="33" t="s">
        <v>190</v>
      </c>
      <c r="H238" s="33" t="s">
        <v>190</v>
      </c>
      <c r="I238" s="33" t="s">
        <v>190</v>
      </c>
      <c r="J238" s="29" t="s">
        <v>190</v>
      </c>
      <c r="K238" s="29" t="s">
        <v>190</v>
      </c>
      <c r="L238" s="29">
        <v>6.0999999999999999E-2</v>
      </c>
      <c r="M238" s="29">
        <v>5.7999999999999996E-2</v>
      </c>
      <c r="N238" s="29">
        <v>5.7999999999999996E-2</v>
      </c>
      <c r="O238" s="29">
        <v>5.5E-2</v>
      </c>
      <c r="P238" s="29">
        <v>0.05</v>
      </c>
      <c r="Q238" s="29">
        <v>6.4000000000000001E-2</v>
      </c>
      <c r="R238" s="29">
        <v>0.08</v>
      </c>
      <c r="S238" s="29">
        <v>9.3000000000000013E-2</v>
      </c>
      <c r="T238" s="29">
        <v>0.11599999999999999</v>
      </c>
      <c r="U238" s="65">
        <v>0.14400000000000002</v>
      </c>
      <c r="V238" s="65">
        <v>0.14300000000000002</v>
      </c>
      <c r="W238" s="117" t="s">
        <v>344</v>
      </c>
      <c r="X238" s="117" t="s">
        <v>344</v>
      </c>
    </row>
    <row r="239" spans="1:24" x14ac:dyDescent="0.2">
      <c r="A239" s="30" t="s">
        <v>207</v>
      </c>
      <c r="B239" s="17" t="s">
        <v>183</v>
      </c>
      <c r="C239" s="9" t="s">
        <v>184</v>
      </c>
      <c r="D239" s="33" t="s">
        <v>190</v>
      </c>
      <c r="E239" s="33" t="s">
        <v>190</v>
      </c>
      <c r="F239" s="33" t="s">
        <v>190</v>
      </c>
      <c r="G239" s="33" t="s">
        <v>190</v>
      </c>
      <c r="H239" s="33" t="s">
        <v>190</v>
      </c>
      <c r="I239" s="33" t="s">
        <v>190</v>
      </c>
      <c r="J239" s="29" t="s">
        <v>190</v>
      </c>
      <c r="K239" s="29" t="s">
        <v>190</v>
      </c>
      <c r="L239" s="29">
        <v>1.4999999999999999E-2</v>
      </c>
      <c r="M239" s="29">
        <v>1.4999999999999999E-2</v>
      </c>
      <c r="N239" s="29">
        <v>1.3999999999999999E-2</v>
      </c>
      <c r="O239" s="29">
        <v>1.4999999999999999E-2</v>
      </c>
      <c r="P239" s="29">
        <v>1.6E-2</v>
      </c>
      <c r="Q239" s="29">
        <v>1.4999999999999999E-2</v>
      </c>
      <c r="R239" s="29">
        <v>1.6E-2</v>
      </c>
      <c r="S239" s="29">
        <v>1.8000000000000002E-2</v>
      </c>
      <c r="T239" s="29">
        <v>2.1000000000000001E-2</v>
      </c>
      <c r="U239" s="65">
        <v>2.5000000000000001E-2</v>
      </c>
      <c r="V239" s="65">
        <v>2.7000000000000003E-2</v>
      </c>
      <c r="W239" s="117" t="s">
        <v>344</v>
      </c>
      <c r="X239" s="117" t="s">
        <v>344</v>
      </c>
    </row>
    <row r="240" spans="1:24" ht="30" customHeight="1" x14ac:dyDescent="0.2">
      <c r="A240" s="30" t="s">
        <v>207</v>
      </c>
      <c r="B240" s="17" t="s">
        <v>185</v>
      </c>
      <c r="C240" s="17" t="s">
        <v>111</v>
      </c>
      <c r="D240" s="29" t="s">
        <v>190</v>
      </c>
      <c r="E240" s="29" t="s">
        <v>190</v>
      </c>
      <c r="F240" s="29" t="s">
        <v>190</v>
      </c>
      <c r="G240" s="29" t="s">
        <v>190</v>
      </c>
      <c r="H240" s="29" t="s">
        <v>190</v>
      </c>
      <c r="I240" s="29" t="s">
        <v>190</v>
      </c>
      <c r="J240" s="29" t="s">
        <v>190</v>
      </c>
      <c r="K240" s="29" t="s">
        <v>190</v>
      </c>
      <c r="L240" s="29" t="s">
        <v>256</v>
      </c>
      <c r="M240" s="29">
        <v>0.14800000000000002</v>
      </c>
      <c r="N240" s="29">
        <v>0.14800000000000002</v>
      </c>
      <c r="O240" s="29">
        <v>0.14899999999999999</v>
      </c>
      <c r="P240" s="29">
        <v>0.151</v>
      </c>
      <c r="Q240" s="29">
        <v>0.14099999999999999</v>
      </c>
      <c r="R240" s="29">
        <v>0.14199999999999999</v>
      </c>
      <c r="S240" s="29">
        <v>0.13500000000000001</v>
      </c>
      <c r="T240" s="29" t="s">
        <v>256</v>
      </c>
      <c r="U240" s="65">
        <v>0.16399999999999998</v>
      </c>
      <c r="V240" s="29" t="s">
        <v>256</v>
      </c>
      <c r="W240" s="117" t="s">
        <v>344</v>
      </c>
      <c r="X240" s="117" t="s">
        <v>344</v>
      </c>
    </row>
    <row r="241" spans="1:24" x14ac:dyDescent="0.2">
      <c r="A241" s="30" t="s">
        <v>207</v>
      </c>
      <c r="B241" s="17" t="s">
        <v>185</v>
      </c>
      <c r="C241" s="9" t="s">
        <v>186</v>
      </c>
      <c r="D241" s="33" t="s">
        <v>190</v>
      </c>
      <c r="E241" s="33" t="s">
        <v>190</v>
      </c>
      <c r="F241" s="33" t="s">
        <v>190</v>
      </c>
      <c r="G241" s="33" t="s">
        <v>190</v>
      </c>
      <c r="H241" s="33" t="s">
        <v>190</v>
      </c>
      <c r="I241" s="33" t="s">
        <v>190</v>
      </c>
      <c r="J241" s="29" t="s">
        <v>190</v>
      </c>
      <c r="K241" s="29" t="s">
        <v>190</v>
      </c>
      <c r="L241" s="29">
        <v>2.4E-2</v>
      </c>
      <c r="M241" s="29">
        <v>2.3E-2</v>
      </c>
      <c r="N241" s="29">
        <v>2.4E-2</v>
      </c>
      <c r="O241" s="29">
        <v>2.3E-2</v>
      </c>
      <c r="P241" s="29">
        <v>2.5000000000000001E-2</v>
      </c>
      <c r="Q241" s="29">
        <v>2.5000000000000001E-2</v>
      </c>
      <c r="R241" s="29">
        <v>2.7000000000000003E-2</v>
      </c>
      <c r="S241" s="29">
        <v>2.6000000000000002E-2</v>
      </c>
      <c r="T241" s="29">
        <v>3.2000000000000001E-2</v>
      </c>
      <c r="U241" s="65">
        <v>3.1E-2</v>
      </c>
      <c r="V241" s="65">
        <v>3.3000000000000002E-2</v>
      </c>
      <c r="W241" s="117" t="s">
        <v>344</v>
      </c>
      <c r="X241" s="117" t="s">
        <v>344</v>
      </c>
    </row>
    <row r="242" spans="1:24" x14ac:dyDescent="0.2">
      <c r="A242" s="30" t="s">
        <v>207</v>
      </c>
      <c r="B242" s="17" t="s">
        <v>185</v>
      </c>
      <c r="C242" s="9" t="s">
        <v>151</v>
      </c>
      <c r="D242" s="33" t="s">
        <v>190</v>
      </c>
      <c r="E242" s="33" t="s">
        <v>190</v>
      </c>
      <c r="F242" s="33" t="s">
        <v>190</v>
      </c>
      <c r="G242" s="33" t="s">
        <v>190</v>
      </c>
      <c r="H242" s="33" t="s">
        <v>190</v>
      </c>
      <c r="I242" s="33" t="s">
        <v>190</v>
      </c>
      <c r="J242" s="29" t="s">
        <v>190</v>
      </c>
      <c r="K242" s="29" t="s">
        <v>190</v>
      </c>
      <c r="L242" s="29">
        <v>1.8000000000000002E-2</v>
      </c>
      <c r="M242" s="29">
        <v>1.8000000000000002E-2</v>
      </c>
      <c r="N242" s="29">
        <v>1.8000000000000002E-2</v>
      </c>
      <c r="O242" s="29">
        <v>1.9E-2</v>
      </c>
      <c r="P242" s="29">
        <v>1.9E-2</v>
      </c>
      <c r="Q242" s="29">
        <v>1.9E-2</v>
      </c>
      <c r="R242" s="29">
        <v>2.1000000000000001E-2</v>
      </c>
      <c r="S242" s="29">
        <v>0.02</v>
      </c>
      <c r="T242" s="29">
        <v>2.3E-2</v>
      </c>
      <c r="U242" s="65">
        <v>2.4E-2</v>
      </c>
      <c r="V242" s="65">
        <v>2.4E-2</v>
      </c>
      <c r="W242" s="117" t="s">
        <v>344</v>
      </c>
      <c r="X242" s="117" t="s">
        <v>344</v>
      </c>
    </row>
    <row r="243" spans="1:24" ht="36" customHeight="1" x14ac:dyDescent="0.2">
      <c r="A243" s="30" t="s">
        <v>207</v>
      </c>
      <c r="B243" s="91" t="s">
        <v>270</v>
      </c>
      <c r="C243" s="92" t="s">
        <v>271</v>
      </c>
      <c r="D243" s="48" t="s">
        <v>190</v>
      </c>
      <c r="E243" s="48" t="s">
        <v>190</v>
      </c>
      <c r="F243" s="48" t="s">
        <v>190</v>
      </c>
      <c r="G243" s="48" t="s">
        <v>190</v>
      </c>
      <c r="H243" s="48" t="s">
        <v>190</v>
      </c>
      <c r="I243" s="48" t="s">
        <v>190</v>
      </c>
      <c r="J243" s="48" t="s">
        <v>190</v>
      </c>
      <c r="K243" s="48" t="s">
        <v>190</v>
      </c>
      <c r="L243" s="65">
        <v>9.1999999999999998E-2</v>
      </c>
      <c r="M243" s="65">
        <v>0.10300000000000001</v>
      </c>
      <c r="N243" s="65" t="s">
        <v>256</v>
      </c>
      <c r="O243" s="65">
        <v>0.11199999999999999</v>
      </c>
      <c r="P243" s="65">
        <v>8.8000000000000009E-2</v>
      </c>
      <c r="Q243" s="65">
        <v>9.5000000000000001E-2</v>
      </c>
      <c r="R243" s="65" t="s">
        <v>256</v>
      </c>
      <c r="S243" s="65" t="s">
        <v>256</v>
      </c>
      <c r="T243" s="65" t="s">
        <v>256</v>
      </c>
      <c r="U243" s="65" t="s">
        <v>256</v>
      </c>
      <c r="V243" s="65" t="s">
        <v>208</v>
      </c>
      <c r="W243" s="117" t="s">
        <v>344</v>
      </c>
      <c r="X243" s="117" t="s">
        <v>344</v>
      </c>
    </row>
    <row r="244" spans="1:24" x14ac:dyDescent="0.2">
      <c r="A244" s="30" t="s">
        <v>207</v>
      </c>
      <c r="B244" s="91" t="s">
        <v>270</v>
      </c>
      <c r="C244" s="92" t="s">
        <v>272</v>
      </c>
      <c r="D244" s="48" t="s">
        <v>190</v>
      </c>
      <c r="E244" s="48" t="s">
        <v>190</v>
      </c>
      <c r="F244" s="48" t="s">
        <v>190</v>
      </c>
      <c r="G244" s="48" t="s">
        <v>190</v>
      </c>
      <c r="H244" s="48" t="s">
        <v>190</v>
      </c>
      <c r="I244" s="48" t="s">
        <v>190</v>
      </c>
      <c r="J244" s="48" t="s">
        <v>190</v>
      </c>
      <c r="K244" s="48" t="s">
        <v>190</v>
      </c>
      <c r="L244" s="65">
        <v>0.115</v>
      </c>
      <c r="M244" s="65">
        <v>0.11</v>
      </c>
      <c r="N244" s="65" t="s">
        <v>256</v>
      </c>
      <c r="O244" s="65" t="s">
        <v>256</v>
      </c>
      <c r="P244" s="65" t="s">
        <v>256</v>
      </c>
      <c r="Q244" s="65" t="s">
        <v>256</v>
      </c>
      <c r="R244" s="65" t="s">
        <v>256</v>
      </c>
      <c r="S244" s="65" t="s">
        <v>256</v>
      </c>
      <c r="T244" s="65" t="s">
        <v>208</v>
      </c>
      <c r="U244" s="65" t="s">
        <v>208</v>
      </c>
      <c r="V244" s="65" t="s">
        <v>208</v>
      </c>
      <c r="W244" s="117" t="s">
        <v>344</v>
      </c>
      <c r="X244" s="117" t="s">
        <v>344</v>
      </c>
    </row>
    <row r="245" spans="1:24" x14ac:dyDescent="0.2">
      <c r="A245" s="30" t="s">
        <v>207</v>
      </c>
      <c r="B245" s="91" t="s">
        <v>270</v>
      </c>
      <c r="C245" s="92" t="s">
        <v>273</v>
      </c>
      <c r="D245" s="49" t="s">
        <v>190</v>
      </c>
      <c r="E245" s="49" t="s">
        <v>190</v>
      </c>
      <c r="F245" s="49" t="s">
        <v>190</v>
      </c>
      <c r="G245" s="49" t="s">
        <v>190</v>
      </c>
      <c r="H245" s="49" t="s">
        <v>190</v>
      </c>
      <c r="I245" s="49" t="s">
        <v>190</v>
      </c>
      <c r="J245" s="50" t="s">
        <v>190</v>
      </c>
      <c r="K245" s="50" t="s">
        <v>190</v>
      </c>
      <c r="L245" s="65" t="s">
        <v>256</v>
      </c>
      <c r="M245" s="65" t="s">
        <v>256</v>
      </c>
      <c r="N245" s="65" t="s">
        <v>256</v>
      </c>
      <c r="O245" s="65" t="s">
        <v>256</v>
      </c>
      <c r="P245" s="65" t="s">
        <v>256</v>
      </c>
      <c r="Q245" s="65" t="s">
        <v>256</v>
      </c>
      <c r="R245" s="65" t="s">
        <v>208</v>
      </c>
      <c r="S245" s="65" t="s">
        <v>256</v>
      </c>
      <c r="T245" s="65" t="s">
        <v>256</v>
      </c>
      <c r="U245" s="65" t="s">
        <v>190</v>
      </c>
      <c r="V245" s="65" t="s">
        <v>208</v>
      </c>
      <c r="W245" s="117" t="s">
        <v>344</v>
      </c>
      <c r="X245" s="117" t="s">
        <v>344</v>
      </c>
    </row>
    <row r="246" spans="1:24" x14ac:dyDescent="0.2">
      <c r="A246" s="30" t="s">
        <v>207</v>
      </c>
      <c r="B246" s="91" t="s">
        <v>270</v>
      </c>
      <c r="C246" s="92" t="s">
        <v>274</v>
      </c>
      <c r="D246" s="49" t="s">
        <v>190</v>
      </c>
      <c r="E246" s="49" t="s">
        <v>190</v>
      </c>
      <c r="F246" s="49" t="s">
        <v>190</v>
      </c>
      <c r="G246" s="49" t="s">
        <v>190</v>
      </c>
      <c r="H246" s="49" t="s">
        <v>190</v>
      </c>
      <c r="I246" s="49" t="s">
        <v>190</v>
      </c>
      <c r="J246" s="50" t="s">
        <v>190</v>
      </c>
      <c r="K246" s="50" t="s">
        <v>190</v>
      </c>
      <c r="L246" s="65">
        <v>6.0999999999999999E-2</v>
      </c>
      <c r="M246" s="65">
        <v>5.5999999999999994E-2</v>
      </c>
      <c r="N246" s="65">
        <v>5.0999999999999997E-2</v>
      </c>
      <c r="O246" s="65">
        <v>5.4000000000000006E-2</v>
      </c>
      <c r="P246" s="65">
        <v>4.9000000000000002E-2</v>
      </c>
      <c r="Q246" s="65">
        <v>4.0999999999999995E-2</v>
      </c>
      <c r="R246" s="65">
        <v>4.2999999999999997E-2</v>
      </c>
      <c r="S246" s="65">
        <v>4.7E-2</v>
      </c>
      <c r="T246" s="65">
        <v>5.0999999999999997E-2</v>
      </c>
      <c r="U246" s="65">
        <v>6.3E-2</v>
      </c>
      <c r="V246" s="65">
        <v>7.6999999999999999E-2</v>
      </c>
      <c r="W246" s="117" t="s">
        <v>344</v>
      </c>
      <c r="X246" s="117" t="s">
        <v>344</v>
      </c>
    </row>
    <row r="247" spans="1:24" x14ac:dyDescent="0.2">
      <c r="A247" s="30" t="s">
        <v>207</v>
      </c>
      <c r="B247" s="91" t="s">
        <v>270</v>
      </c>
      <c r="C247" s="92" t="s">
        <v>275</v>
      </c>
      <c r="D247" s="49" t="s">
        <v>190</v>
      </c>
      <c r="E247" s="49" t="s">
        <v>190</v>
      </c>
      <c r="F247" s="49" t="s">
        <v>190</v>
      </c>
      <c r="G247" s="49" t="s">
        <v>190</v>
      </c>
      <c r="H247" s="49" t="s">
        <v>190</v>
      </c>
      <c r="I247" s="49" t="s">
        <v>190</v>
      </c>
      <c r="J247" s="50" t="s">
        <v>190</v>
      </c>
      <c r="K247" s="50" t="s">
        <v>190</v>
      </c>
      <c r="L247" s="65">
        <v>5.4000000000000006E-2</v>
      </c>
      <c r="M247" s="65">
        <v>0.06</v>
      </c>
      <c r="N247" s="65">
        <v>4.5999999999999999E-2</v>
      </c>
      <c r="O247" s="65">
        <v>5.5E-2</v>
      </c>
      <c r="P247" s="65">
        <v>5.0999999999999997E-2</v>
      </c>
      <c r="Q247" s="65">
        <v>5.0999999999999997E-2</v>
      </c>
      <c r="R247" s="65">
        <v>5.5999999999999994E-2</v>
      </c>
      <c r="S247" s="65">
        <v>6.7000000000000004E-2</v>
      </c>
      <c r="T247" s="65" t="s">
        <v>256</v>
      </c>
      <c r="U247" s="65" t="s">
        <v>256</v>
      </c>
      <c r="V247" s="65" t="s">
        <v>256</v>
      </c>
      <c r="W247" s="117" t="s">
        <v>344</v>
      </c>
      <c r="X247" s="117" t="s">
        <v>344</v>
      </c>
    </row>
    <row r="248" spans="1:24" x14ac:dyDescent="0.2">
      <c r="A248" s="30" t="s">
        <v>207</v>
      </c>
      <c r="B248" s="91" t="s">
        <v>270</v>
      </c>
      <c r="C248" s="92" t="s">
        <v>276</v>
      </c>
      <c r="D248" s="49" t="s">
        <v>190</v>
      </c>
      <c r="E248" s="49" t="s">
        <v>190</v>
      </c>
      <c r="F248" s="49" t="s">
        <v>190</v>
      </c>
      <c r="G248" s="49" t="s">
        <v>190</v>
      </c>
      <c r="H248" s="49" t="s">
        <v>190</v>
      </c>
      <c r="I248" s="49" t="s">
        <v>190</v>
      </c>
      <c r="J248" s="50" t="s">
        <v>190</v>
      </c>
      <c r="K248" s="50" t="s">
        <v>190</v>
      </c>
      <c r="L248" s="65" t="s">
        <v>256</v>
      </c>
      <c r="M248" s="65" t="s">
        <v>256</v>
      </c>
      <c r="N248" s="65" t="s">
        <v>256</v>
      </c>
      <c r="O248" s="65" t="s">
        <v>256</v>
      </c>
      <c r="P248" s="65" t="s">
        <v>256</v>
      </c>
      <c r="Q248" s="65" t="s">
        <v>208</v>
      </c>
      <c r="R248" s="65" t="s">
        <v>256</v>
      </c>
      <c r="S248" s="65" t="s">
        <v>208</v>
      </c>
      <c r="T248" s="65" t="s">
        <v>208</v>
      </c>
      <c r="U248" s="65" t="s">
        <v>208</v>
      </c>
      <c r="V248" s="65" t="s">
        <v>208</v>
      </c>
      <c r="W248" s="117" t="s">
        <v>344</v>
      </c>
      <c r="X248" s="117" t="s">
        <v>344</v>
      </c>
    </row>
    <row r="249" spans="1:24" x14ac:dyDescent="0.2">
      <c r="A249" s="30" t="s">
        <v>207</v>
      </c>
      <c r="B249" s="91" t="s">
        <v>270</v>
      </c>
      <c r="C249" s="92" t="s">
        <v>277</v>
      </c>
      <c r="D249" s="49" t="s">
        <v>190</v>
      </c>
      <c r="E249" s="49" t="s">
        <v>190</v>
      </c>
      <c r="F249" s="49" t="s">
        <v>190</v>
      </c>
      <c r="G249" s="49" t="s">
        <v>190</v>
      </c>
      <c r="H249" s="49" t="s">
        <v>190</v>
      </c>
      <c r="I249" s="49" t="s">
        <v>190</v>
      </c>
      <c r="J249" s="50" t="s">
        <v>190</v>
      </c>
      <c r="K249" s="50" t="s">
        <v>190</v>
      </c>
      <c r="L249" s="65">
        <v>6.4000000000000001E-2</v>
      </c>
      <c r="M249" s="65">
        <v>6.2E-2</v>
      </c>
      <c r="N249" s="65">
        <v>6.0999999999999999E-2</v>
      </c>
      <c r="O249" s="65">
        <v>5.5999999999999994E-2</v>
      </c>
      <c r="P249" s="65">
        <v>0.05</v>
      </c>
      <c r="Q249" s="65">
        <v>6.9000000000000006E-2</v>
      </c>
      <c r="R249" s="65">
        <v>8.8000000000000009E-2</v>
      </c>
      <c r="S249" s="65">
        <v>0.107</v>
      </c>
      <c r="T249" s="65">
        <v>0.12</v>
      </c>
      <c r="U249" s="65">
        <v>0.14899999999999999</v>
      </c>
      <c r="V249" s="65">
        <v>0.15</v>
      </c>
      <c r="W249" s="117" t="s">
        <v>344</v>
      </c>
      <c r="X249" s="117" t="s">
        <v>344</v>
      </c>
    </row>
    <row r="250" spans="1:24" x14ac:dyDescent="0.2">
      <c r="A250" s="30" t="s">
        <v>207</v>
      </c>
      <c r="B250" s="91" t="s">
        <v>270</v>
      </c>
      <c r="C250" s="92" t="s">
        <v>278</v>
      </c>
      <c r="D250" s="49" t="s">
        <v>190</v>
      </c>
      <c r="E250" s="49" t="s">
        <v>190</v>
      </c>
      <c r="F250" s="49" t="s">
        <v>190</v>
      </c>
      <c r="G250" s="49" t="s">
        <v>190</v>
      </c>
      <c r="H250" s="49" t="s">
        <v>190</v>
      </c>
      <c r="I250" s="49" t="s">
        <v>190</v>
      </c>
      <c r="J250" s="50" t="s">
        <v>190</v>
      </c>
      <c r="K250" s="50" t="s">
        <v>190</v>
      </c>
      <c r="L250" s="65" t="s">
        <v>256</v>
      </c>
      <c r="M250" s="65" t="s">
        <v>208</v>
      </c>
      <c r="N250" s="65" t="s">
        <v>256</v>
      </c>
      <c r="O250" s="65" t="s">
        <v>208</v>
      </c>
      <c r="P250" s="65" t="s">
        <v>256</v>
      </c>
      <c r="Q250" s="65" t="s">
        <v>208</v>
      </c>
      <c r="R250" s="65" t="s">
        <v>208</v>
      </c>
      <c r="S250" s="65" t="s">
        <v>208</v>
      </c>
      <c r="T250" s="65" t="s">
        <v>208</v>
      </c>
      <c r="U250" s="65" t="s">
        <v>208</v>
      </c>
      <c r="V250" s="65" t="s">
        <v>208</v>
      </c>
      <c r="W250" s="117" t="s">
        <v>344</v>
      </c>
      <c r="X250" s="117" t="s">
        <v>344</v>
      </c>
    </row>
    <row r="251" spans="1:24" x14ac:dyDescent="0.2">
      <c r="A251" s="30" t="s">
        <v>207</v>
      </c>
      <c r="B251" s="91" t="s">
        <v>270</v>
      </c>
      <c r="C251" s="92" t="s">
        <v>279</v>
      </c>
      <c r="D251" s="49" t="s">
        <v>190</v>
      </c>
      <c r="E251" s="49" t="s">
        <v>190</v>
      </c>
      <c r="F251" s="49" t="s">
        <v>190</v>
      </c>
      <c r="G251" s="49" t="s">
        <v>190</v>
      </c>
      <c r="H251" s="49" t="s">
        <v>190</v>
      </c>
      <c r="I251" s="49" t="s">
        <v>190</v>
      </c>
      <c r="J251" s="50" t="s">
        <v>190</v>
      </c>
      <c r="K251" s="50" t="s">
        <v>190</v>
      </c>
      <c r="L251" s="65" t="s">
        <v>256</v>
      </c>
      <c r="M251" s="65" t="s">
        <v>256</v>
      </c>
      <c r="N251" s="65" t="s">
        <v>256</v>
      </c>
      <c r="O251" s="65" t="s">
        <v>256</v>
      </c>
      <c r="P251" s="65" t="s">
        <v>256</v>
      </c>
      <c r="Q251" s="65">
        <v>0.12300000000000001</v>
      </c>
      <c r="R251" s="65">
        <v>0.113</v>
      </c>
      <c r="S251" s="65">
        <v>9.6000000000000002E-2</v>
      </c>
      <c r="T251" s="65" t="s">
        <v>256</v>
      </c>
      <c r="U251" s="65" t="s">
        <v>256</v>
      </c>
      <c r="V251" s="65" t="s">
        <v>256</v>
      </c>
      <c r="W251" s="117" t="s">
        <v>344</v>
      </c>
      <c r="X251" s="117" t="s">
        <v>344</v>
      </c>
    </row>
    <row r="252" spans="1:24" ht="34.5" customHeight="1" x14ac:dyDescent="0.2">
      <c r="A252" s="30" t="s">
        <v>207</v>
      </c>
      <c r="B252" s="82" t="s">
        <v>263</v>
      </c>
      <c r="C252" s="9" t="s">
        <v>280</v>
      </c>
      <c r="D252" s="29" t="s">
        <v>190</v>
      </c>
      <c r="E252" s="29" t="s">
        <v>190</v>
      </c>
      <c r="F252" s="29" t="s">
        <v>190</v>
      </c>
      <c r="G252" s="29" t="s">
        <v>190</v>
      </c>
      <c r="H252" s="29" t="s">
        <v>190</v>
      </c>
      <c r="I252" s="29" t="s">
        <v>190</v>
      </c>
      <c r="J252" s="29" t="s">
        <v>190</v>
      </c>
      <c r="K252" s="29" t="s">
        <v>190</v>
      </c>
      <c r="L252" s="29">
        <v>1.3999999999999999E-2</v>
      </c>
      <c r="M252" s="29">
        <v>1.3999999999999999E-2</v>
      </c>
      <c r="N252" s="29">
        <v>1.3999999999999999E-2</v>
      </c>
      <c r="O252" s="29">
        <v>1.4999999999999999E-2</v>
      </c>
      <c r="P252" s="29">
        <v>1.6E-2</v>
      </c>
      <c r="Q252" s="29">
        <v>1.4999999999999999E-2</v>
      </c>
      <c r="R252" s="29">
        <v>1.4999999999999999E-2</v>
      </c>
      <c r="S252" s="29">
        <v>1.4999999999999999E-2</v>
      </c>
      <c r="T252" s="29">
        <v>2.1000000000000001E-2</v>
      </c>
      <c r="U252" s="29">
        <v>2.2000000000000002E-2</v>
      </c>
      <c r="V252" s="65">
        <v>2.2000000000000002E-2</v>
      </c>
      <c r="W252" s="117" t="s">
        <v>344</v>
      </c>
      <c r="X252" s="117" t="s">
        <v>344</v>
      </c>
    </row>
    <row r="253" spans="1:24" x14ac:dyDescent="0.2">
      <c r="A253" s="30" t="s">
        <v>207</v>
      </c>
      <c r="B253" s="82" t="s">
        <v>263</v>
      </c>
      <c r="C253" s="92" t="s">
        <v>264</v>
      </c>
      <c r="D253" s="33" t="s">
        <v>190</v>
      </c>
      <c r="E253" s="33" t="s">
        <v>190</v>
      </c>
      <c r="F253" s="33" t="s">
        <v>190</v>
      </c>
      <c r="G253" s="33" t="s">
        <v>190</v>
      </c>
      <c r="H253" s="33" t="s">
        <v>190</v>
      </c>
      <c r="I253" s="33" t="s">
        <v>190</v>
      </c>
      <c r="J253" s="29" t="s">
        <v>190</v>
      </c>
      <c r="K253" s="29" t="s">
        <v>190</v>
      </c>
      <c r="L253" s="29">
        <v>1.2E-2</v>
      </c>
      <c r="M253" s="29">
        <v>1.2E-2</v>
      </c>
      <c r="N253" s="29">
        <v>1.2E-2</v>
      </c>
      <c r="O253" s="29">
        <v>1.2E-2</v>
      </c>
      <c r="P253" s="29">
        <v>1.3000000000000001E-2</v>
      </c>
      <c r="Q253" s="29">
        <v>1.3000000000000001E-2</v>
      </c>
      <c r="R253" s="29">
        <v>1.3000000000000001E-2</v>
      </c>
      <c r="S253" s="29">
        <v>1.3000000000000001E-2</v>
      </c>
      <c r="T253" s="29">
        <v>1.7000000000000001E-2</v>
      </c>
      <c r="U253" s="29">
        <v>1.9E-2</v>
      </c>
      <c r="V253" s="65">
        <v>1.9E-2</v>
      </c>
      <c r="W253" s="117" t="s">
        <v>344</v>
      </c>
      <c r="X253" s="117" t="s">
        <v>344</v>
      </c>
    </row>
    <row r="254" spans="1:24" x14ac:dyDescent="0.2">
      <c r="A254" s="30" t="s">
        <v>207</v>
      </c>
      <c r="B254" s="82" t="s">
        <v>263</v>
      </c>
      <c r="C254" s="92" t="s">
        <v>265</v>
      </c>
      <c r="D254" s="33" t="s">
        <v>190</v>
      </c>
      <c r="E254" s="33" t="s">
        <v>190</v>
      </c>
      <c r="F254" s="33" t="s">
        <v>190</v>
      </c>
      <c r="G254" s="33" t="s">
        <v>190</v>
      </c>
      <c r="H254" s="33" t="s">
        <v>190</v>
      </c>
      <c r="I254" s="33" t="s">
        <v>190</v>
      </c>
      <c r="J254" s="29" t="s">
        <v>190</v>
      </c>
      <c r="K254" s="29" t="s">
        <v>190</v>
      </c>
      <c r="L254" s="29">
        <v>1.1000000000000001E-2</v>
      </c>
      <c r="M254" s="29">
        <v>1.1000000000000001E-2</v>
      </c>
      <c r="N254" s="29">
        <v>1.1000000000000001E-2</v>
      </c>
      <c r="O254" s="29">
        <v>1.1000000000000001E-2</v>
      </c>
      <c r="P254" s="29">
        <v>1.2E-2</v>
      </c>
      <c r="Q254" s="29">
        <v>1.2E-2</v>
      </c>
      <c r="R254" s="29">
        <v>1.2E-2</v>
      </c>
      <c r="S254" s="29">
        <v>1.2E-2</v>
      </c>
      <c r="T254" s="29">
        <v>1.3999999999999999E-2</v>
      </c>
      <c r="U254" s="29">
        <v>1.6E-2</v>
      </c>
      <c r="V254" s="65">
        <v>1.6E-2</v>
      </c>
      <c r="W254" s="117" t="s">
        <v>344</v>
      </c>
      <c r="X254" s="117" t="s">
        <v>344</v>
      </c>
    </row>
    <row r="255" spans="1:24" x14ac:dyDescent="0.2">
      <c r="A255" s="30" t="s">
        <v>207</v>
      </c>
      <c r="B255" s="82" t="s">
        <v>263</v>
      </c>
      <c r="C255" s="92" t="s">
        <v>266</v>
      </c>
      <c r="D255" s="29" t="s">
        <v>190</v>
      </c>
      <c r="E255" s="29" t="s">
        <v>190</v>
      </c>
      <c r="F255" s="29" t="s">
        <v>190</v>
      </c>
      <c r="G255" s="29" t="s">
        <v>190</v>
      </c>
      <c r="H255" s="29" t="s">
        <v>190</v>
      </c>
      <c r="I255" s="29" t="s">
        <v>190</v>
      </c>
      <c r="J255" s="29" t="s">
        <v>190</v>
      </c>
      <c r="K255" s="29" t="s">
        <v>190</v>
      </c>
      <c r="L255" s="29">
        <v>0.01</v>
      </c>
      <c r="M255" s="29">
        <v>0.01</v>
      </c>
      <c r="N255" s="29">
        <v>0.01</v>
      </c>
      <c r="O255" s="29">
        <v>1.1000000000000001E-2</v>
      </c>
      <c r="P255" s="29">
        <v>1.1000000000000001E-2</v>
      </c>
      <c r="Q255" s="29">
        <v>1.1000000000000001E-2</v>
      </c>
      <c r="R255" s="29">
        <v>1.1000000000000001E-2</v>
      </c>
      <c r="S255" s="29">
        <v>1.2E-2</v>
      </c>
      <c r="T255" s="29">
        <v>1.3999999999999999E-2</v>
      </c>
      <c r="U255" s="29">
        <v>1.4999999999999999E-2</v>
      </c>
      <c r="V255" s="65">
        <v>1.4999999999999999E-2</v>
      </c>
      <c r="W255" s="117" t="s">
        <v>344</v>
      </c>
      <c r="X255" s="117" t="s">
        <v>344</v>
      </c>
    </row>
    <row r="256" spans="1:24" x14ac:dyDescent="0.2">
      <c r="A256" s="30" t="s">
        <v>207</v>
      </c>
      <c r="B256" s="82" t="s">
        <v>263</v>
      </c>
      <c r="C256" s="92" t="s">
        <v>281</v>
      </c>
      <c r="D256" s="33" t="s">
        <v>190</v>
      </c>
      <c r="E256" s="33" t="s">
        <v>190</v>
      </c>
      <c r="F256" s="33" t="s">
        <v>190</v>
      </c>
      <c r="G256" s="33" t="s">
        <v>190</v>
      </c>
      <c r="H256" s="33" t="s">
        <v>190</v>
      </c>
      <c r="I256" s="33" t="s">
        <v>190</v>
      </c>
      <c r="J256" s="29" t="s">
        <v>190</v>
      </c>
      <c r="K256" s="29" t="s">
        <v>190</v>
      </c>
      <c r="L256" s="29">
        <v>1.1000000000000001E-2</v>
      </c>
      <c r="M256" s="29">
        <v>1.1000000000000001E-2</v>
      </c>
      <c r="N256" s="29">
        <v>1.1000000000000001E-2</v>
      </c>
      <c r="O256" s="29">
        <v>1.1000000000000001E-2</v>
      </c>
      <c r="P256" s="29">
        <v>1.2E-2</v>
      </c>
      <c r="Q256" s="29">
        <v>1.2E-2</v>
      </c>
      <c r="R256" s="29">
        <v>1.2E-2</v>
      </c>
      <c r="S256" s="29">
        <v>1.2E-2</v>
      </c>
      <c r="T256" s="29">
        <v>1.3999999999999999E-2</v>
      </c>
      <c r="U256" s="29">
        <v>1.4999999999999999E-2</v>
      </c>
      <c r="V256" s="65">
        <v>1.4999999999999999E-2</v>
      </c>
      <c r="W256" s="117" t="s">
        <v>344</v>
      </c>
      <c r="X256" s="117" t="s">
        <v>344</v>
      </c>
    </row>
  </sheetData>
  <phoneticPr fontId="44" type="noConversion"/>
  <hyperlinks>
    <hyperlink ref="A11" location="Contents!A1" display="This cell contains a hyperlink to the Table of Contents" xr:uid="{00000000-0004-0000-1200-000000000000}"/>
    <hyperlink ref="A8" r:id="rId1" xr:uid="{05DEE2CD-1396-4ED5-9714-1B1063441B3F}"/>
    <hyperlink ref="A9" r:id="rId2" display="Further data available by gender, age, work pattern, employment type, broad industrial group and qualification from Nomis. This link opens in a new window." xr:uid="{809A2B7C-A23B-40CE-BCF7-01601E531E27}"/>
  </hyperlinks>
  <pageMargins left="0.7" right="0.7" top="0.75" bottom="0.75" header="0.3" footer="0.3"/>
  <pageSetup paperSize="9" scale="17" orientation="portrait"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J138"/>
  <sheetViews>
    <sheetView showGridLines="0" zoomScaleNormal="100" workbookViewId="0"/>
  </sheetViews>
  <sheetFormatPr defaultColWidth="9.140625" defaultRowHeight="15" x14ac:dyDescent="0.2"/>
  <cols>
    <col min="1" max="1" width="59" style="13" customWidth="1"/>
    <col min="2" max="2" width="51.140625" style="9" customWidth="1"/>
    <col min="3" max="4" width="13.85546875" style="9" bestFit="1" customWidth="1"/>
    <col min="5" max="6" width="13.42578125" style="9" bestFit="1" customWidth="1"/>
    <col min="7" max="7" width="13.85546875" style="9" bestFit="1" customWidth="1"/>
    <col min="8" max="9" width="13.42578125" style="9" bestFit="1" customWidth="1"/>
    <col min="10" max="12" width="13.85546875" style="9" bestFit="1" customWidth="1"/>
    <col min="13" max="13" width="12.5703125" style="9" bestFit="1" customWidth="1"/>
    <col min="14" max="16" width="13.85546875" style="9" bestFit="1" customWidth="1"/>
    <col min="17" max="17" width="13.42578125" style="9" bestFit="1" customWidth="1"/>
    <col min="18" max="18" width="13.85546875" style="9" bestFit="1" customWidth="1"/>
    <col min="19" max="19" width="12.85546875" style="9" bestFit="1" customWidth="1"/>
    <col min="20" max="20" width="13.42578125" style="9" bestFit="1" customWidth="1"/>
    <col min="21" max="21" width="13.85546875" style="9" bestFit="1" customWidth="1"/>
    <col min="22" max="22" width="13.85546875" style="14" bestFit="1" customWidth="1"/>
    <col min="23" max="24" width="13.42578125" style="14" bestFit="1" customWidth="1"/>
    <col min="25" max="25" width="12.85546875" style="14" bestFit="1" customWidth="1"/>
    <col min="26" max="26" width="13.42578125" style="14" bestFit="1" customWidth="1"/>
    <col min="27" max="27" width="13.85546875" style="14" bestFit="1" customWidth="1"/>
    <col min="28" max="28" width="12.85546875" style="14" bestFit="1" customWidth="1"/>
    <col min="29" max="31" width="13.85546875" style="14" bestFit="1" customWidth="1"/>
    <col min="32" max="33" width="13.85546875" style="13" bestFit="1" customWidth="1"/>
    <col min="34" max="34" width="13.28515625" style="13" customWidth="1"/>
    <col min="35" max="35" width="14.5703125" style="13" bestFit="1" customWidth="1"/>
    <col min="36" max="36" width="13.7109375" style="13" customWidth="1"/>
    <col min="37" max="16384" width="9.140625" style="13"/>
  </cols>
  <sheetData>
    <row r="1" spans="1:36" ht="20.25" x14ac:dyDescent="0.3">
      <c r="A1" s="22" t="s">
        <v>380</v>
      </c>
      <c r="B1" s="13"/>
      <c r="C1" s="13"/>
      <c r="D1" s="13"/>
      <c r="E1" s="13"/>
      <c r="F1" s="13"/>
      <c r="G1" s="13"/>
      <c r="H1" s="13"/>
      <c r="I1" s="13"/>
      <c r="J1" s="13"/>
      <c r="K1" s="13"/>
      <c r="L1" s="13"/>
      <c r="M1" s="13"/>
      <c r="N1" s="13"/>
      <c r="O1" s="13"/>
      <c r="P1" s="13"/>
      <c r="Q1" s="13"/>
      <c r="R1" s="13"/>
      <c r="S1" s="13"/>
      <c r="T1" s="13"/>
      <c r="U1" s="13"/>
      <c r="AB1" s="14" t="s">
        <v>0</v>
      </c>
    </row>
    <row r="2" spans="1:36" x14ac:dyDescent="0.2">
      <c r="A2" s="38" t="s">
        <v>152</v>
      </c>
      <c r="B2" s="13"/>
      <c r="C2" s="13"/>
      <c r="D2" s="13"/>
      <c r="E2" s="13"/>
      <c r="F2" s="13"/>
      <c r="G2" s="13"/>
      <c r="H2" s="13"/>
      <c r="I2" s="13"/>
      <c r="J2" s="13"/>
      <c r="K2" s="13"/>
      <c r="L2" s="13"/>
      <c r="M2" s="13"/>
      <c r="N2" s="13"/>
      <c r="O2" s="13"/>
      <c r="P2" s="13"/>
      <c r="Q2" s="13"/>
      <c r="R2" s="13"/>
      <c r="S2" s="13"/>
      <c r="T2" s="13"/>
      <c r="U2" s="13"/>
    </row>
    <row r="3" spans="1:36" x14ac:dyDescent="0.2">
      <c r="A3" s="38" t="s">
        <v>235</v>
      </c>
      <c r="B3" s="13"/>
      <c r="C3" s="13"/>
      <c r="D3" s="13"/>
      <c r="E3" s="13"/>
      <c r="F3" s="13"/>
      <c r="G3" s="13"/>
      <c r="H3" s="13"/>
      <c r="I3" s="13"/>
      <c r="J3" s="13"/>
      <c r="K3" s="13"/>
      <c r="L3" s="13"/>
      <c r="M3" s="13"/>
      <c r="N3" s="13"/>
      <c r="O3" s="13"/>
      <c r="P3" s="13"/>
      <c r="Q3" s="13"/>
      <c r="R3" s="13"/>
      <c r="S3" s="13"/>
      <c r="T3" s="13"/>
      <c r="U3" s="13"/>
    </row>
    <row r="4" spans="1:36" x14ac:dyDescent="0.2">
      <c r="A4" s="38" t="s">
        <v>297</v>
      </c>
      <c r="B4" s="13"/>
      <c r="C4" s="13"/>
      <c r="D4" s="13"/>
      <c r="E4" s="13"/>
      <c r="F4" s="13"/>
      <c r="G4" s="13"/>
      <c r="H4" s="13"/>
      <c r="I4" s="13"/>
      <c r="J4" s="13"/>
      <c r="K4" s="13"/>
      <c r="L4" s="13"/>
      <c r="M4" s="13"/>
      <c r="N4" s="13"/>
      <c r="O4" s="13"/>
      <c r="P4" s="13"/>
      <c r="Q4" s="13"/>
      <c r="R4" s="13"/>
      <c r="S4" s="13"/>
      <c r="T4" s="13"/>
      <c r="U4" s="13"/>
    </row>
    <row r="5" spans="1:36" x14ac:dyDescent="0.2">
      <c r="A5" s="38" t="s">
        <v>302</v>
      </c>
      <c r="B5" s="13"/>
      <c r="C5" s="13"/>
      <c r="D5" s="13"/>
      <c r="E5" s="13"/>
      <c r="F5" s="13"/>
      <c r="G5" s="13"/>
      <c r="H5" s="13"/>
      <c r="I5" s="13"/>
      <c r="J5" s="13"/>
      <c r="K5" s="13"/>
      <c r="L5" s="13"/>
      <c r="M5" s="13"/>
      <c r="N5" s="13"/>
      <c r="O5" s="13"/>
      <c r="P5" s="13"/>
      <c r="Q5" s="13"/>
      <c r="R5" s="13"/>
      <c r="S5" s="13"/>
      <c r="T5" s="13"/>
      <c r="U5" s="13"/>
    </row>
    <row r="6" spans="1:36" x14ac:dyDescent="0.2">
      <c r="A6" s="38" t="s">
        <v>195</v>
      </c>
      <c r="B6" s="13"/>
      <c r="C6" s="13"/>
      <c r="D6" s="13"/>
      <c r="E6" s="13"/>
      <c r="F6" s="13"/>
      <c r="G6" s="13"/>
      <c r="H6" s="13"/>
      <c r="I6" s="13"/>
      <c r="J6" s="13"/>
      <c r="K6" s="13"/>
      <c r="L6" s="13"/>
      <c r="M6" s="13"/>
      <c r="N6" s="13"/>
      <c r="O6" s="13"/>
      <c r="P6" s="13"/>
      <c r="Q6" s="13"/>
      <c r="R6" s="13"/>
      <c r="S6" s="13"/>
      <c r="T6" s="13"/>
      <c r="U6" s="13"/>
    </row>
    <row r="7" spans="1:36" x14ac:dyDescent="0.2">
      <c r="A7" s="38" t="s">
        <v>359</v>
      </c>
      <c r="B7" s="13"/>
      <c r="C7" s="13"/>
      <c r="D7" s="13"/>
      <c r="E7" s="13"/>
      <c r="F7" s="13"/>
      <c r="G7" s="13"/>
      <c r="H7" s="13"/>
      <c r="I7" s="13"/>
      <c r="J7" s="13"/>
      <c r="K7" s="13"/>
      <c r="L7" s="13"/>
      <c r="M7" s="13"/>
      <c r="N7" s="13"/>
      <c r="O7" s="13"/>
      <c r="P7" s="13"/>
      <c r="Q7" s="13"/>
      <c r="R7" s="13"/>
      <c r="S7" s="13"/>
      <c r="T7" s="13"/>
      <c r="U7" s="13"/>
    </row>
    <row r="8" spans="1:36" x14ac:dyDescent="0.2">
      <c r="A8" s="38" t="s">
        <v>196</v>
      </c>
      <c r="B8" s="13"/>
      <c r="C8" s="13"/>
      <c r="D8" s="13"/>
      <c r="E8" s="13"/>
      <c r="F8" s="13"/>
      <c r="G8" s="13"/>
      <c r="H8" s="13"/>
      <c r="I8" s="13"/>
      <c r="J8" s="13"/>
      <c r="K8" s="13"/>
      <c r="L8" s="13"/>
      <c r="M8" s="13"/>
      <c r="N8" s="13"/>
      <c r="O8" s="13"/>
      <c r="P8" s="13"/>
      <c r="Q8" s="13"/>
      <c r="R8" s="13"/>
      <c r="S8" s="13"/>
      <c r="T8" s="13"/>
      <c r="U8" s="13"/>
    </row>
    <row r="9" spans="1:36" ht="15" customHeight="1" x14ac:dyDescent="0.2">
      <c r="A9" s="134" t="s">
        <v>360</v>
      </c>
      <c r="B9" s="13"/>
      <c r="C9" s="13"/>
      <c r="D9" s="13"/>
      <c r="E9" s="13"/>
      <c r="F9" s="13"/>
      <c r="G9" s="13"/>
      <c r="H9" s="13"/>
      <c r="I9" s="13"/>
      <c r="J9" s="13"/>
      <c r="K9" s="13"/>
      <c r="L9" s="13"/>
      <c r="M9" s="13"/>
      <c r="N9" s="13"/>
      <c r="O9" s="13"/>
      <c r="P9" s="13"/>
      <c r="Q9" s="13"/>
      <c r="R9" s="13"/>
      <c r="S9" s="13"/>
      <c r="T9" s="13"/>
      <c r="U9" s="13"/>
    </row>
    <row r="10" spans="1:36" x14ac:dyDescent="0.2">
      <c r="A10" s="134" t="s">
        <v>345</v>
      </c>
      <c r="B10" s="13"/>
      <c r="C10" s="13"/>
      <c r="D10" s="13"/>
      <c r="E10" s="13"/>
      <c r="F10" s="13"/>
      <c r="G10" s="13"/>
      <c r="H10" s="13"/>
      <c r="I10" s="13"/>
      <c r="J10" s="13"/>
      <c r="K10" s="13"/>
      <c r="L10" s="13"/>
      <c r="M10" s="13"/>
      <c r="N10" s="13"/>
      <c r="O10" s="13"/>
      <c r="P10" s="13"/>
      <c r="Q10" s="13"/>
      <c r="R10" s="13"/>
      <c r="S10" s="13"/>
      <c r="T10" s="13"/>
      <c r="U10" s="13"/>
    </row>
    <row r="11" spans="1:36" ht="15.75" x14ac:dyDescent="0.25">
      <c r="A11" s="136" t="s">
        <v>347</v>
      </c>
      <c r="B11" s="13"/>
      <c r="C11"/>
      <c r="D11"/>
      <c r="E11"/>
      <c r="F11"/>
      <c r="G11"/>
      <c r="H11"/>
      <c r="I11"/>
      <c r="J11"/>
      <c r="K11"/>
      <c r="L11"/>
      <c r="M11"/>
      <c r="N11"/>
      <c r="O11"/>
      <c r="P11"/>
      <c r="Q11"/>
      <c r="R11"/>
      <c r="S11"/>
      <c r="T11"/>
      <c r="U11"/>
      <c r="V11"/>
      <c r="W11"/>
      <c r="X11"/>
      <c r="Y11"/>
      <c r="Z11"/>
      <c r="AA11"/>
      <c r="AB11"/>
      <c r="AC11"/>
      <c r="AD11"/>
      <c r="AE11"/>
      <c r="AF11"/>
      <c r="AG11"/>
      <c r="AH11"/>
    </row>
    <row r="12" spans="1:36" ht="15.75" x14ac:dyDescent="0.25">
      <c r="A12" s="134" t="s">
        <v>343</v>
      </c>
      <c r="B12" s="13"/>
      <c r="C12"/>
      <c r="D12"/>
      <c r="E12"/>
      <c r="F12"/>
      <c r="G12"/>
      <c r="H12"/>
      <c r="I12"/>
      <c r="J12"/>
      <c r="K12"/>
      <c r="L12"/>
      <c r="M12"/>
      <c r="N12"/>
      <c r="O12"/>
      <c r="P12"/>
      <c r="Q12"/>
      <c r="R12"/>
      <c r="S12"/>
      <c r="T12"/>
      <c r="U12"/>
      <c r="V12"/>
      <c r="W12"/>
      <c r="X12"/>
      <c r="Y12"/>
      <c r="Z12"/>
      <c r="AA12"/>
      <c r="AB12"/>
      <c r="AC12"/>
      <c r="AD12"/>
      <c r="AE12"/>
      <c r="AF12"/>
      <c r="AG12"/>
      <c r="AH12"/>
    </row>
    <row r="13" spans="1:36" x14ac:dyDescent="0.2">
      <c r="A13" s="135" t="s">
        <v>315</v>
      </c>
      <c r="B13" s="13"/>
      <c r="C13" s="155"/>
      <c r="D13" s="155"/>
      <c r="E13" s="155"/>
      <c r="F13" s="155"/>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5"/>
      <c r="AE13" s="155"/>
      <c r="AF13" s="155"/>
      <c r="AG13" s="155"/>
      <c r="AH13" s="155"/>
      <c r="AI13" s="155"/>
      <c r="AJ13" s="155"/>
    </row>
    <row r="14" spans="1:36" s="27" customFormat="1" x14ac:dyDescent="0.25">
      <c r="A14" s="26" t="s">
        <v>154</v>
      </c>
      <c r="C14" s="157"/>
      <c r="D14" s="157"/>
      <c r="E14" s="157"/>
      <c r="F14" s="157"/>
      <c r="G14" s="157"/>
      <c r="H14" s="157"/>
      <c r="I14" s="157"/>
      <c r="J14" s="157"/>
      <c r="K14" s="157"/>
      <c r="L14" s="157"/>
      <c r="M14" s="157"/>
      <c r="N14" s="157"/>
      <c r="O14" s="157"/>
      <c r="P14" s="157"/>
      <c r="Q14" s="157"/>
      <c r="R14" s="157"/>
      <c r="S14" s="157"/>
      <c r="T14" s="157"/>
      <c r="U14" s="157"/>
      <c r="V14" s="157"/>
      <c r="W14" s="157"/>
      <c r="X14" s="157"/>
      <c r="Y14" s="157"/>
      <c r="Z14" s="157"/>
      <c r="AA14" s="157"/>
      <c r="AB14" s="157"/>
      <c r="AC14" s="157"/>
      <c r="AD14" s="157"/>
      <c r="AE14" s="157"/>
      <c r="AF14" s="157"/>
      <c r="AG14" s="157"/>
      <c r="AH14" s="157"/>
      <c r="AI14" s="157"/>
      <c r="AJ14" s="157"/>
    </row>
    <row r="15" spans="1:36" s="27" customFormat="1" ht="30" customHeight="1" x14ac:dyDescent="0.25">
      <c r="A15" s="35" t="s">
        <v>232</v>
      </c>
      <c r="C15" s="156"/>
      <c r="D15" s="156"/>
      <c r="E15" s="156"/>
      <c r="F15" s="156"/>
      <c r="G15" s="156"/>
      <c r="H15" s="156"/>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c r="AJ15" s="156"/>
    </row>
    <row r="16" spans="1:36" ht="15.75" customHeight="1" x14ac:dyDescent="0.25">
      <c r="A16" s="23" t="s">
        <v>156</v>
      </c>
      <c r="B16" s="23" t="s">
        <v>157</v>
      </c>
      <c r="C16" s="24" t="s">
        <v>197</v>
      </c>
      <c r="D16" s="24" t="s">
        <v>198</v>
      </c>
      <c r="E16" s="24" t="s">
        <v>199</v>
      </c>
      <c r="F16" s="24" t="s">
        <v>200</v>
      </c>
      <c r="G16" s="24" t="s">
        <v>201</v>
      </c>
      <c r="H16" s="24" t="s">
        <v>202</v>
      </c>
      <c r="I16" s="24" t="s">
        <v>203</v>
      </c>
      <c r="J16" s="24" t="s">
        <v>158</v>
      </c>
      <c r="K16" s="24" t="s">
        <v>159</v>
      </c>
      <c r="L16" s="24" t="s">
        <v>160</v>
      </c>
      <c r="M16" s="24" t="s">
        <v>161</v>
      </c>
      <c r="N16" s="24" t="s">
        <v>162</v>
      </c>
      <c r="O16" s="24" t="s">
        <v>163</v>
      </c>
      <c r="P16" s="24" t="s">
        <v>164</v>
      </c>
      <c r="Q16" s="24" t="s">
        <v>165</v>
      </c>
      <c r="R16" s="24" t="s">
        <v>166</v>
      </c>
      <c r="S16" s="24" t="s">
        <v>167</v>
      </c>
      <c r="T16" s="24" t="s">
        <v>168</v>
      </c>
      <c r="U16" s="24" t="s">
        <v>169</v>
      </c>
      <c r="V16" s="24" t="s">
        <v>170</v>
      </c>
      <c r="W16" s="24" t="s">
        <v>171</v>
      </c>
      <c r="X16" s="24" t="s">
        <v>172</v>
      </c>
      <c r="Y16" s="24" t="s">
        <v>173</v>
      </c>
      <c r="Z16" s="24" t="s">
        <v>174</v>
      </c>
      <c r="AA16" s="24" t="s">
        <v>175</v>
      </c>
      <c r="AB16" s="24" t="s">
        <v>176</v>
      </c>
      <c r="AC16" s="24" t="s">
        <v>177</v>
      </c>
      <c r="AD16" s="24" t="s">
        <v>123</v>
      </c>
      <c r="AE16" s="25" t="s">
        <v>150</v>
      </c>
      <c r="AF16" s="24" t="s">
        <v>187</v>
      </c>
      <c r="AG16" s="68" t="s">
        <v>189</v>
      </c>
      <c r="AH16" s="121" t="s">
        <v>257</v>
      </c>
      <c r="AI16" s="121" t="s">
        <v>316</v>
      </c>
      <c r="AJ16" s="137" t="s">
        <v>337</v>
      </c>
    </row>
    <row r="17" spans="1:36" x14ac:dyDescent="0.2">
      <c r="A17" s="16" t="s">
        <v>178</v>
      </c>
      <c r="B17" s="17" t="s">
        <v>48</v>
      </c>
      <c r="C17" s="18">
        <v>57438658</v>
      </c>
      <c r="D17" s="18">
        <v>57584530</v>
      </c>
      <c r="E17" s="18">
        <v>57713889</v>
      </c>
      <c r="F17" s="18">
        <v>57862145</v>
      </c>
      <c r="G17" s="18">
        <v>58024799</v>
      </c>
      <c r="H17" s="18">
        <v>58164374</v>
      </c>
      <c r="I17" s="18">
        <v>58314249</v>
      </c>
      <c r="J17" s="18">
        <v>58474943</v>
      </c>
      <c r="K17" s="18">
        <v>58684427</v>
      </c>
      <c r="L17" s="18">
        <v>58886065</v>
      </c>
      <c r="M17" s="18">
        <v>59113016</v>
      </c>
      <c r="N17" s="18">
        <v>59365677</v>
      </c>
      <c r="O17" s="18">
        <v>59636662</v>
      </c>
      <c r="P17" s="18">
        <v>59950364</v>
      </c>
      <c r="Q17" s="18">
        <v>60413276</v>
      </c>
      <c r="R17" s="18">
        <v>60826967</v>
      </c>
      <c r="S17" s="18">
        <v>61319075</v>
      </c>
      <c r="T17" s="18">
        <v>61823772</v>
      </c>
      <c r="U17" s="18">
        <v>62260486</v>
      </c>
      <c r="V17" s="18">
        <v>62759456</v>
      </c>
      <c r="W17" s="18">
        <v>63285145</v>
      </c>
      <c r="X17" s="18">
        <v>63710543</v>
      </c>
      <c r="Y17" s="18">
        <v>64138221</v>
      </c>
      <c r="Z17" s="18">
        <v>64618693</v>
      </c>
      <c r="AA17" s="18">
        <v>65086958</v>
      </c>
      <c r="AB17" s="18">
        <v>65605841</v>
      </c>
      <c r="AC17" s="18">
        <v>65964292</v>
      </c>
      <c r="AD17" s="18">
        <v>66286727</v>
      </c>
      <c r="AE17" s="18">
        <v>66627507</v>
      </c>
      <c r="AF17" s="18">
        <v>66739867</v>
      </c>
      <c r="AG17" s="18">
        <v>66977988</v>
      </c>
      <c r="AH17" s="122">
        <v>67636134</v>
      </c>
      <c r="AI17" s="154">
        <v>68526183</v>
      </c>
      <c r="AJ17" s="122">
        <v>69281437</v>
      </c>
    </row>
    <row r="18" spans="1:36" x14ac:dyDescent="0.2">
      <c r="A18" s="16" t="s">
        <v>178</v>
      </c>
      <c r="B18" s="17" t="s">
        <v>1</v>
      </c>
      <c r="C18" s="18">
        <v>5083330</v>
      </c>
      <c r="D18" s="18">
        <v>5085620</v>
      </c>
      <c r="E18" s="18">
        <v>5092460</v>
      </c>
      <c r="F18" s="18">
        <v>5102210</v>
      </c>
      <c r="G18" s="18">
        <v>5103690</v>
      </c>
      <c r="H18" s="18">
        <v>5092190</v>
      </c>
      <c r="I18" s="18">
        <v>5083340</v>
      </c>
      <c r="J18" s="18">
        <v>5077070</v>
      </c>
      <c r="K18" s="18">
        <v>5071950</v>
      </c>
      <c r="L18" s="18">
        <v>5062940</v>
      </c>
      <c r="M18" s="18">
        <v>5064200</v>
      </c>
      <c r="N18" s="18">
        <v>5066000</v>
      </c>
      <c r="O18" s="18">
        <v>5068500</v>
      </c>
      <c r="P18" s="18">
        <v>5084300</v>
      </c>
      <c r="Q18" s="18">
        <v>5110200</v>
      </c>
      <c r="R18" s="18">
        <v>5133000</v>
      </c>
      <c r="S18" s="18">
        <v>5170000</v>
      </c>
      <c r="T18" s="18">
        <v>5202900</v>
      </c>
      <c r="U18" s="18">
        <v>5231900</v>
      </c>
      <c r="V18" s="18">
        <v>5262200</v>
      </c>
      <c r="W18" s="18">
        <v>5299900</v>
      </c>
      <c r="X18" s="18">
        <v>5308200</v>
      </c>
      <c r="Y18" s="18">
        <v>5316800</v>
      </c>
      <c r="Z18" s="18">
        <v>5331400</v>
      </c>
      <c r="AA18" s="18">
        <v>5350600</v>
      </c>
      <c r="AB18" s="18">
        <v>5373600</v>
      </c>
      <c r="AC18" s="18">
        <v>5388200</v>
      </c>
      <c r="AD18" s="18">
        <v>5392100</v>
      </c>
      <c r="AE18" s="18">
        <v>5411200</v>
      </c>
      <c r="AF18" s="18">
        <v>5408900</v>
      </c>
      <c r="AG18" s="18">
        <v>5412900</v>
      </c>
      <c r="AH18" s="122">
        <v>5447000</v>
      </c>
      <c r="AI18" s="122">
        <v>5506000</v>
      </c>
      <c r="AJ18" s="138">
        <v>5546900</v>
      </c>
    </row>
    <row r="19" spans="1:36" ht="35.450000000000003" customHeight="1" x14ac:dyDescent="0.2">
      <c r="A19" s="17" t="s">
        <v>179</v>
      </c>
      <c r="B19" s="17" t="s">
        <v>35</v>
      </c>
      <c r="C19" s="18">
        <v>429990</v>
      </c>
      <c r="D19" s="18">
        <v>436110</v>
      </c>
      <c r="E19" s="18">
        <v>441350</v>
      </c>
      <c r="F19" s="18">
        <v>445060</v>
      </c>
      <c r="G19" s="18">
        <v>445950</v>
      </c>
      <c r="H19" s="18">
        <v>445340</v>
      </c>
      <c r="I19" s="18">
        <v>443320</v>
      </c>
      <c r="J19" s="18">
        <v>441870</v>
      </c>
      <c r="K19" s="18">
        <v>441870</v>
      </c>
      <c r="L19" s="18">
        <v>440360</v>
      </c>
      <c r="M19" s="18">
        <v>438850</v>
      </c>
      <c r="N19" s="18">
        <v>439510</v>
      </c>
      <c r="O19" s="18">
        <v>440530</v>
      </c>
      <c r="P19" s="18">
        <v>442510</v>
      </c>
      <c r="Q19" s="18">
        <v>446260</v>
      </c>
      <c r="R19" s="18">
        <v>450810</v>
      </c>
      <c r="S19" s="18">
        <v>456860</v>
      </c>
      <c r="T19" s="18">
        <v>460850</v>
      </c>
      <c r="U19" s="18">
        <v>466040</v>
      </c>
      <c r="V19" s="18">
        <v>471160</v>
      </c>
      <c r="W19" s="18">
        <v>476110</v>
      </c>
      <c r="X19" s="18">
        <v>479790</v>
      </c>
      <c r="Y19" s="18">
        <v>483390</v>
      </c>
      <c r="Z19" s="18">
        <v>487520</v>
      </c>
      <c r="AA19" s="18">
        <v>489930</v>
      </c>
      <c r="AB19" s="18">
        <v>488800</v>
      </c>
      <c r="AC19" s="18">
        <v>486810</v>
      </c>
      <c r="AD19" s="18">
        <v>484390</v>
      </c>
      <c r="AE19" s="18">
        <v>484660</v>
      </c>
      <c r="AF19" s="18">
        <v>484220</v>
      </c>
      <c r="AG19" s="18">
        <v>483770</v>
      </c>
      <c r="AH19" s="61">
        <v>488000</v>
      </c>
      <c r="AI19" s="113">
        <v>493970</v>
      </c>
      <c r="AJ19" s="61">
        <v>496860</v>
      </c>
    </row>
    <row r="20" spans="1:36" x14ac:dyDescent="0.2">
      <c r="A20" s="16" t="s">
        <v>179</v>
      </c>
      <c r="B20" s="17" t="s">
        <v>36</v>
      </c>
      <c r="C20" s="18">
        <v>1818920</v>
      </c>
      <c r="D20" s="18">
        <v>1810050</v>
      </c>
      <c r="E20" s="18">
        <v>1802800</v>
      </c>
      <c r="F20" s="18">
        <v>1799070</v>
      </c>
      <c r="G20" s="18">
        <v>1790780</v>
      </c>
      <c r="H20" s="18">
        <v>1781380</v>
      </c>
      <c r="I20" s="18">
        <v>1772240</v>
      </c>
      <c r="J20" s="18">
        <v>1766000</v>
      </c>
      <c r="K20" s="18">
        <v>1758990</v>
      </c>
      <c r="L20" s="18">
        <v>1750610</v>
      </c>
      <c r="M20" s="18">
        <v>1750210</v>
      </c>
      <c r="N20" s="18">
        <v>1748090</v>
      </c>
      <c r="O20" s="18">
        <v>1743650</v>
      </c>
      <c r="P20" s="18">
        <v>1743070</v>
      </c>
      <c r="Q20" s="18">
        <v>1744800</v>
      </c>
      <c r="R20" s="18">
        <v>1745990</v>
      </c>
      <c r="S20" s="18">
        <v>1753530</v>
      </c>
      <c r="T20" s="18">
        <v>1761430</v>
      </c>
      <c r="U20" s="18">
        <v>1769670</v>
      </c>
      <c r="V20" s="18">
        <v>1777300</v>
      </c>
      <c r="W20" s="18">
        <v>1787020</v>
      </c>
      <c r="X20" s="18">
        <v>1788880</v>
      </c>
      <c r="Y20" s="18">
        <v>1788980</v>
      </c>
      <c r="Z20" s="18">
        <v>1792840</v>
      </c>
      <c r="AA20" s="18">
        <v>1798670</v>
      </c>
      <c r="AB20" s="18">
        <v>1809090</v>
      </c>
      <c r="AC20" s="18">
        <v>1816750</v>
      </c>
      <c r="AD20" s="18">
        <v>1822010</v>
      </c>
      <c r="AE20" s="18">
        <v>1831210</v>
      </c>
      <c r="AF20" s="18">
        <v>1831610</v>
      </c>
      <c r="AG20" s="18">
        <v>1831890</v>
      </c>
      <c r="AH20" s="61">
        <v>1847580</v>
      </c>
      <c r="AI20" s="113">
        <v>1875670</v>
      </c>
      <c r="AJ20" s="61">
        <v>1895840</v>
      </c>
    </row>
    <row r="21" spans="1:36" x14ac:dyDescent="0.2">
      <c r="A21" s="16" t="s">
        <v>179</v>
      </c>
      <c r="B21" s="17" t="s">
        <v>37</v>
      </c>
      <c r="C21" s="18">
        <v>1196520</v>
      </c>
      <c r="D21" s="18">
        <v>1197180</v>
      </c>
      <c r="E21" s="18">
        <v>1202190</v>
      </c>
      <c r="F21" s="18">
        <v>1207970</v>
      </c>
      <c r="G21" s="18">
        <v>1213690</v>
      </c>
      <c r="H21" s="18">
        <v>1214230</v>
      </c>
      <c r="I21" s="18">
        <v>1217280</v>
      </c>
      <c r="J21" s="18">
        <v>1220500</v>
      </c>
      <c r="K21" s="18">
        <v>1224530</v>
      </c>
      <c r="L21" s="18">
        <v>1231090</v>
      </c>
      <c r="M21" s="18">
        <v>1235900</v>
      </c>
      <c r="N21" s="18">
        <v>1238080</v>
      </c>
      <c r="O21" s="18">
        <v>1238660</v>
      </c>
      <c r="P21" s="18">
        <v>1244310</v>
      </c>
      <c r="Q21" s="18">
        <v>1252970</v>
      </c>
      <c r="R21" s="18">
        <v>1261110</v>
      </c>
      <c r="S21" s="18">
        <v>1272390</v>
      </c>
      <c r="T21" s="18">
        <v>1282340</v>
      </c>
      <c r="U21" s="18">
        <v>1291520</v>
      </c>
      <c r="V21" s="18">
        <v>1301830</v>
      </c>
      <c r="W21" s="18">
        <v>1315790</v>
      </c>
      <c r="X21" s="18">
        <v>1321260</v>
      </c>
      <c r="Y21" s="18">
        <v>1325570</v>
      </c>
      <c r="Z21" s="18">
        <v>1332220</v>
      </c>
      <c r="AA21" s="18">
        <v>1341540</v>
      </c>
      <c r="AB21" s="18">
        <v>1353460</v>
      </c>
      <c r="AC21" s="18">
        <v>1362300</v>
      </c>
      <c r="AD21" s="18">
        <v>1367940</v>
      </c>
      <c r="AE21" s="18">
        <v>1377060</v>
      </c>
      <c r="AF21" s="18">
        <v>1380300</v>
      </c>
      <c r="AG21" s="18">
        <v>1381570</v>
      </c>
      <c r="AH21" s="61">
        <v>1394010</v>
      </c>
      <c r="AI21" s="113">
        <v>1411040</v>
      </c>
      <c r="AJ21" s="61">
        <v>1423920</v>
      </c>
    </row>
    <row r="22" spans="1:36" x14ac:dyDescent="0.2">
      <c r="A22" s="16" t="s">
        <v>179</v>
      </c>
      <c r="B22" s="17" t="s">
        <v>236</v>
      </c>
      <c r="C22" s="18">
        <v>271530</v>
      </c>
      <c r="D22" s="18">
        <v>271620</v>
      </c>
      <c r="E22" s="18">
        <v>272060</v>
      </c>
      <c r="F22" s="18">
        <v>272850</v>
      </c>
      <c r="G22" s="18">
        <v>273670</v>
      </c>
      <c r="H22" s="18">
        <v>274660</v>
      </c>
      <c r="I22" s="18">
        <v>275950</v>
      </c>
      <c r="J22" s="18">
        <v>276970</v>
      </c>
      <c r="K22" s="18">
        <v>278260</v>
      </c>
      <c r="L22" s="18">
        <v>278980</v>
      </c>
      <c r="M22" s="18">
        <v>279540</v>
      </c>
      <c r="N22" s="18">
        <v>280690</v>
      </c>
      <c r="O22" s="18">
        <v>282030</v>
      </c>
      <c r="P22" s="18">
        <v>283900</v>
      </c>
      <c r="Q22" s="18">
        <v>286800</v>
      </c>
      <c r="R22" s="18">
        <v>288720</v>
      </c>
      <c r="S22" s="18">
        <v>291350</v>
      </c>
      <c r="T22" s="18">
        <v>293020</v>
      </c>
      <c r="U22" s="18">
        <v>294190</v>
      </c>
      <c r="V22" s="18">
        <v>296010</v>
      </c>
      <c r="W22" s="18">
        <v>298080</v>
      </c>
      <c r="X22" s="18">
        <v>298390</v>
      </c>
      <c r="Y22" s="18">
        <v>298550</v>
      </c>
      <c r="Z22" s="18">
        <v>298810</v>
      </c>
      <c r="AA22" s="18">
        <v>300330</v>
      </c>
      <c r="AB22" s="18">
        <v>301800</v>
      </c>
      <c r="AC22" s="18">
        <v>302650</v>
      </c>
      <c r="AD22" s="18">
        <v>302570</v>
      </c>
      <c r="AE22" s="18">
        <v>303290</v>
      </c>
      <c r="AF22" s="18">
        <v>302480</v>
      </c>
      <c r="AG22" s="18">
        <v>301830</v>
      </c>
      <c r="AH22" s="61">
        <v>302810</v>
      </c>
      <c r="AI22" s="113">
        <v>304580</v>
      </c>
      <c r="AJ22" s="61">
        <v>306340</v>
      </c>
    </row>
    <row r="23" spans="1:36" x14ac:dyDescent="0.2">
      <c r="A23" s="16" t="s">
        <v>179</v>
      </c>
      <c r="B23" s="17" t="s">
        <v>38</v>
      </c>
      <c r="C23" s="18">
        <v>738680</v>
      </c>
      <c r="D23" s="18">
        <v>742070</v>
      </c>
      <c r="E23" s="18">
        <v>744740</v>
      </c>
      <c r="F23" s="18">
        <v>746170</v>
      </c>
      <c r="G23" s="18">
        <v>746960</v>
      </c>
      <c r="H23" s="18">
        <v>743330</v>
      </c>
      <c r="I23" s="18">
        <v>741870</v>
      </c>
      <c r="J23" s="18">
        <v>740590</v>
      </c>
      <c r="K23" s="18">
        <v>739760</v>
      </c>
      <c r="L23" s="18">
        <v>738770</v>
      </c>
      <c r="M23" s="18">
        <v>738550</v>
      </c>
      <c r="N23" s="18">
        <v>739050</v>
      </c>
      <c r="O23" s="18">
        <v>740100</v>
      </c>
      <c r="P23" s="18">
        <v>743220</v>
      </c>
      <c r="Q23" s="18">
        <v>748460</v>
      </c>
      <c r="R23" s="18">
        <v>752500</v>
      </c>
      <c r="S23" s="18">
        <v>757120</v>
      </c>
      <c r="T23" s="18">
        <v>761950</v>
      </c>
      <c r="U23" s="18">
        <v>765790</v>
      </c>
      <c r="V23" s="18">
        <v>769680</v>
      </c>
      <c r="W23" s="18">
        <v>775550</v>
      </c>
      <c r="X23" s="18">
        <v>776880</v>
      </c>
      <c r="Y23" s="18">
        <v>777090</v>
      </c>
      <c r="Z23" s="18">
        <v>778080</v>
      </c>
      <c r="AA23" s="18">
        <v>779700</v>
      </c>
      <c r="AB23" s="18">
        <v>781670</v>
      </c>
      <c r="AC23" s="18">
        <v>782840</v>
      </c>
      <c r="AD23" s="18">
        <v>782000</v>
      </c>
      <c r="AE23" s="18">
        <v>784180</v>
      </c>
      <c r="AF23" s="18">
        <v>783230</v>
      </c>
      <c r="AG23" s="18">
        <v>783320</v>
      </c>
      <c r="AH23" s="61">
        <v>785660</v>
      </c>
      <c r="AI23" s="113">
        <v>791460</v>
      </c>
      <c r="AJ23" s="61">
        <v>793870</v>
      </c>
    </row>
    <row r="24" spans="1:36" x14ac:dyDescent="0.2">
      <c r="A24" s="16" t="s">
        <v>179</v>
      </c>
      <c r="B24" s="17" t="s">
        <v>121</v>
      </c>
      <c r="C24" s="18">
        <v>452680</v>
      </c>
      <c r="D24" s="18">
        <v>454240</v>
      </c>
      <c r="E24" s="18">
        <v>456160</v>
      </c>
      <c r="F24" s="18">
        <v>458800</v>
      </c>
      <c r="G24" s="18">
        <v>459630</v>
      </c>
      <c r="H24" s="18">
        <v>459010</v>
      </c>
      <c r="I24" s="18">
        <v>457950</v>
      </c>
      <c r="J24" s="18">
        <v>457150</v>
      </c>
      <c r="K24" s="18">
        <v>456780</v>
      </c>
      <c r="L24" s="18">
        <v>455160</v>
      </c>
      <c r="M24" s="18">
        <v>454850</v>
      </c>
      <c r="N24" s="18">
        <v>456150</v>
      </c>
      <c r="O24" s="18">
        <v>459320</v>
      </c>
      <c r="P24" s="18">
        <v>463090</v>
      </c>
      <c r="Q24" s="18">
        <v>467750</v>
      </c>
      <c r="R24" s="18">
        <v>472030</v>
      </c>
      <c r="S24" s="18">
        <v>476370</v>
      </c>
      <c r="T24" s="18">
        <v>480220</v>
      </c>
      <c r="U24" s="18">
        <v>482520</v>
      </c>
      <c r="V24" s="18">
        <v>484920</v>
      </c>
      <c r="W24" s="18">
        <v>487480</v>
      </c>
      <c r="X24" s="18">
        <v>485130</v>
      </c>
      <c r="Y24" s="18">
        <v>487530</v>
      </c>
      <c r="Z24" s="18">
        <v>487830</v>
      </c>
      <c r="AA24" s="18">
        <v>488530</v>
      </c>
      <c r="AB24" s="18">
        <v>489490</v>
      </c>
      <c r="AC24" s="18">
        <v>489080</v>
      </c>
      <c r="AD24" s="18">
        <v>487540</v>
      </c>
      <c r="AE24" s="18">
        <v>487160</v>
      </c>
      <c r="AF24" s="18">
        <v>485880</v>
      </c>
      <c r="AG24" s="18">
        <v>489230</v>
      </c>
      <c r="AH24" s="61">
        <v>489110</v>
      </c>
      <c r="AI24" s="113">
        <v>490430</v>
      </c>
      <c r="AJ24" s="61">
        <v>491220</v>
      </c>
    </row>
    <row r="25" spans="1:36" x14ac:dyDescent="0.2">
      <c r="A25" s="16" t="s">
        <v>179</v>
      </c>
      <c r="B25" s="17" t="s">
        <v>39</v>
      </c>
      <c r="C25" s="18">
        <v>375200</v>
      </c>
      <c r="D25" s="18">
        <v>374610</v>
      </c>
      <c r="E25" s="18">
        <v>374480</v>
      </c>
      <c r="F25" s="18">
        <v>374350</v>
      </c>
      <c r="G25" s="18">
        <v>374210</v>
      </c>
      <c r="H25" s="18">
        <v>373150</v>
      </c>
      <c r="I25" s="18">
        <v>372750</v>
      </c>
      <c r="J25" s="18">
        <v>371790</v>
      </c>
      <c r="K25" s="18">
        <v>370560</v>
      </c>
      <c r="L25" s="18">
        <v>368770</v>
      </c>
      <c r="M25" s="18">
        <v>368290</v>
      </c>
      <c r="N25" s="18">
        <v>367500</v>
      </c>
      <c r="O25" s="18">
        <v>367710</v>
      </c>
      <c r="P25" s="18">
        <v>368550</v>
      </c>
      <c r="Q25" s="18">
        <v>369000</v>
      </c>
      <c r="R25" s="18">
        <v>369330</v>
      </c>
      <c r="S25" s="18">
        <v>370750</v>
      </c>
      <c r="T25" s="18">
        <v>372120</v>
      </c>
      <c r="U25" s="18">
        <v>372430</v>
      </c>
      <c r="V25" s="18">
        <v>372810</v>
      </c>
      <c r="W25" s="18">
        <v>373760</v>
      </c>
      <c r="X25" s="18">
        <v>373160</v>
      </c>
      <c r="Y25" s="18">
        <v>372080</v>
      </c>
      <c r="Z25" s="18">
        <v>370980</v>
      </c>
      <c r="AA25" s="18">
        <v>370100</v>
      </c>
      <c r="AB25" s="18">
        <v>369730</v>
      </c>
      <c r="AC25" s="18">
        <v>369360</v>
      </c>
      <c r="AD25" s="18">
        <v>367930</v>
      </c>
      <c r="AE25" s="18">
        <v>367450</v>
      </c>
      <c r="AF25" s="18">
        <v>365850</v>
      </c>
      <c r="AG25" s="18">
        <v>365920</v>
      </c>
      <c r="AH25" s="61">
        <v>365450</v>
      </c>
      <c r="AI25" s="113">
        <v>366530</v>
      </c>
      <c r="AJ25" s="61">
        <v>367750</v>
      </c>
    </row>
    <row r="26" spans="1:36" x14ac:dyDescent="0.2">
      <c r="A26" s="16" t="s">
        <v>179</v>
      </c>
      <c r="B26" s="17" t="s">
        <v>40</v>
      </c>
      <c r="C26" s="18">
        <v>251000</v>
      </c>
      <c r="D26" s="18">
        <v>252190</v>
      </c>
      <c r="E26" s="18">
        <v>252980</v>
      </c>
      <c r="F26" s="18">
        <v>253580</v>
      </c>
      <c r="G26" s="18">
        <v>254460</v>
      </c>
      <c r="H26" s="18">
        <v>254380</v>
      </c>
      <c r="I26" s="18">
        <v>254480</v>
      </c>
      <c r="J26" s="18">
        <v>254780</v>
      </c>
      <c r="K26" s="18">
        <v>254040</v>
      </c>
      <c r="L26" s="18">
        <v>253790</v>
      </c>
      <c r="M26" s="18">
        <v>254730</v>
      </c>
      <c r="N26" s="18">
        <v>255200</v>
      </c>
      <c r="O26" s="18">
        <v>256250</v>
      </c>
      <c r="P26" s="18">
        <v>258150</v>
      </c>
      <c r="Q26" s="18">
        <v>259870</v>
      </c>
      <c r="R26" s="18">
        <v>260630</v>
      </c>
      <c r="S26" s="18">
        <v>262570</v>
      </c>
      <c r="T26" s="18">
        <v>264370</v>
      </c>
      <c r="U26" s="18">
        <v>264750</v>
      </c>
      <c r="V26" s="18">
        <v>264800</v>
      </c>
      <c r="W26" s="18">
        <v>265290</v>
      </c>
      <c r="X26" s="18">
        <v>264600</v>
      </c>
      <c r="Y26" s="18">
        <v>264310</v>
      </c>
      <c r="Z26" s="18">
        <v>264250</v>
      </c>
      <c r="AA26" s="18">
        <v>263710</v>
      </c>
      <c r="AB26" s="18">
        <v>263850</v>
      </c>
      <c r="AC26" s="18">
        <v>263780</v>
      </c>
      <c r="AD26" s="18">
        <v>263180</v>
      </c>
      <c r="AE26" s="18">
        <v>263300</v>
      </c>
      <c r="AF26" s="18">
        <v>262470</v>
      </c>
      <c r="AG26" s="18">
        <v>263330</v>
      </c>
      <c r="AH26" s="61">
        <v>262590</v>
      </c>
      <c r="AI26" s="113">
        <v>262770</v>
      </c>
      <c r="AJ26" s="61">
        <v>262840</v>
      </c>
    </row>
    <row r="27" spans="1:36" ht="36.6" customHeight="1" x14ac:dyDescent="0.2">
      <c r="A27" s="17" t="s">
        <v>180</v>
      </c>
      <c r="B27" s="17" t="s">
        <v>41</v>
      </c>
      <c r="C27" s="18">
        <v>164900</v>
      </c>
      <c r="D27" s="18">
        <v>163190</v>
      </c>
      <c r="E27" s="18">
        <v>162900</v>
      </c>
      <c r="F27" s="18">
        <v>163570</v>
      </c>
      <c r="G27" s="18">
        <v>163540</v>
      </c>
      <c r="H27" s="18">
        <v>162930</v>
      </c>
      <c r="I27" s="18">
        <v>162230</v>
      </c>
      <c r="J27" s="18">
        <v>161500</v>
      </c>
      <c r="K27" s="18">
        <v>160780</v>
      </c>
      <c r="L27" s="18">
        <v>159310</v>
      </c>
      <c r="M27" s="18">
        <v>158930</v>
      </c>
      <c r="N27" s="18">
        <v>158700</v>
      </c>
      <c r="O27" s="18">
        <v>158850</v>
      </c>
      <c r="P27" s="18">
        <v>159150</v>
      </c>
      <c r="Q27" s="18">
        <v>159590</v>
      </c>
      <c r="R27" s="18">
        <v>160470</v>
      </c>
      <c r="S27" s="18">
        <v>160930</v>
      </c>
      <c r="T27" s="18">
        <v>160410</v>
      </c>
      <c r="U27" s="18">
        <v>160610</v>
      </c>
      <c r="V27" s="18">
        <v>160500</v>
      </c>
      <c r="W27" s="18">
        <v>161280</v>
      </c>
      <c r="X27" s="18">
        <v>159410</v>
      </c>
      <c r="Y27" s="18">
        <v>160510</v>
      </c>
      <c r="Z27" s="18">
        <v>160470</v>
      </c>
      <c r="AA27" s="18">
        <v>159670</v>
      </c>
      <c r="AB27" s="18">
        <v>159810</v>
      </c>
      <c r="AC27" s="18">
        <v>159620</v>
      </c>
      <c r="AD27" s="18">
        <v>158920</v>
      </c>
      <c r="AE27" s="18">
        <v>158480</v>
      </c>
      <c r="AF27" s="18">
        <v>158100</v>
      </c>
      <c r="AG27" s="18">
        <v>159110</v>
      </c>
      <c r="AH27" s="61">
        <v>159100</v>
      </c>
      <c r="AI27" s="113">
        <v>159120</v>
      </c>
      <c r="AJ27" s="61">
        <v>158920</v>
      </c>
    </row>
    <row r="28" spans="1:36" x14ac:dyDescent="0.2">
      <c r="A28" s="16" t="s">
        <v>180</v>
      </c>
      <c r="B28" s="17" t="s">
        <v>42</v>
      </c>
      <c r="C28" s="18">
        <v>1360100</v>
      </c>
      <c r="D28" s="18">
        <v>1372000</v>
      </c>
      <c r="E28" s="18">
        <v>1380910</v>
      </c>
      <c r="F28" s="18">
        <v>1389440</v>
      </c>
      <c r="G28" s="18">
        <v>1392980</v>
      </c>
      <c r="H28" s="18">
        <v>1392240</v>
      </c>
      <c r="I28" s="18">
        <v>1391550</v>
      </c>
      <c r="J28" s="18">
        <v>1392110</v>
      </c>
      <c r="K28" s="18">
        <v>1392790</v>
      </c>
      <c r="L28" s="18">
        <v>1390970</v>
      </c>
      <c r="M28" s="18">
        <v>1391630</v>
      </c>
      <c r="N28" s="18">
        <v>1396230</v>
      </c>
      <c r="O28" s="18">
        <v>1403810</v>
      </c>
      <c r="P28" s="18">
        <v>1416750</v>
      </c>
      <c r="Q28" s="18">
        <v>1429200</v>
      </c>
      <c r="R28" s="18">
        <v>1441180</v>
      </c>
      <c r="S28" s="18">
        <v>1456580</v>
      </c>
      <c r="T28" s="18">
        <v>1471510</v>
      </c>
      <c r="U28" s="18">
        <v>1479110</v>
      </c>
      <c r="V28" s="18">
        <v>1487140</v>
      </c>
      <c r="W28" s="18">
        <v>1495280</v>
      </c>
      <c r="X28" s="18">
        <v>1497390</v>
      </c>
      <c r="Y28" s="18">
        <v>1500920</v>
      </c>
      <c r="Z28" s="18">
        <v>1505890</v>
      </c>
      <c r="AA28" s="18">
        <v>1510730</v>
      </c>
      <c r="AB28" s="18">
        <v>1513100</v>
      </c>
      <c r="AC28" s="18">
        <v>1513050</v>
      </c>
      <c r="AD28" s="18">
        <v>1510390</v>
      </c>
      <c r="AE28" s="18">
        <v>1512200</v>
      </c>
      <c r="AF28" s="18">
        <v>1508880</v>
      </c>
      <c r="AG28" s="18">
        <v>1517240</v>
      </c>
      <c r="AH28" s="61">
        <v>1518320</v>
      </c>
      <c r="AI28" s="113">
        <v>1525190</v>
      </c>
      <c r="AJ28" s="61">
        <v>1530480</v>
      </c>
    </row>
    <row r="29" spans="1:36" x14ac:dyDescent="0.2">
      <c r="A29" s="16" t="s">
        <v>180</v>
      </c>
      <c r="B29" s="17" t="s">
        <v>43</v>
      </c>
      <c r="C29" s="18">
        <v>2123120</v>
      </c>
      <c r="D29" s="18">
        <v>2120450</v>
      </c>
      <c r="E29" s="18">
        <v>2121420</v>
      </c>
      <c r="F29" s="18">
        <v>2125120</v>
      </c>
      <c r="G29" s="18">
        <v>2126890</v>
      </c>
      <c r="H29" s="18">
        <v>2122720</v>
      </c>
      <c r="I29" s="18">
        <v>2124530</v>
      </c>
      <c r="J29" s="18">
        <v>2124840</v>
      </c>
      <c r="K29" s="18">
        <v>2125640</v>
      </c>
      <c r="L29" s="18">
        <v>2127260</v>
      </c>
      <c r="M29" s="18">
        <v>2128540</v>
      </c>
      <c r="N29" s="18">
        <v>2132070</v>
      </c>
      <c r="O29" s="18">
        <v>2134910</v>
      </c>
      <c r="P29" s="18">
        <v>2142050</v>
      </c>
      <c r="Q29" s="18">
        <v>2150400</v>
      </c>
      <c r="R29" s="18">
        <v>2157860</v>
      </c>
      <c r="S29" s="18">
        <v>2168520</v>
      </c>
      <c r="T29" s="18">
        <v>2177950</v>
      </c>
      <c r="U29" s="18">
        <v>2185140</v>
      </c>
      <c r="V29" s="18">
        <v>2192340</v>
      </c>
      <c r="W29" s="18">
        <v>2202680</v>
      </c>
      <c r="X29" s="18">
        <v>2206300</v>
      </c>
      <c r="Y29" s="18">
        <v>2207810</v>
      </c>
      <c r="Z29" s="18">
        <v>2213840</v>
      </c>
      <c r="AA29" s="18">
        <v>2220720</v>
      </c>
      <c r="AB29" s="18">
        <v>2231110</v>
      </c>
      <c r="AC29" s="18">
        <v>2238840</v>
      </c>
      <c r="AD29" s="18">
        <v>2240740</v>
      </c>
      <c r="AE29" s="18">
        <v>2248700</v>
      </c>
      <c r="AF29" s="18">
        <v>2248880</v>
      </c>
      <c r="AG29" s="18">
        <v>2252520</v>
      </c>
      <c r="AH29" s="61">
        <v>2260240</v>
      </c>
      <c r="AI29" s="113">
        <v>2279400</v>
      </c>
      <c r="AJ29" s="61">
        <v>2294860</v>
      </c>
    </row>
    <row r="30" spans="1:36" x14ac:dyDescent="0.2">
      <c r="A30" s="16" t="s">
        <v>180</v>
      </c>
      <c r="B30" s="17" t="s">
        <v>44</v>
      </c>
      <c r="C30" s="18">
        <v>1435210</v>
      </c>
      <c r="D30" s="18">
        <v>1429980</v>
      </c>
      <c r="E30" s="18">
        <v>1427230</v>
      </c>
      <c r="F30" s="18">
        <v>1424080</v>
      </c>
      <c r="G30" s="18">
        <v>1420280</v>
      </c>
      <c r="H30" s="18">
        <v>1414300</v>
      </c>
      <c r="I30" s="18">
        <v>1405030</v>
      </c>
      <c r="J30" s="18">
        <v>1398620</v>
      </c>
      <c r="K30" s="18">
        <v>1392740</v>
      </c>
      <c r="L30" s="18">
        <v>1385400</v>
      </c>
      <c r="M30" s="18">
        <v>1385100</v>
      </c>
      <c r="N30" s="18">
        <v>1379000</v>
      </c>
      <c r="O30" s="18">
        <v>1370930</v>
      </c>
      <c r="P30" s="18">
        <v>1366350</v>
      </c>
      <c r="Q30" s="18">
        <v>1371010</v>
      </c>
      <c r="R30" s="18">
        <v>1373490</v>
      </c>
      <c r="S30" s="18">
        <v>1383970</v>
      </c>
      <c r="T30" s="18">
        <v>1393030</v>
      </c>
      <c r="U30" s="18">
        <v>1407040</v>
      </c>
      <c r="V30" s="18">
        <v>1422220</v>
      </c>
      <c r="W30" s="18">
        <v>1440660</v>
      </c>
      <c r="X30" s="18">
        <v>1445100</v>
      </c>
      <c r="Y30" s="18">
        <v>1447560</v>
      </c>
      <c r="Z30" s="18">
        <v>1451200</v>
      </c>
      <c r="AA30" s="18">
        <v>1459480</v>
      </c>
      <c r="AB30" s="18">
        <v>1469580</v>
      </c>
      <c r="AC30" s="18">
        <v>1476690</v>
      </c>
      <c r="AD30" s="18">
        <v>1482050</v>
      </c>
      <c r="AE30" s="18">
        <v>1491820</v>
      </c>
      <c r="AF30" s="18">
        <v>1493040</v>
      </c>
      <c r="AG30" s="18">
        <v>1484030</v>
      </c>
      <c r="AH30" s="61">
        <v>1509340</v>
      </c>
      <c r="AI30" s="113">
        <v>1542290</v>
      </c>
      <c r="AJ30" s="61">
        <v>1562640</v>
      </c>
    </row>
    <row r="31" spans="1:36" ht="28.5" customHeight="1" x14ac:dyDescent="0.2">
      <c r="A31" s="17" t="s">
        <v>181</v>
      </c>
      <c r="B31" s="17" t="s">
        <v>45</v>
      </c>
      <c r="C31" s="18">
        <f>C24</f>
        <v>452680</v>
      </c>
      <c r="D31" s="18">
        <f t="shared" ref="D31:W31" si="0">D24</f>
        <v>454240</v>
      </c>
      <c r="E31" s="18">
        <f t="shared" si="0"/>
        <v>456160</v>
      </c>
      <c r="F31" s="18">
        <f t="shared" si="0"/>
        <v>458800</v>
      </c>
      <c r="G31" s="18">
        <f t="shared" si="0"/>
        <v>459630</v>
      </c>
      <c r="H31" s="18">
        <f t="shared" si="0"/>
        <v>459010</v>
      </c>
      <c r="I31" s="18">
        <f t="shared" si="0"/>
        <v>457950</v>
      </c>
      <c r="J31" s="18">
        <f t="shared" si="0"/>
        <v>457150</v>
      </c>
      <c r="K31" s="18">
        <f t="shared" si="0"/>
        <v>456780</v>
      </c>
      <c r="L31" s="18">
        <f t="shared" si="0"/>
        <v>455160</v>
      </c>
      <c r="M31" s="18">
        <f t="shared" si="0"/>
        <v>454850</v>
      </c>
      <c r="N31" s="18">
        <f t="shared" si="0"/>
        <v>456150</v>
      </c>
      <c r="O31" s="18">
        <f t="shared" si="0"/>
        <v>459320</v>
      </c>
      <c r="P31" s="18">
        <f t="shared" si="0"/>
        <v>463090</v>
      </c>
      <c r="Q31" s="18">
        <f t="shared" si="0"/>
        <v>467750</v>
      </c>
      <c r="R31" s="18">
        <f t="shared" si="0"/>
        <v>472030</v>
      </c>
      <c r="S31" s="18">
        <f t="shared" si="0"/>
        <v>476370</v>
      </c>
      <c r="T31" s="18">
        <f t="shared" si="0"/>
        <v>480220</v>
      </c>
      <c r="U31" s="18">
        <f t="shared" si="0"/>
        <v>482520</v>
      </c>
      <c r="V31" s="18">
        <f t="shared" si="0"/>
        <v>484920</v>
      </c>
      <c r="W31" s="18">
        <f t="shared" si="0"/>
        <v>487480</v>
      </c>
      <c r="X31" s="18">
        <f t="shared" ref="X31:AG31" si="1">X24</f>
        <v>485130</v>
      </c>
      <c r="Y31" s="18">
        <f t="shared" si="1"/>
        <v>487530</v>
      </c>
      <c r="Z31" s="18">
        <f t="shared" si="1"/>
        <v>487830</v>
      </c>
      <c r="AA31" s="18">
        <f t="shared" si="1"/>
        <v>488530</v>
      </c>
      <c r="AB31" s="18">
        <f t="shared" si="1"/>
        <v>489490</v>
      </c>
      <c r="AC31" s="18">
        <f t="shared" si="1"/>
        <v>489080</v>
      </c>
      <c r="AD31" s="18">
        <f t="shared" si="1"/>
        <v>487540</v>
      </c>
      <c r="AE31" s="18">
        <f t="shared" si="1"/>
        <v>487160</v>
      </c>
      <c r="AF31" s="18">
        <f t="shared" si="1"/>
        <v>485880</v>
      </c>
      <c r="AG31" s="18">
        <f t="shared" si="1"/>
        <v>489230</v>
      </c>
      <c r="AH31" s="61">
        <v>489110</v>
      </c>
      <c r="AI31" s="113">
        <v>490430</v>
      </c>
      <c r="AJ31" s="61">
        <v>491220</v>
      </c>
    </row>
    <row r="32" spans="1:36" x14ac:dyDescent="0.2">
      <c r="A32" s="16" t="s">
        <v>181</v>
      </c>
      <c r="B32" s="17" t="s">
        <v>120</v>
      </c>
      <c r="C32" s="18">
        <f>C26</f>
        <v>251000</v>
      </c>
      <c r="D32" s="18">
        <f t="shared" ref="D32:W32" si="2">D26</f>
        <v>252190</v>
      </c>
      <c r="E32" s="18">
        <f t="shared" si="2"/>
        <v>252980</v>
      </c>
      <c r="F32" s="18">
        <f t="shared" si="2"/>
        <v>253580</v>
      </c>
      <c r="G32" s="18">
        <f t="shared" si="2"/>
        <v>254460</v>
      </c>
      <c r="H32" s="18">
        <f t="shared" si="2"/>
        <v>254380</v>
      </c>
      <c r="I32" s="18">
        <f t="shared" si="2"/>
        <v>254480</v>
      </c>
      <c r="J32" s="18">
        <f t="shared" si="2"/>
        <v>254780</v>
      </c>
      <c r="K32" s="18">
        <f t="shared" si="2"/>
        <v>254040</v>
      </c>
      <c r="L32" s="18">
        <f t="shared" si="2"/>
        <v>253790</v>
      </c>
      <c r="M32" s="18">
        <f t="shared" si="2"/>
        <v>254730</v>
      </c>
      <c r="N32" s="18">
        <f t="shared" si="2"/>
        <v>255200</v>
      </c>
      <c r="O32" s="18">
        <f t="shared" si="2"/>
        <v>256250</v>
      </c>
      <c r="P32" s="18">
        <f t="shared" si="2"/>
        <v>258150</v>
      </c>
      <c r="Q32" s="18">
        <f t="shared" si="2"/>
        <v>259870</v>
      </c>
      <c r="R32" s="18">
        <f t="shared" si="2"/>
        <v>260630</v>
      </c>
      <c r="S32" s="18">
        <f t="shared" si="2"/>
        <v>262570</v>
      </c>
      <c r="T32" s="18">
        <f t="shared" si="2"/>
        <v>264370</v>
      </c>
      <c r="U32" s="18">
        <f t="shared" si="2"/>
        <v>264750</v>
      </c>
      <c r="V32" s="18">
        <f t="shared" si="2"/>
        <v>264800</v>
      </c>
      <c r="W32" s="18">
        <f t="shared" si="2"/>
        <v>265290</v>
      </c>
      <c r="X32" s="18">
        <f t="shared" ref="X32:AG32" si="3">X26</f>
        <v>264600</v>
      </c>
      <c r="Y32" s="18">
        <f t="shared" si="3"/>
        <v>264310</v>
      </c>
      <c r="Z32" s="18">
        <f t="shared" si="3"/>
        <v>264250</v>
      </c>
      <c r="AA32" s="18">
        <f t="shared" si="3"/>
        <v>263710</v>
      </c>
      <c r="AB32" s="18">
        <f t="shared" si="3"/>
        <v>263850</v>
      </c>
      <c r="AC32" s="18">
        <f t="shared" si="3"/>
        <v>263780</v>
      </c>
      <c r="AD32" s="18">
        <f t="shared" si="3"/>
        <v>263180</v>
      </c>
      <c r="AE32" s="18">
        <f t="shared" si="3"/>
        <v>263300</v>
      </c>
      <c r="AF32" s="18">
        <f t="shared" si="3"/>
        <v>262470</v>
      </c>
      <c r="AG32" s="18">
        <f t="shared" si="3"/>
        <v>263330</v>
      </c>
      <c r="AH32" s="61">
        <v>262590</v>
      </c>
      <c r="AI32" s="113">
        <v>262770</v>
      </c>
      <c r="AJ32" s="61">
        <v>262840</v>
      </c>
    </row>
    <row r="33" spans="1:36" x14ac:dyDescent="0.2">
      <c r="A33" s="16" t="s">
        <v>181</v>
      </c>
      <c r="B33" s="17" t="s">
        <v>46</v>
      </c>
      <c r="C33" s="18">
        <v>4379650</v>
      </c>
      <c r="D33" s="18">
        <v>4379190</v>
      </c>
      <c r="E33" s="18">
        <v>4383320</v>
      </c>
      <c r="F33" s="18">
        <v>4389830</v>
      </c>
      <c r="G33" s="18">
        <v>4389600</v>
      </c>
      <c r="H33" s="18">
        <v>4378800</v>
      </c>
      <c r="I33" s="18">
        <v>4370910</v>
      </c>
      <c r="J33" s="18">
        <v>4365140</v>
      </c>
      <c r="K33" s="18">
        <v>4361130</v>
      </c>
      <c r="L33" s="18">
        <v>4353990</v>
      </c>
      <c r="M33" s="18">
        <v>4354620</v>
      </c>
      <c r="N33" s="18">
        <v>4354650</v>
      </c>
      <c r="O33" s="18">
        <v>4352930</v>
      </c>
      <c r="P33" s="18">
        <v>4363060</v>
      </c>
      <c r="Q33" s="18">
        <v>4382580</v>
      </c>
      <c r="R33" s="18">
        <v>4400340</v>
      </c>
      <c r="S33" s="18">
        <v>4431060</v>
      </c>
      <c r="T33" s="18">
        <v>4458310</v>
      </c>
      <c r="U33" s="18">
        <v>4484630</v>
      </c>
      <c r="V33" s="18">
        <v>4512480</v>
      </c>
      <c r="W33" s="18">
        <v>4547130</v>
      </c>
      <c r="X33" s="18">
        <v>4558470</v>
      </c>
      <c r="Y33" s="18">
        <v>4564960</v>
      </c>
      <c r="Z33" s="18">
        <v>4579320</v>
      </c>
      <c r="AA33" s="18">
        <v>4598360</v>
      </c>
      <c r="AB33" s="18">
        <v>4620260</v>
      </c>
      <c r="AC33" s="18">
        <v>4635340</v>
      </c>
      <c r="AD33" s="18">
        <v>4641380</v>
      </c>
      <c r="AE33" s="18">
        <v>4660740</v>
      </c>
      <c r="AF33" s="18">
        <v>4660550</v>
      </c>
      <c r="AG33" s="18">
        <v>4660340</v>
      </c>
      <c r="AH33" s="61">
        <v>4695300</v>
      </c>
      <c r="AI33" s="113">
        <v>4752800</v>
      </c>
      <c r="AJ33" s="61">
        <v>4792840</v>
      </c>
    </row>
    <row r="34" spans="1:36" ht="30" customHeight="1" x14ac:dyDescent="0.2">
      <c r="A34" s="17" t="s">
        <v>47</v>
      </c>
      <c r="B34" s="17" t="s">
        <v>22</v>
      </c>
      <c r="C34" s="18">
        <v>214120</v>
      </c>
      <c r="D34" s="18">
        <v>216140</v>
      </c>
      <c r="E34" s="18">
        <v>218250</v>
      </c>
      <c r="F34" s="18">
        <v>219500</v>
      </c>
      <c r="G34" s="18">
        <v>219880</v>
      </c>
      <c r="H34" s="18">
        <v>218350</v>
      </c>
      <c r="I34" s="18">
        <v>217300</v>
      </c>
      <c r="J34" s="18">
        <v>215650</v>
      </c>
      <c r="K34" s="18">
        <v>214630</v>
      </c>
      <c r="L34" s="18">
        <v>213340</v>
      </c>
      <c r="M34" s="18">
        <v>211910</v>
      </c>
      <c r="N34" s="18">
        <v>210680</v>
      </c>
      <c r="O34" s="18">
        <v>209280</v>
      </c>
      <c r="P34" s="18">
        <v>207820</v>
      </c>
      <c r="Q34" s="18">
        <v>208690</v>
      </c>
      <c r="R34" s="18">
        <v>209630</v>
      </c>
      <c r="S34" s="18">
        <v>212470</v>
      </c>
      <c r="T34" s="18">
        <v>214020</v>
      </c>
      <c r="U34" s="18">
        <v>217020</v>
      </c>
      <c r="V34" s="21">
        <v>219730</v>
      </c>
      <c r="W34" s="21">
        <v>222460</v>
      </c>
      <c r="X34" s="21">
        <v>224040</v>
      </c>
      <c r="Y34" s="21">
        <v>225260</v>
      </c>
      <c r="Z34" s="21">
        <v>226170</v>
      </c>
      <c r="AA34" s="21">
        <v>226680</v>
      </c>
      <c r="AB34" s="21">
        <v>225340</v>
      </c>
      <c r="AC34" s="21">
        <v>223890</v>
      </c>
      <c r="AD34" s="21">
        <v>222170</v>
      </c>
      <c r="AE34" s="21">
        <v>222760</v>
      </c>
      <c r="AF34" s="18">
        <v>222710</v>
      </c>
      <c r="AG34" s="18">
        <v>220630</v>
      </c>
      <c r="AH34" s="122">
        <v>224250</v>
      </c>
      <c r="AI34" s="122">
        <v>229360</v>
      </c>
      <c r="AJ34" s="138">
        <v>231780</v>
      </c>
    </row>
    <row r="35" spans="1:36" x14ac:dyDescent="0.2">
      <c r="A35" s="16" t="s">
        <v>47</v>
      </c>
      <c r="B35" s="17" t="s">
        <v>23</v>
      </c>
      <c r="C35" s="18">
        <v>215870</v>
      </c>
      <c r="D35" s="18">
        <v>219970</v>
      </c>
      <c r="E35" s="18">
        <v>223100</v>
      </c>
      <c r="F35" s="18">
        <v>225560</v>
      </c>
      <c r="G35" s="18">
        <v>226070</v>
      </c>
      <c r="H35" s="18">
        <v>226990</v>
      </c>
      <c r="I35" s="18">
        <v>226020</v>
      </c>
      <c r="J35" s="18">
        <v>226220</v>
      </c>
      <c r="K35" s="18">
        <v>227240</v>
      </c>
      <c r="L35" s="18">
        <v>227020</v>
      </c>
      <c r="M35" s="18">
        <v>226940</v>
      </c>
      <c r="N35" s="18">
        <v>228830</v>
      </c>
      <c r="O35" s="18">
        <v>231250</v>
      </c>
      <c r="P35" s="18">
        <v>234690</v>
      </c>
      <c r="Q35" s="18">
        <v>237570</v>
      </c>
      <c r="R35" s="18">
        <v>241180</v>
      </c>
      <c r="S35" s="18">
        <v>244390</v>
      </c>
      <c r="T35" s="18">
        <v>246830</v>
      </c>
      <c r="U35" s="18">
        <v>249020</v>
      </c>
      <c r="V35" s="21">
        <v>251430</v>
      </c>
      <c r="W35" s="21">
        <v>253650</v>
      </c>
      <c r="X35" s="21">
        <v>255750</v>
      </c>
      <c r="Y35" s="21">
        <v>258130</v>
      </c>
      <c r="Z35" s="21">
        <v>261350</v>
      </c>
      <c r="AA35" s="21">
        <v>263250</v>
      </c>
      <c r="AB35" s="21">
        <v>263460</v>
      </c>
      <c r="AC35" s="21">
        <v>262920</v>
      </c>
      <c r="AD35" s="21">
        <v>262220</v>
      </c>
      <c r="AE35" s="21">
        <v>261900</v>
      </c>
      <c r="AF35" s="18">
        <v>261510</v>
      </c>
      <c r="AG35" s="18">
        <v>263140</v>
      </c>
      <c r="AH35" s="122">
        <v>263750</v>
      </c>
      <c r="AI35" s="122">
        <v>264610</v>
      </c>
      <c r="AJ35" s="138">
        <v>265080</v>
      </c>
    </row>
    <row r="36" spans="1:36" x14ac:dyDescent="0.2">
      <c r="A36" s="16" t="s">
        <v>47</v>
      </c>
      <c r="B36" s="17" t="s">
        <v>29</v>
      </c>
      <c r="C36" s="18">
        <v>108400</v>
      </c>
      <c r="D36" s="18">
        <v>109900</v>
      </c>
      <c r="E36" s="18">
        <v>110910</v>
      </c>
      <c r="F36" s="18">
        <v>111550</v>
      </c>
      <c r="G36" s="18">
        <v>111560</v>
      </c>
      <c r="H36" s="18">
        <v>110570</v>
      </c>
      <c r="I36" s="18">
        <v>110000</v>
      </c>
      <c r="J36" s="18">
        <v>109790</v>
      </c>
      <c r="K36" s="18">
        <v>109560</v>
      </c>
      <c r="L36" s="18">
        <v>108850</v>
      </c>
      <c r="M36" s="18">
        <v>108370</v>
      </c>
      <c r="N36" s="18">
        <v>108810</v>
      </c>
      <c r="O36" s="18">
        <v>108700</v>
      </c>
      <c r="P36" s="18">
        <v>110170</v>
      </c>
      <c r="Q36" s="18">
        <v>111340</v>
      </c>
      <c r="R36" s="18">
        <v>112500</v>
      </c>
      <c r="S36" s="18">
        <v>113540</v>
      </c>
      <c r="T36" s="18">
        <v>114490</v>
      </c>
      <c r="U36" s="18">
        <v>114830</v>
      </c>
      <c r="V36" s="21">
        <v>115410</v>
      </c>
      <c r="W36" s="21">
        <v>116200</v>
      </c>
      <c r="X36" s="21">
        <v>116110</v>
      </c>
      <c r="Y36" s="21">
        <v>116170</v>
      </c>
      <c r="Z36" s="21">
        <v>116550</v>
      </c>
      <c r="AA36" s="21">
        <v>116870</v>
      </c>
      <c r="AB36" s="21">
        <v>116450</v>
      </c>
      <c r="AC36" s="21">
        <v>116090</v>
      </c>
      <c r="AD36" s="21">
        <v>115610</v>
      </c>
      <c r="AE36" s="21">
        <v>115530</v>
      </c>
      <c r="AF36" s="18">
        <v>114990</v>
      </c>
      <c r="AG36" s="18">
        <v>114950</v>
      </c>
      <c r="AH36" s="122">
        <v>114670</v>
      </c>
      <c r="AI36" s="122">
        <v>114950</v>
      </c>
      <c r="AJ36" s="138">
        <v>114810</v>
      </c>
    </row>
    <row r="37" spans="1:36" x14ac:dyDescent="0.2">
      <c r="A37" s="16" t="s">
        <v>47</v>
      </c>
      <c r="B37" s="17" t="s">
        <v>24</v>
      </c>
      <c r="C37" s="18">
        <v>93520</v>
      </c>
      <c r="D37" s="18">
        <v>91680</v>
      </c>
      <c r="E37" s="18">
        <v>91170</v>
      </c>
      <c r="F37" s="18">
        <v>91910</v>
      </c>
      <c r="G37" s="18">
        <v>91950</v>
      </c>
      <c r="H37" s="18">
        <v>91740</v>
      </c>
      <c r="I37" s="18">
        <v>91720</v>
      </c>
      <c r="J37" s="18">
        <v>91670</v>
      </c>
      <c r="K37" s="18">
        <v>91640</v>
      </c>
      <c r="L37" s="18">
        <v>91050</v>
      </c>
      <c r="M37" s="18">
        <v>91300</v>
      </c>
      <c r="N37" s="18">
        <v>91020</v>
      </c>
      <c r="O37" s="18">
        <v>90930</v>
      </c>
      <c r="P37" s="18">
        <v>90580</v>
      </c>
      <c r="Q37" s="18">
        <v>90340</v>
      </c>
      <c r="R37" s="18">
        <v>90860</v>
      </c>
      <c r="S37" s="18">
        <v>90790</v>
      </c>
      <c r="T37" s="18">
        <v>89910</v>
      </c>
      <c r="U37" s="18">
        <v>89450</v>
      </c>
      <c r="V37" s="21">
        <v>88620</v>
      </c>
      <c r="W37" s="21">
        <v>88930</v>
      </c>
      <c r="X37" s="21">
        <v>87170</v>
      </c>
      <c r="Y37" s="21">
        <v>88470</v>
      </c>
      <c r="Z37" s="21">
        <v>88450</v>
      </c>
      <c r="AA37" s="21">
        <v>87850</v>
      </c>
      <c r="AB37" s="21">
        <v>88230</v>
      </c>
      <c r="AC37" s="21">
        <v>88090</v>
      </c>
      <c r="AD37" s="21">
        <v>87590</v>
      </c>
      <c r="AE37" s="21">
        <v>87360</v>
      </c>
      <c r="AF37" s="18">
        <v>87160</v>
      </c>
      <c r="AG37" s="18">
        <v>87960</v>
      </c>
      <c r="AH37" s="122">
        <v>87930</v>
      </c>
      <c r="AI37" s="122">
        <v>87960</v>
      </c>
      <c r="AJ37" s="138">
        <v>87690</v>
      </c>
    </row>
    <row r="38" spans="1:36" x14ac:dyDescent="0.2">
      <c r="A38" s="16" t="s">
        <v>47</v>
      </c>
      <c r="B38" s="17" t="s">
        <v>25</v>
      </c>
      <c r="C38" s="18">
        <v>436320</v>
      </c>
      <c r="D38" s="18">
        <v>436670</v>
      </c>
      <c r="E38" s="18">
        <v>438300</v>
      </c>
      <c r="F38" s="18">
        <v>440120</v>
      </c>
      <c r="G38" s="18">
        <v>443860</v>
      </c>
      <c r="H38" s="18">
        <v>444910</v>
      </c>
      <c r="I38" s="18">
        <v>445720</v>
      </c>
      <c r="J38" s="18">
        <v>446240</v>
      </c>
      <c r="K38" s="18">
        <v>447190</v>
      </c>
      <c r="L38" s="18">
        <v>448430</v>
      </c>
      <c r="M38" s="18">
        <v>449020</v>
      </c>
      <c r="N38" s="18">
        <v>447500</v>
      </c>
      <c r="O38" s="18">
        <v>445300</v>
      </c>
      <c r="P38" s="18">
        <v>445870</v>
      </c>
      <c r="Q38" s="18">
        <v>449470</v>
      </c>
      <c r="R38" s="18">
        <v>452040</v>
      </c>
      <c r="S38" s="18">
        <v>456040</v>
      </c>
      <c r="T38" s="18">
        <v>458520</v>
      </c>
      <c r="U38" s="18">
        <v>463230</v>
      </c>
      <c r="V38" s="21">
        <v>469930</v>
      </c>
      <c r="W38" s="21">
        <v>477940</v>
      </c>
      <c r="X38" s="21">
        <v>480420</v>
      </c>
      <c r="Y38" s="21">
        <v>482650</v>
      </c>
      <c r="Z38" s="21">
        <v>485270</v>
      </c>
      <c r="AA38" s="21">
        <v>490280</v>
      </c>
      <c r="AB38" s="21">
        <v>496200</v>
      </c>
      <c r="AC38" s="21">
        <v>500770</v>
      </c>
      <c r="AD38" s="21">
        <v>503920</v>
      </c>
      <c r="AE38" s="21">
        <v>508280</v>
      </c>
      <c r="AF38" s="18">
        <v>509550</v>
      </c>
      <c r="AG38" s="18">
        <v>505750</v>
      </c>
      <c r="AH38" s="122">
        <v>514570</v>
      </c>
      <c r="AI38" s="122">
        <v>524140</v>
      </c>
      <c r="AJ38" s="138">
        <v>530680</v>
      </c>
    </row>
    <row r="39" spans="1:36" x14ac:dyDescent="0.2">
      <c r="A39" s="16" t="s">
        <v>47</v>
      </c>
      <c r="B39" s="17" t="s">
        <v>2</v>
      </c>
      <c r="C39" s="18">
        <v>48100</v>
      </c>
      <c r="D39" s="18">
        <v>48170</v>
      </c>
      <c r="E39" s="18">
        <v>48390</v>
      </c>
      <c r="F39" s="18">
        <v>48590</v>
      </c>
      <c r="G39" s="18">
        <v>48570</v>
      </c>
      <c r="H39" s="18">
        <v>48560</v>
      </c>
      <c r="I39" s="18">
        <v>48560</v>
      </c>
      <c r="J39" s="18">
        <v>48410</v>
      </c>
      <c r="K39" s="18">
        <v>48240</v>
      </c>
      <c r="L39" s="18">
        <v>48170</v>
      </c>
      <c r="M39" s="18">
        <v>48070</v>
      </c>
      <c r="N39" s="18">
        <v>48140</v>
      </c>
      <c r="O39" s="18">
        <v>48140</v>
      </c>
      <c r="P39" s="18">
        <v>48680</v>
      </c>
      <c r="Q39" s="18">
        <v>49160</v>
      </c>
      <c r="R39" s="18">
        <v>49540</v>
      </c>
      <c r="S39" s="18">
        <v>50600</v>
      </c>
      <c r="T39" s="18">
        <v>51190</v>
      </c>
      <c r="U39" s="18">
        <v>51290</v>
      </c>
      <c r="V39" s="21">
        <v>51330</v>
      </c>
      <c r="W39" s="21">
        <v>51500</v>
      </c>
      <c r="X39" s="21">
        <v>51350</v>
      </c>
      <c r="Y39" s="21">
        <v>51400</v>
      </c>
      <c r="Z39" s="21">
        <v>51390</v>
      </c>
      <c r="AA39" s="21">
        <v>51560</v>
      </c>
      <c r="AB39" s="21">
        <v>51540</v>
      </c>
      <c r="AC39" s="21">
        <v>51630</v>
      </c>
      <c r="AD39" s="21">
        <v>51540</v>
      </c>
      <c r="AE39" s="21">
        <v>51660</v>
      </c>
      <c r="AF39" s="18">
        <v>51400</v>
      </c>
      <c r="AG39" s="18">
        <v>51600</v>
      </c>
      <c r="AH39" s="122">
        <v>51750</v>
      </c>
      <c r="AI39" s="122">
        <v>52020</v>
      </c>
      <c r="AJ39" s="138">
        <v>52110</v>
      </c>
    </row>
    <row r="40" spans="1:36" x14ac:dyDescent="0.2">
      <c r="A40" s="16" t="s">
        <v>47</v>
      </c>
      <c r="B40" s="17" t="s">
        <v>3</v>
      </c>
      <c r="C40" s="18">
        <v>147170</v>
      </c>
      <c r="D40" s="18">
        <v>147650</v>
      </c>
      <c r="E40" s="18">
        <v>147940</v>
      </c>
      <c r="F40" s="18">
        <v>148130</v>
      </c>
      <c r="G40" s="18">
        <v>148520</v>
      </c>
      <c r="H40" s="18">
        <v>148520</v>
      </c>
      <c r="I40" s="18">
        <v>148520</v>
      </c>
      <c r="J40" s="18">
        <v>148740</v>
      </c>
      <c r="K40" s="18">
        <v>148230</v>
      </c>
      <c r="L40" s="18">
        <v>147540</v>
      </c>
      <c r="M40" s="18">
        <v>147780</v>
      </c>
      <c r="N40" s="18">
        <v>147670</v>
      </c>
      <c r="O40" s="18">
        <v>147860</v>
      </c>
      <c r="P40" s="18">
        <v>148700</v>
      </c>
      <c r="Q40" s="18">
        <v>149620</v>
      </c>
      <c r="R40" s="18">
        <v>149770</v>
      </c>
      <c r="S40" s="18">
        <v>150370</v>
      </c>
      <c r="T40" s="18">
        <v>151010</v>
      </c>
      <c r="U40" s="18">
        <v>151160</v>
      </c>
      <c r="V40" s="21">
        <v>151100</v>
      </c>
      <c r="W40" s="21">
        <v>151410</v>
      </c>
      <c r="X40" s="21">
        <v>150660</v>
      </c>
      <c r="Y40" s="21">
        <v>149960</v>
      </c>
      <c r="Z40" s="21">
        <v>149490</v>
      </c>
      <c r="AA40" s="21">
        <v>148820</v>
      </c>
      <c r="AB40" s="21">
        <v>148390</v>
      </c>
      <c r="AC40" s="21">
        <v>147810</v>
      </c>
      <c r="AD40" s="21">
        <v>146990</v>
      </c>
      <c r="AE40" s="21">
        <v>146810</v>
      </c>
      <c r="AF40" s="18">
        <v>146090</v>
      </c>
      <c r="AG40" s="18">
        <v>146250</v>
      </c>
      <c r="AH40" s="122">
        <v>145770</v>
      </c>
      <c r="AI40" s="122">
        <v>145890</v>
      </c>
      <c r="AJ40" s="138">
        <v>145860</v>
      </c>
    </row>
    <row r="41" spans="1:36" x14ac:dyDescent="0.2">
      <c r="A41" s="16" t="s">
        <v>47</v>
      </c>
      <c r="B41" s="17" t="s">
        <v>30</v>
      </c>
      <c r="C41" s="18">
        <v>155550</v>
      </c>
      <c r="D41" s="18">
        <v>154960</v>
      </c>
      <c r="E41" s="18">
        <v>154000</v>
      </c>
      <c r="F41" s="18">
        <v>152200</v>
      </c>
      <c r="G41" s="18">
        <v>152460</v>
      </c>
      <c r="H41" s="18">
        <v>152200</v>
      </c>
      <c r="I41" s="18">
        <v>151350</v>
      </c>
      <c r="J41" s="18">
        <v>149680</v>
      </c>
      <c r="K41" s="18">
        <v>147970</v>
      </c>
      <c r="L41" s="18">
        <v>146610</v>
      </c>
      <c r="M41" s="18">
        <v>145460</v>
      </c>
      <c r="N41" s="18">
        <v>144370</v>
      </c>
      <c r="O41" s="18">
        <v>144080</v>
      </c>
      <c r="P41" s="18">
        <v>143100</v>
      </c>
      <c r="Q41" s="18">
        <v>143600</v>
      </c>
      <c r="R41" s="18">
        <v>143360</v>
      </c>
      <c r="S41" s="18">
        <v>143700</v>
      </c>
      <c r="T41" s="18">
        <v>144290</v>
      </c>
      <c r="U41" s="18">
        <v>145170</v>
      </c>
      <c r="V41" s="21">
        <v>146060</v>
      </c>
      <c r="W41" s="21">
        <v>147200</v>
      </c>
      <c r="X41" s="21">
        <v>147560</v>
      </c>
      <c r="Y41" s="21">
        <v>147560</v>
      </c>
      <c r="Z41" s="21">
        <v>147360</v>
      </c>
      <c r="AA41" s="21">
        <v>147320</v>
      </c>
      <c r="AB41" s="21">
        <v>147220</v>
      </c>
      <c r="AC41" s="21">
        <v>147810</v>
      </c>
      <c r="AD41" s="21">
        <v>147770</v>
      </c>
      <c r="AE41" s="21">
        <v>148290</v>
      </c>
      <c r="AF41" s="18">
        <v>148070</v>
      </c>
      <c r="AG41" s="18">
        <v>146790</v>
      </c>
      <c r="AH41" s="122">
        <v>148470</v>
      </c>
      <c r="AI41" s="122">
        <v>150030</v>
      </c>
      <c r="AJ41" s="138">
        <v>149880</v>
      </c>
    </row>
    <row r="42" spans="1:36" x14ac:dyDescent="0.2">
      <c r="A42" s="16" t="s">
        <v>47</v>
      </c>
      <c r="B42" s="17" t="s">
        <v>4</v>
      </c>
      <c r="C42" s="18">
        <v>124020</v>
      </c>
      <c r="D42" s="18">
        <v>123810</v>
      </c>
      <c r="E42" s="18">
        <v>123540</v>
      </c>
      <c r="F42" s="18">
        <v>123250</v>
      </c>
      <c r="G42" s="18">
        <v>122790</v>
      </c>
      <c r="H42" s="18">
        <v>122000</v>
      </c>
      <c r="I42" s="18">
        <v>121440</v>
      </c>
      <c r="J42" s="18">
        <v>121000</v>
      </c>
      <c r="K42" s="18">
        <v>120550</v>
      </c>
      <c r="L42" s="18">
        <v>120120</v>
      </c>
      <c r="M42" s="18">
        <v>120310</v>
      </c>
      <c r="N42" s="18">
        <v>119920</v>
      </c>
      <c r="O42" s="18">
        <v>119850</v>
      </c>
      <c r="P42" s="18">
        <v>120210</v>
      </c>
      <c r="Q42" s="18">
        <v>120280</v>
      </c>
      <c r="R42" s="18">
        <v>120440</v>
      </c>
      <c r="S42" s="18">
        <v>120950</v>
      </c>
      <c r="T42" s="18">
        <v>121600</v>
      </c>
      <c r="U42" s="18">
        <v>122110</v>
      </c>
      <c r="V42" s="21">
        <v>122410</v>
      </c>
      <c r="W42" s="21">
        <v>122690</v>
      </c>
      <c r="X42" s="21">
        <v>122620</v>
      </c>
      <c r="Y42" s="21">
        <v>122270</v>
      </c>
      <c r="Z42" s="21">
        <v>121870</v>
      </c>
      <c r="AA42" s="21">
        <v>121620</v>
      </c>
      <c r="AB42" s="21">
        <v>121580</v>
      </c>
      <c r="AC42" s="21">
        <v>121150</v>
      </c>
      <c r="AD42" s="21">
        <v>120810</v>
      </c>
      <c r="AE42" s="21">
        <v>120870</v>
      </c>
      <c r="AF42" s="18">
        <v>120340</v>
      </c>
      <c r="AG42" s="18">
        <v>120500</v>
      </c>
      <c r="AH42" s="122">
        <v>120400</v>
      </c>
      <c r="AI42" s="122">
        <v>120870</v>
      </c>
      <c r="AJ42" s="138">
        <v>121480</v>
      </c>
    </row>
    <row r="43" spans="1:36" x14ac:dyDescent="0.2">
      <c r="A43" s="16" t="s">
        <v>47</v>
      </c>
      <c r="B43" s="17" t="s">
        <v>32</v>
      </c>
      <c r="C43" s="18">
        <v>110170</v>
      </c>
      <c r="D43" s="18">
        <v>109680</v>
      </c>
      <c r="E43" s="18">
        <v>109270</v>
      </c>
      <c r="F43" s="18">
        <v>109540</v>
      </c>
      <c r="G43" s="18">
        <v>109850</v>
      </c>
      <c r="H43" s="18">
        <v>109300</v>
      </c>
      <c r="I43" s="18">
        <v>109280</v>
      </c>
      <c r="J43" s="18">
        <v>109040</v>
      </c>
      <c r="K43" s="18">
        <v>108670</v>
      </c>
      <c r="L43" s="18">
        <v>108620</v>
      </c>
      <c r="M43" s="18">
        <v>108250</v>
      </c>
      <c r="N43" s="18">
        <v>107350</v>
      </c>
      <c r="O43" s="18">
        <v>107000</v>
      </c>
      <c r="P43" s="18">
        <v>106540</v>
      </c>
      <c r="Q43" s="18">
        <v>106040</v>
      </c>
      <c r="R43" s="18">
        <v>105590</v>
      </c>
      <c r="S43" s="18">
        <v>105050</v>
      </c>
      <c r="T43" s="18">
        <v>104940</v>
      </c>
      <c r="U43" s="18">
        <v>104960</v>
      </c>
      <c r="V43" s="21">
        <v>104920</v>
      </c>
      <c r="W43" s="21">
        <v>105000</v>
      </c>
      <c r="X43" s="21">
        <v>105910</v>
      </c>
      <c r="Y43" s="21">
        <v>105970</v>
      </c>
      <c r="Z43" s="21">
        <v>106930</v>
      </c>
      <c r="AA43" s="21">
        <v>107350</v>
      </c>
      <c r="AB43" s="21">
        <v>107830</v>
      </c>
      <c r="AC43" s="21">
        <v>108460</v>
      </c>
      <c r="AD43" s="21">
        <v>108560</v>
      </c>
      <c r="AE43" s="21">
        <v>108870</v>
      </c>
      <c r="AF43" s="18">
        <v>108880</v>
      </c>
      <c r="AG43" s="18">
        <v>108920</v>
      </c>
      <c r="AH43" s="122">
        <v>108990</v>
      </c>
      <c r="AI43" s="122">
        <v>109410</v>
      </c>
      <c r="AJ43" s="138">
        <v>109970</v>
      </c>
    </row>
    <row r="44" spans="1:36" x14ac:dyDescent="0.2">
      <c r="A44" s="16" t="s">
        <v>47</v>
      </c>
      <c r="B44" s="17" t="s">
        <v>5</v>
      </c>
      <c r="C44" s="18">
        <v>84440</v>
      </c>
      <c r="D44" s="18">
        <v>84510</v>
      </c>
      <c r="E44" s="18">
        <v>84880</v>
      </c>
      <c r="F44" s="18">
        <v>85900</v>
      </c>
      <c r="G44" s="18">
        <v>86600</v>
      </c>
      <c r="H44" s="18">
        <v>86990</v>
      </c>
      <c r="I44" s="18">
        <v>87730</v>
      </c>
      <c r="J44" s="18">
        <v>88360</v>
      </c>
      <c r="K44" s="18">
        <v>89110</v>
      </c>
      <c r="L44" s="18">
        <v>89910</v>
      </c>
      <c r="M44" s="18">
        <v>90180</v>
      </c>
      <c r="N44" s="18">
        <v>91060</v>
      </c>
      <c r="O44" s="18">
        <v>91640</v>
      </c>
      <c r="P44" s="18">
        <v>92170</v>
      </c>
      <c r="Q44" s="18">
        <v>92730</v>
      </c>
      <c r="R44" s="18">
        <v>93850</v>
      </c>
      <c r="S44" s="18">
        <v>95570</v>
      </c>
      <c r="T44" s="18">
        <v>97480</v>
      </c>
      <c r="U44" s="18">
        <v>98340</v>
      </c>
      <c r="V44" s="21">
        <v>99140</v>
      </c>
      <c r="W44" s="21">
        <v>99920</v>
      </c>
      <c r="X44" s="21">
        <v>101080</v>
      </c>
      <c r="Y44" s="21">
        <v>101900</v>
      </c>
      <c r="Z44" s="21">
        <v>102880</v>
      </c>
      <c r="AA44" s="21">
        <v>104110</v>
      </c>
      <c r="AB44" s="21">
        <v>105170</v>
      </c>
      <c r="AC44" s="21">
        <v>106080</v>
      </c>
      <c r="AD44" s="21">
        <v>107070</v>
      </c>
      <c r="AE44" s="21">
        <v>108510</v>
      </c>
      <c r="AF44" s="18">
        <v>109510</v>
      </c>
      <c r="AG44" s="18">
        <v>111340</v>
      </c>
      <c r="AH44" s="122">
        <v>112460</v>
      </c>
      <c r="AI44" s="122">
        <v>113810</v>
      </c>
      <c r="AJ44" s="138">
        <v>115180</v>
      </c>
    </row>
    <row r="45" spans="1:36" x14ac:dyDescent="0.2">
      <c r="A45" s="16" t="s">
        <v>47</v>
      </c>
      <c r="B45" s="17" t="s">
        <v>6</v>
      </c>
      <c r="C45" s="18">
        <v>85770</v>
      </c>
      <c r="D45" s="18">
        <v>86050</v>
      </c>
      <c r="E45" s="18">
        <v>86490</v>
      </c>
      <c r="F45" s="18">
        <v>86660</v>
      </c>
      <c r="G45" s="18">
        <v>87530</v>
      </c>
      <c r="H45" s="18">
        <v>87410</v>
      </c>
      <c r="I45" s="18">
        <v>87890</v>
      </c>
      <c r="J45" s="18">
        <v>88310</v>
      </c>
      <c r="K45" s="18">
        <v>88520</v>
      </c>
      <c r="L45" s="18">
        <v>89040</v>
      </c>
      <c r="M45" s="18">
        <v>89410</v>
      </c>
      <c r="N45" s="18">
        <v>89930</v>
      </c>
      <c r="O45" s="18">
        <v>89870</v>
      </c>
      <c r="P45" s="18">
        <v>89790</v>
      </c>
      <c r="Q45" s="18">
        <v>89880</v>
      </c>
      <c r="R45" s="18">
        <v>89750</v>
      </c>
      <c r="S45" s="18">
        <v>89840</v>
      </c>
      <c r="T45" s="18">
        <v>89870</v>
      </c>
      <c r="U45" s="18">
        <v>89980</v>
      </c>
      <c r="V45" s="21">
        <v>90410</v>
      </c>
      <c r="W45" s="21">
        <v>90810</v>
      </c>
      <c r="X45" s="21">
        <v>91060</v>
      </c>
      <c r="Y45" s="21">
        <v>91660</v>
      </c>
      <c r="Z45" s="21">
        <v>92530</v>
      </c>
      <c r="AA45" s="21">
        <v>93090</v>
      </c>
      <c r="AB45" s="21">
        <v>93880</v>
      </c>
      <c r="AC45" s="21">
        <v>94810</v>
      </c>
      <c r="AD45" s="21">
        <v>95070</v>
      </c>
      <c r="AE45" s="21">
        <v>95410</v>
      </c>
      <c r="AF45" s="18">
        <v>95820</v>
      </c>
      <c r="AG45" s="18">
        <v>96210</v>
      </c>
      <c r="AH45" s="122">
        <v>97170</v>
      </c>
      <c r="AI45" s="122">
        <v>98760</v>
      </c>
      <c r="AJ45" s="138">
        <v>99830</v>
      </c>
    </row>
    <row r="46" spans="1:36" x14ac:dyDescent="0.2">
      <c r="A46" s="16" t="s">
        <v>47</v>
      </c>
      <c r="B46" s="17" t="s">
        <v>8</v>
      </c>
      <c r="C46" s="18">
        <v>142500</v>
      </c>
      <c r="D46" s="18">
        <v>142400</v>
      </c>
      <c r="E46" s="18">
        <v>142240</v>
      </c>
      <c r="F46" s="18">
        <v>142280</v>
      </c>
      <c r="G46" s="18">
        <v>142680</v>
      </c>
      <c r="H46" s="18">
        <v>143040</v>
      </c>
      <c r="I46" s="18">
        <v>143340</v>
      </c>
      <c r="J46" s="18">
        <v>143880</v>
      </c>
      <c r="K46" s="18">
        <v>144570</v>
      </c>
      <c r="L46" s="18">
        <v>144650</v>
      </c>
      <c r="M46" s="18">
        <v>145270</v>
      </c>
      <c r="N46" s="18">
        <v>145920</v>
      </c>
      <c r="O46" s="18">
        <v>146800</v>
      </c>
      <c r="P46" s="18">
        <v>148300</v>
      </c>
      <c r="Q46" s="18">
        <v>150130</v>
      </c>
      <c r="R46" s="18">
        <v>151090</v>
      </c>
      <c r="S46" s="18">
        <v>152320</v>
      </c>
      <c r="T46" s="18">
        <v>153290</v>
      </c>
      <c r="U46" s="18">
        <v>154210</v>
      </c>
      <c r="V46" s="21">
        <v>155130</v>
      </c>
      <c r="W46" s="21">
        <v>156250</v>
      </c>
      <c r="X46" s="21">
        <v>156580</v>
      </c>
      <c r="Y46" s="21">
        <v>156860</v>
      </c>
      <c r="Z46" s="21">
        <v>157270</v>
      </c>
      <c r="AA46" s="21">
        <v>157880</v>
      </c>
      <c r="AB46" s="21">
        <v>158660</v>
      </c>
      <c r="AC46" s="21">
        <v>159240</v>
      </c>
      <c r="AD46" s="21">
        <v>159090</v>
      </c>
      <c r="AE46" s="21">
        <v>159530</v>
      </c>
      <c r="AF46" s="18">
        <v>158990</v>
      </c>
      <c r="AG46" s="18">
        <v>158760</v>
      </c>
      <c r="AH46" s="122">
        <v>158450</v>
      </c>
      <c r="AI46" s="122">
        <v>159020</v>
      </c>
      <c r="AJ46" s="138">
        <v>160020</v>
      </c>
    </row>
    <row r="47" spans="1:36" x14ac:dyDescent="0.2">
      <c r="A47" s="16" t="s">
        <v>47</v>
      </c>
      <c r="B47" s="17" t="s">
        <v>9</v>
      </c>
      <c r="C47" s="18">
        <v>347360</v>
      </c>
      <c r="D47" s="18">
        <v>347910</v>
      </c>
      <c r="E47" s="18">
        <v>349260</v>
      </c>
      <c r="F47" s="18">
        <v>350190</v>
      </c>
      <c r="G47" s="18">
        <v>349720</v>
      </c>
      <c r="H47" s="18">
        <v>347430</v>
      </c>
      <c r="I47" s="18">
        <v>346540</v>
      </c>
      <c r="J47" s="18">
        <v>346540</v>
      </c>
      <c r="K47" s="18">
        <v>347030</v>
      </c>
      <c r="L47" s="18">
        <v>348340</v>
      </c>
      <c r="M47" s="18">
        <v>349770</v>
      </c>
      <c r="N47" s="18">
        <v>350740</v>
      </c>
      <c r="O47" s="18">
        <v>351360</v>
      </c>
      <c r="P47" s="18">
        <v>353050</v>
      </c>
      <c r="Q47" s="18">
        <v>355460</v>
      </c>
      <c r="R47" s="18">
        <v>357260</v>
      </c>
      <c r="S47" s="18">
        <v>358740</v>
      </c>
      <c r="T47" s="18">
        <v>360040</v>
      </c>
      <c r="U47" s="18">
        <v>361420</v>
      </c>
      <c r="V47" s="21">
        <v>362610</v>
      </c>
      <c r="W47" s="21">
        <v>365300</v>
      </c>
      <c r="X47" s="21">
        <v>365950</v>
      </c>
      <c r="Y47" s="21">
        <v>366350</v>
      </c>
      <c r="Z47" s="21">
        <v>366370</v>
      </c>
      <c r="AA47" s="21">
        <v>367020</v>
      </c>
      <c r="AB47" s="21">
        <v>368830</v>
      </c>
      <c r="AC47" s="21">
        <v>369400</v>
      </c>
      <c r="AD47" s="21">
        <v>369270</v>
      </c>
      <c r="AE47" s="21">
        <v>370620</v>
      </c>
      <c r="AF47" s="18">
        <v>370760</v>
      </c>
      <c r="AG47" s="18">
        <v>370880</v>
      </c>
      <c r="AH47" s="122">
        <v>371390</v>
      </c>
      <c r="AI47" s="122">
        <v>373570</v>
      </c>
      <c r="AJ47" s="138">
        <v>374760</v>
      </c>
    </row>
    <row r="48" spans="1:36" x14ac:dyDescent="0.2">
      <c r="A48" s="16" t="s">
        <v>47</v>
      </c>
      <c r="B48" s="17" t="s">
        <v>33</v>
      </c>
      <c r="C48" s="18">
        <v>629220</v>
      </c>
      <c r="D48" s="18">
        <v>622210</v>
      </c>
      <c r="E48" s="18">
        <v>616680</v>
      </c>
      <c r="F48" s="18">
        <v>612260</v>
      </c>
      <c r="G48" s="18">
        <v>604080</v>
      </c>
      <c r="H48" s="18">
        <v>598840</v>
      </c>
      <c r="I48" s="18">
        <v>590660</v>
      </c>
      <c r="J48" s="18">
        <v>587050</v>
      </c>
      <c r="K48" s="18">
        <v>582950</v>
      </c>
      <c r="L48" s="18">
        <v>577020</v>
      </c>
      <c r="M48" s="18">
        <v>578710</v>
      </c>
      <c r="N48" s="18">
        <v>576450</v>
      </c>
      <c r="O48" s="18">
        <v>572270</v>
      </c>
      <c r="P48" s="18">
        <v>569560</v>
      </c>
      <c r="Q48" s="18">
        <v>569250</v>
      </c>
      <c r="R48" s="18">
        <v>568460</v>
      </c>
      <c r="S48" s="18">
        <v>571760</v>
      </c>
      <c r="T48" s="18">
        <v>576200</v>
      </c>
      <c r="U48" s="18">
        <v>581620</v>
      </c>
      <c r="V48" s="21">
        <v>586500</v>
      </c>
      <c r="W48" s="21">
        <v>593060</v>
      </c>
      <c r="X48" s="21">
        <v>593080</v>
      </c>
      <c r="Y48" s="21">
        <v>592090</v>
      </c>
      <c r="Z48" s="21">
        <v>592400</v>
      </c>
      <c r="AA48" s="21">
        <v>595200</v>
      </c>
      <c r="AB48" s="21">
        <v>600820</v>
      </c>
      <c r="AC48" s="21">
        <v>604220</v>
      </c>
      <c r="AD48" s="21">
        <v>608190</v>
      </c>
      <c r="AE48" s="21">
        <v>612490</v>
      </c>
      <c r="AF48" s="18">
        <v>612710</v>
      </c>
      <c r="AG48" s="18">
        <v>610860</v>
      </c>
      <c r="AH48" s="122">
        <v>622050</v>
      </c>
      <c r="AI48" s="122">
        <v>638760</v>
      </c>
      <c r="AJ48" s="138">
        <v>650300</v>
      </c>
    </row>
    <row r="49" spans="1:36" x14ac:dyDescent="0.2">
      <c r="A49" s="16" t="s">
        <v>47</v>
      </c>
      <c r="B49" s="17" t="s">
        <v>10</v>
      </c>
      <c r="C49" s="18">
        <v>203790</v>
      </c>
      <c r="D49" s="18">
        <v>205670</v>
      </c>
      <c r="E49" s="18">
        <v>206740</v>
      </c>
      <c r="F49" s="18">
        <v>207380</v>
      </c>
      <c r="G49" s="18">
        <v>208220</v>
      </c>
      <c r="H49" s="18">
        <v>208650</v>
      </c>
      <c r="I49" s="18">
        <v>208560</v>
      </c>
      <c r="J49" s="18">
        <v>208850</v>
      </c>
      <c r="K49" s="18">
        <v>209200</v>
      </c>
      <c r="L49" s="18">
        <v>209130</v>
      </c>
      <c r="M49" s="18">
        <v>208920</v>
      </c>
      <c r="N49" s="18">
        <v>209760</v>
      </c>
      <c r="O49" s="18">
        <v>211640</v>
      </c>
      <c r="P49" s="18">
        <v>214560</v>
      </c>
      <c r="Q49" s="18">
        <v>218060</v>
      </c>
      <c r="R49" s="18">
        <v>220780</v>
      </c>
      <c r="S49" s="18">
        <v>224000</v>
      </c>
      <c r="T49" s="18">
        <v>226970</v>
      </c>
      <c r="U49" s="18">
        <v>228750</v>
      </c>
      <c r="V49" s="21">
        <v>230730</v>
      </c>
      <c r="W49" s="21">
        <v>232730</v>
      </c>
      <c r="X49" s="21">
        <v>233000</v>
      </c>
      <c r="Y49" s="21">
        <v>233080</v>
      </c>
      <c r="Z49" s="21">
        <v>233180</v>
      </c>
      <c r="AA49" s="21">
        <v>234060</v>
      </c>
      <c r="AB49" s="21">
        <v>234570</v>
      </c>
      <c r="AC49" s="21">
        <v>234800</v>
      </c>
      <c r="AD49" s="21">
        <v>234530</v>
      </c>
      <c r="AE49" s="21">
        <v>234510</v>
      </c>
      <c r="AF49" s="18">
        <v>233910</v>
      </c>
      <c r="AG49" s="18">
        <v>235850</v>
      </c>
      <c r="AH49" s="122">
        <v>235710</v>
      </c>
      <c r="AI49" s="122">
        <v>236520</v>
      </c>
      <c r="AJ49" s="138">
        <v>237290</v>
      </c>
    </row>
    <row r="50" spans="1:36" x14ac:dyDescent="0.2">
      <c r="A50" s="16" t="s">
        <v>47</v>
      </c>
      <c r="B50" s="17" t="s">
        <v>11</v>
      </c>
      <c r="C50" s="18">
        <v>91390</v>
      </c>
      <c r="D50" s="18">
        <v>90850</v>
      </c>
      <c r="E50" s="18">
        <v>89890</v>
      </c>
      <c r="F50" s="18">
        <v>89320</v>
      </c>
      <c r="G50" s="18">
        <v>88640</v>
      </c>
      <c r="H50" s="18">
        <v>87060</v>
      </c>
      <c r="I50" s="18">
        <v>86460</v>
      </c>
      <c r="J50" s="18">
        <v>85840</v>
      </c>
      <c r="K50" s="18">
        <v>85300</v>
      </c>
      <c r="L50" s="18">
        <v>84660</v>
      </c>
      <c r="M50" s="18">
        <v>84150</v>
      </c>
      <c r="N50" s="18">
        <v>83730</v>
      </c>
      <c r="O50" s="18">
        <v>83300</v>
      </c>
      <c r="P50" s="18">
        <v>82690</v>
      </c>
      <c r="Q50" s="18">
        <v>82680</v>
      </c>
      <c r="R50" s="18">
        <v>82320</v>
      </c>
      <c r="S50" s="18">
        <v>82110</v>
      </c>
      <c r="T50" s="18">
        <v>82000</v>
      </c>
      <c r="U50" s="18">
        <v>81670</v>
      </c>
      <c r="V50" s="21">
        <v>81510</v>
      </c>
      <c r="W50" s="21">
        <v>81220</v>
      </c>
      <c r="X50" s="21">
        <v>80990</v>
      </c>
      <c r="Y50" s="21">
        <v>80870</v>
      </c>
      <c r="Z50" s="21">
        <v>80540</v>
      </c>
      <c r="AA50" s="21">
        <v>80340</v>
      </c>
      <c r="AB50" s="21">
        <v>80110</v>
      </c>
      <c r="AC50" s="21">
        <v>79820</v>
      </c>
      <c r="AD50" s="21">
        <v>79350</v>
      </c>
      <c r="AE50" s="21">
        <v>79150</v>
      </c>
      <c r="AF50" s="18">
        <v>78580</v>
      </c>
      <c r="AG50" s="18">
        <v>78390</v>
      </c>
      <c r="AH50" s="122">
        <v>78350</v>
      </c>
      <c r="AI50" s="122">
        <v>78780</v>
      </c>
      <c r="AJ50" s="138">
        <v>78880</v>
      </c>
    </row>
    <row r="51" spans="1:36" x14ac:dyDescent="0.2">
      <c r="A51" s="16" t="s">
        <v>47</v>
      </c>
      <c r="B51" s="17" t="s">
        <v>12</v>
      </c>
      <c r="C51" s="18">
        <v>79530</v>
      </c>
      <c r="D51" s="18">
        <v>79050</v>
      </c>
      <c r="E51" s="18">
        <v>79030</v>
      </c>
      <c r="F51" s="18">
        <v>79060</v>
      </c>
      <c r="G51" s="18">
        <v>78860</v>
      </c>
      <c r="H51" s="18">
        <v>78960</v>
      </c>
      <c r="I51" s="18">
        <v>79550</v>
      </c>
      <c r="J51" s="18">
        <v>80120</v>
      </c>
      <c r="K51" s="18">
        <v>80630</v>
      </c>
      <c r="L51" s="18">
        <v>81110</v>
      </c>
      <c r="M51" s="18">
        <v>80950</v>
      </c>
      <c r="N51" s="18">
        <v>80880</v>
      </c>
      <c r="O51" s="18">
        <v>80280</v>
      </c>
      <c r="P51" s="18">
        <v>80230</v>
      </c>
      <c r="Q51" s="18">
        <v>80050</v>
      </c>
      <c r="R51" s="18">
        <v>79990</v>
      </c>
      <c r="S51" s="18">
        <v>80370</v>
      </c>
      <c r="T51" s="18">
        <v>81550</v>
      </c>
      <c r="U51" s="18">
        <v>81900</v>
      </c>
      <c r="V51" s="21">
        <v>82360</v>
      </c>
      <c r="W51" s="21">
        <v>83450</v>
      </c>
      <c r="X51" s="21">
        <v>84390</v>
      </c>
      <c r="Y51" s="21">
        <v>85120</v>
      </c>
      <c r="Z51" s="21">
        <v>86880</v>
      </c>
      <c r="AA51" s="21">
        <v>88180</v>
      </c>
      <c r="AB51" s="21">
        <v>89470</v>
      </c>
      <c r="AC51" s="21">
        <v>91000</v>
      </c>
      <c r="AD51" s="21">
        <v>92220</v>
      </c>
      <c r="AE51" s="21">
        <v>93420</v>
      </c>
      <c r="AF51" s="18">
        <v>94180</v>
      </c>
      <c r="AG51" s="18">
        <v>95670</v>
      </c>
      <c r="AH51" s="122">
        <v>97040</v>
      </c>
      <c r="AI51" s="122">
        <v>98370</v>
      </c>
      <c r="AJ51" s="138">
        <v>99880</v>
      </c>
    </row>
    <row r="52" spans="1:36" x14ac:dyDescent="0.2">
      <c r="A52" s="16" t="s">
        <v>47</v>
      </c>
      <c r="B52" s="17" t="s">
        <v>13</v>
      </c>
      <c r="C52" s="18">
        <v>83990</v>
      </c>
      <c r="D52" s="18">
        <v>85380</v>
      </c>
      <c r="E52" s="18">
        <v>86520</v>
      </c>
      <c r="F52" s="18">
        <v>87850</v>
      </c>
      <c r="G52" s="18">
        <v>87870</v>
      </c>
      <c r="H52" s="18">
        <v>87430</v>
      </c>
      <c r="I52" s="18">
        <v>87160</v>
      </c>
      <c r="J52" s="18">
        <v>86800</v>
      </c>
      <c r="K52" s="18">
        <v>86800</v>
      </c>
      <c r="L52" s="18">
        <v>86720</v>
      </c>
      <c r="M52" s="18">
        <v>87000</v>
      </c>
      <c r="N52" s="18">
        <v>87690</v>
      </c>
      <c r="O52" s="18">
        <v>88830</v>
      </c>
      <c r="P52" s="18">
        <v>89380</v>
      </c>
      <c r="Q52" s="18">
        <v>90100</v>
      </c>
      <c r="R52" s="18">
        <v>90780</v>
      </c>
      <c r="S52" s="18">
        <v>91440</v>
      </c>
      <c r="T52" s="18">
        <v>92840</v>
      </c>
      <c r="U52" s="18">
        <v>93160</v>
      </c>
      <c r="V52" s="21">
        <v>93690</v>
      </c>
      <c r="W52" s="21">
        <v>93470</v>
      </c>
      <c r="X52" s="21">
        <v>92720</v>
      </c>
      <c r="Y52" s="21">
        <v>93940</v>
      </c>
      <c r="Z52" s="21">
        <v>94180</v>
      </c>
      <c r="AA52" s="21">
        <v>94800</v>
      </c>
      <c r="AB52" s="21">
        <v>95110</v>
      </c>
      <c r="AC52" s="21">
        <v>94660</v>
      </c>
      <c r="AD52" s="21">
        <v>94090</v>
      </c>
      <c r="AE52" s="21">
        <v>94170</v>
      </c>
      <c r="AF52" s="18">
        <v>93870</v>
      </c>
      <c r="AG52" s="18">
        <v>94270</v>
      </c>
      <c r="AH52" s="122">
        <v>94300</v>
      </c>
      <c r="AI52" s="122">
        <v>94790</v>
      </c>
      <c r="AJ52" s="138">
        <v>95010</v>
      </c>
    </row>
    <row r="53" spans="1:36" x14ac:dyDescent="0.2">
      <c r="A53" s="16" t="s">
        <v>47</v>
      </c>
      <c r="B53" s="17" t="s">
        <v>7</v>
      </c>
      <c r="C53" s="18">
        <v>29330</v>
      </c>
      <c r="D53" s="18">
        <v>29240</v>
      </c>
      <c r="E53" s="18">
        <v>29260</v>
      </c>
      <c r="F53" s="18">
        <v>29120</v>
      </c>
      <c r="G53" s="18">
        <v>28810</v>
      </c>
      <c r="H53" s="18">
        <v>28600</v>
      </c>
      <c r="I53" s="18">
        <v>27910</v>
      </c>
      <c r="J53" s="18">
        <v>27540</v>
      </c>
      <c r="K53" s="18">
        <v>27210</v>
      </c>
      <c r="L53" s="18">
        <v>26790</v>
      </c>
      <c r="M53" s="18">
        <v>26450</v>
      </c>
      <c r="N53" s="18">
        <v>26350</v>
      </c>
      <c r="O53" s="18">
        <v>26430</v>
      </c>
      <c r="P53" s="18">
        <v>26650</v>
      </c>
      <c r="Q53" s="18">
        <v>26930</v>
      </c>
      <c r="R53" s="18">
        <v>27060</v>
      </c>
      <c r="S53" s="18">
        <v>27210</v>
      </c>
      <c r="T53" s="18">
        <v>27280</v>
      </c>
      <c r="U53" s="18">
        <v>27420</v>
      </c>
      <c r="V53" s="21">
        <v>27600</v>
      </c>
      <c r="W53" s="21">
        <v>27690</v>
      </c>
      <c r="X53" s="21">
        <v>27540</v>
      </c>
      <c r="Y53" s="21">
        <v>27350</v>
      </c>
      <c r="Z53" s="21">
        <v>27180</v>
      </c>
      <c r="AA53" s="21">
        <v>26930</v>
      </c>
      <c r="AB53" s="21">
        <v>26700</v>
      </c>
      <c r="AC53" s="21">
        <v>26690</v>
      </c>
      <c r="AD53" s="21">
        <v>26500</v>
      </c>
      <c r="AE53" s="21">
        <v>26340</v>
      </c>
      <c r="AF53" s="18">
        <v>26080</v>
      </c>
      <c r="AG53" s="18">
        <v>26160</v>
      </c>
      <c r="AH53" s="122">
        <v>26120</v>
      </c>
      <c r="AI53" s="122">
        <v>26040</v>
      </c>
      <c r="AJ53" s="138">
        <v>26020</v>
      </c>
    </row>
    <row r="54" spans="1:36" x14ac:dyDescent="0.2">
      <c r="A54" s="16" t="s">
        <v>47</v>
      </c>
      <c r="B54" s="17" t="s">
        <v>14</v>
      </c>
      <c r="C54" s="18">
        <v>138060</v>
      </c>
      <c r="D54" s="18">
        <v>137700</v>
      </c>
      <c r="E54" s="18">
        <v>137660</v>
      </c>
      <c r="F54" s="18">
        <v>137550</v>
      </c>
      <c r="G54" s="18">
        <v>137800</v>
      </c>
      <c r="H54" s="18">
        <v>137610</v>
      </c>
      <c r="I54" s="18">
        <v>137690</v>
      </c>
      <c r="J54" s="18">
        <v>137470</v>
      </c>
      <c r="K54" s="18">
        <v>137160</v>
      </c>
      <c r="L54" s="18">
        <v>136360</v>
      </c>
      <c r="M54" s="18">
        <v>135820</v>
      </c>
      <c r="N54" s="18">
        <v>135890</v>
      </c>
      <c r="O54" s="18">
        <v>136310</v>
      </c>
      <c r="P54" s="18">
        <v>136500</v>
      </c>
      <c r="Q54" s="18">
        <v>136690</v>
      </c>
      <c r="R54" s="18">
        <v>136790</v>
      </c>
      <c r="S54" s="18">
        <v>137420</v>
      </c>
      <c r="T54" s="18">
        <v>137910</v>
      </c>
      <c r="U54" s="18">
        <v>137830</v>
      </c>
      <c r="V54" s="21">
        <v>137800</v>
      </c>
      <c r="W54" s="21">
        <v>138090</v>
      </c>
      <c r="X54" s="21">
        <v>137640</v>
      </c>
      <c r="Y54" s="21">
        <v>137100</v>
      </c>
      <c r="Z54" s="21">
        <v>136670</v>
      </c>
      <c r="AA54" s="21">
        <v>136220</v>
      </c>
      <c r="AB54" s="21">
        <v>135950</v>
      </c>
      <c r="AC54" s="21">
        <v>135810</v>
      </c>
      <c r="AD54" s="21">
        <v>135130</v>
      </c>
      <c r="AE54" s="21">
        <v>134570</v>
      </c>
      <c r="AF54" s="18">
        <v>134040</v>
      </c>
      <c r="AG54" s="18">
        <v>133860</v>
      </c>
      <c r="AH54" s="122">
        <v>133490</v>
      </c>
      <c r="AI54" s="122">
        <v>133720</v>
      </c>
      <c r="AJ54" s="138">
        <v>134010</v>
      </c>
    </row>
    <row r="55" spans="1:36" x14ac:dyDescent="0.2">
      <c r="A55" s="16" t="s">
        <v>47</v>
      </c>
      <c r="B55" s="17" t="s">
        <v>31</v>
      </c>
      <c r="C55" s="18">
        <v>326900</v>
      </c>
      <c r="D55" s="18">
        <v>325840</v>
      </c>
      <c r="E55" s="18">
        <v>324200</v>
      </c>
      <c r="F55" s="18">
        <v>323830</v>
      </c>
      <c r="G55" s="18">
        <v>323450</v>
      </c>
      <c r="H55" s="18">
        <v>322300</v>
      </c>
      <c r="I55" s="18">
        <v>322510</v>
      </c>
      <c r="J55" s="18">
        <v>322180</v>
      </c>
      <c r="K55" s="18">
        <v>322160</v>
      </c>
      <c r="L55" s="18">
        <v>321390</v>
      </c>
      <c r="M55" s="18">
        <v>321180</v>
      </c>
      <c r="N55" s="18">
        <v>322520</v>
      </c>
      <c r="O55" s="18">
        <v>323700</v>
      </c>
      <c r="P55" s="18">
        <v>325400</v>
      </c>
      <c r="Q55" s="18">
        <v>327140</v>
      </c>
      <c r="R55" s="18">
        <v>328740</v>
      </c>
      <c r="S55" s="18">
        <v>331160</v>
      </c>
      <c r="T55" s="18">
        <v>333280</v>
      </c>
      <c r="U55" s="18">
        <v>335160</v>
      </c>
      <c r="V55" s="21">
        <v>336280</v>
      </c>
      <c r="W55" s="21">
        <v>337720</v>
      </c>
      <c r="X55" s="21">
        <v>337990</v>
      </c>
      <c r="Y55" s="21">
        <v>338000</v>
      </c>
      <c r="Z55" s="21">
        <v>338440</v>
      </c>
      <c r="AA55" s="21">
        <v>338750</v>
      </c>
      <c r="AB55" s="21">
        <v>339740</v>
      </c>
      <c r="AC55" s="21">
        <v>340310</v>
      </c>
      <c r="AD55" s="21">
        <v>340350</v>
      </c>
      <c r="AE55" s="21">
        <v>341570</v>
      </c>
      <c r="AF55" s="18">
        <v>341400</v>
      </c>
      <c r="AG55" s="18">
        <v>341280</v>
      </c>
      <c r="AH55" s="122">
        <v>340920</v>
      </c>
      <c r="AI55" s="122">
        <v>342780</v>
      </c>
      <c r="AJ55" s="138">
        <v>344540</v>
      </c>
    </row>
    <row r="56" spans="1:36" x14ac:dyDescent="0.2">
      <c r="A56" s="16" t="s">
        <v>47</v>
      </c>
      <c r="B56" s="17" t="s">
        <v>15</v>
      </c>
      <c r="C56" s="18">
        <v>19520</v>
      </c>
      <c r="D56" s="18">
        <v>19670</v>
      </c>
      <c r="E56" s="18">
        <v>19710</v>
      </c>
      <c r="F56" s="18">
        <v>19750</v>
      </c>
      <c r="G56" s="18">
        <v>19810</v>
      </c>
      <c r="H56" s="18">
        <v>19730</v>
      </c>
      <c r="I56" s="18">
        <v>19770</v>
      </c>
      <c r="J56" s="18">
        <v>19590</v>
      </c>
      <c r="K56" s="18">
        <v>19420</v>
      </c>
      <c r="L56" s="18">
        <v>19290</v>
      </c>
      <c r="M56" s="18">
        <v>19220</v>
      </c>
      <c r="N56" s="18">
        <v>19330</v>
      </c>
      <c r="O56" s="18">
        <v>19540</v>
      </c>
      <c r="P56" s="18">
        <v>19830</v>
      </c>
      <c r="Q56" s="18">
        <v>20070</v>
      </c>
      <c r="R56" s="18">
        <v>20340</v>
      </c>
      <c r="S56" s="18">
        <v>20580</v>
      </c>
      <c r="T56" s="18">
        <v>20740</v>
      </c>
      <c r="U56" s="18">
        <v>20940</v>
      </c>
      <c r="V56" s="21">
        <v>21220</v>
      </c>
      <c r="W56" s="21">
        <v>21420</v>
      </c>
      <c r="X56" s="21">
        <v>21500</v>
      </c>
      <c r="Y56" s="21">
        <v>21510</v>
      </c>
      <c r="Z56" s="21">
        <v>21510</v>
      </c>
      <c r="AA56" s="21">
        <v>21520</v>
      </c>
      <c r="AB56" s="21">
        <v>21640</v>
      </c>
      <c r="AC56" s="21">
        <v>21730</v>
      </c>
      <c r="AD56" s="21">
        <v>21830</v>
      </c>
      <c r="AE56" s="21">
        <v>21870</v>
      </c>
      <c r="AF56" s="18">
        <v>21970</v>
      </c>
      <c r="AG56" s="18">
        <v>22030</v>
      </c>
      <c r="AH56" s="122">
        <v>22030</v>
      </c>
      <c r="AI56" s="122">
        <v>22020</v>
      </c>
      <c r="AJ56" s="138">
        <v>22020</v>
      </c>
    </row>
    <row r="57" spans="1:36" x14ac:dyDescent="0.2">
      <c r="A57" s="16" t="s">
        <v>47</v>
      </c>
      <c r="B57" s="17" t="s">
        <v>16</v>
      </c>
      <c r="C57" s="18">
        <v>127370</v>
      </c>
      <c r="D57" s="18">
        <v>129300</v>
      </c>
      <c r="E57" s="18">
        <v>130570</v>
      </c>
      <c r="F57" s="18">
        <v>132230</v>
      </c>
      <c r="G57" s="18">
        <v>133220</v>
      </c>
      <c r="H57" s="18">
        <v>133130</v>
      </c>
      <c r="I57" s="18">
        <v>133980</v>
      </c>
      <c r="J57" s="18">
        <v>134580</v>
      </c>
      <c r="K57" s="18">
        <v>135200</v>
      </c>
      <c r="L57" s="18">
        <v>134970</v>
      </c>
      <c r="M57" s="18">
        <v>134950</v>
      </c>
      <c r="N57" s="18">
        <v>135130</v>
      </c>
      <c r="O57" s="18">
        <v>135960</v>
      </c>
      <c r="P57" s="18">
        <v>136900</v>
      </c>
      <c r="Q57" s="18">
        <v>138060</v>
      </c>
      <c r="R57" s="18">
        <v>139380</v>
      </c>
      <c r="S57" s="18">
        <v>141140</v>
      </c>
      <c r="T57" s="18">
        <v>143130</v>
      </c>
      <c r="U57" s="18">
        <v>144370</v>
      </c>
      <c r="V57" s="21">
        <v>145600</v>
      </c>
      <c r="W57" s="21">
        <v>146850</v>
      </c>
      <c r="X57" s="21">
        <v>147260</v>
      </c>
      <c r="Y57" s="21">
        <v>147010</v>
      </c>
      <c r="Z57" s="21">
        <v>147800</v>
      </c>
      <c r="AA57" s="21">
        <v>148490</v>
      </c>
      <c r="AB57" s="21">
        <v>149170</v>
      </c>
      <c r="AC57" s="21">
        <v>149540</v>
      </c>
      <c r="AD57" s="21">
        <v>149350</v>
      </c>
      <c r="AE57" s="21">
        <v>149740</v>
      </c>
      <c r="AF57" s="18">
        <v>149410</v>
      </c>
      <c r="AG57" s="18">
        <v>150700</v>
      </c>
      <c r="AH57" s="122">
        <v>151130</v>
      </c>
      <c r="AI57" s="122">
        <v>152910</v>
      </c>
      <c r="AJ57" s="138">
        <v>154420</v>
      </c>
    </row>
    <row r="58" spans="1:36" x14ac:dyDescent="0.2">
      <c r="A58" s="16" t="s">
        <v>47</v>
      </c>
      <c r="B58" s="17" t="s">
        <v>26</v>
      </c>
      <c r="C58" s="18">
        <v>175690</v>
      </c>
      <c r="D58" s="18">
        <v>175280</v>
      </c>
      <c r="E58" s="18">
        <v>175320</v>
      </c>
      <c r="F58" s="18">
        <v>175460</v>
      </c>
      <c r="G58" s="18">
        <v>176430</v>
      </c>
      <c r="H58" s="18">
        <v>176390</v>
      </c>
      <c r="I58" s="18">
        <v>175800</v>
      </c>
      <c r="J58" s="18">
        <v>175320</v>
      </c>
      <c r="K58" s="18">
        <v>174390</v>
      </c>
      <c r="L58" s="18">
        <v>173680</v>
      </c>
      <c r="M58" s="18">
        <v>172850</v>
      </c>
      <c r="N58" s="18">
        <v>172300</v>
      </c>
      <c r="O58" s="18">
        <v>171560</v>
      </c>
      <c r="P58" s="18">
        <v>171470</v>
      </c>
      <c r="Q58" s="18">
        <v>171430</v>
      </c>
      <c r="R58" s="18">
        <v>171270</v>
      </c>
      <c r="S58" s="18">
        <v>171870</v>
      </c>
      <c r="T58" s="18">
        <v>172640</v>
      </c>
      <c r="U58" s="18">
        <v>173020</v>
      </c>
      <c r="V58" s="21">
        <v>173700</v>
      </c>
      <c r="W58" s="21">
        <v>174700</v>
      </c>
      <c r="X58" s="21">
        <v>174660</v>
      </c>
      <c r="Y58" s="21">
        <v>174600</v>
      </c>
      <c r="Z58" s="21">
        <v>175280</v>
      </c>
      <c r="AA58" s="21">
        <v>175900</v>
      </c>
      <c r="AB58" s="21">
        <v>177400</v>
      </c>
      <c r="AC58" s="21">
        <v>178530</v>
      </c>
      <c r="AD58" s="21">
        <v>179510</v>
      </c>
      <c r="AE58" s="21">
        <v>181040</v>
      </c>
      <c r="AF58" s="18">
        <v>181610</v>
      </c>
      <c r="AG58" s="18">
        <v>182330</v>
      </c>
      <c r="AH58" s="122">
        <v>184370</v>
      </c>
      <c r="AI58" s="122">
        <v>187150</v>
      </c>
      <c r="AJ58" s="138">
        <v>189170</v>
      </c>
    </row>
    <row r="59" spans="1:36" x14ac:dyDescent="0.2">
      <c r="A59" s="16" t="s">
        <v>47</v>
      </c>
      <c r="B59" s="17" t="s">
        <v>17</v>
      </c>
      <c r="C59" s="18">
        <v>103830</v>
      </c>
      <c r="D59" s="18">
        <v>104540</v>
      </c>
      <c r="E59" s="18">
        <v>105040</v>
      </c>
      <c r="F59" s="18">
        <v>105450</v>
      </c>
      <c r="G59" s="18">
        <v>105940</v>
      </c>
      <c r="H59" s="18">
        <v>105860</v>
      </c>
      <c r="I59" s="18">
        <v>105960</v>
      </c>
      <c r="J59" s="18">
        <v>106040</v>
      </c>
      <c r="K59" s="18">
        <v>105810</v>
      </c>
      <c r="L59" s="18">
        <v>106250</v>
      </c>
      <c r="M59" s="18">
        <v>106950</v>
      </c>
      <c r="N59" s="18">
        <v>107530</v>
      </c>
      <c r="O59" s="18">
        <v>108390</v>
      </c>
      <c r="P59" s="18">
        <v>109450</v>
      </c>
      <c r="Q59" s="18">
        <v>110250</v>
      </c>
      <c r="R59" s="18">
        <v>110860</v>
      </c>
      <c r="S59" s="18">
        <v>112200</v>
      </c>
      <c r="T59" s="18">
        <v>113360</v>
      </c>
      <c r="U59" s="18">
        <v>113590</v>
      </c>
      <c r="V59" s="21">
        <v>113700</v>
      </c>
      <c r="W59" s="21">
        <v>113880</v>
      </c>
      <c r="X59" s="21">
        <v>113940</v>
      </c>
      <c r="Y59" s="21">
        <v>114350</v>
      </c>
      <c r="Z59" s="21">
        <v>114760</v>
      </c>
      <c r="AA59" s="21">
        <v>114890</v>
      </c>
      <c r="AB59" s="21">
        <v>115460</v>
      </c>
      <c r="AC59" s="21">
        <v>115970</v>
      </c>
      <c r="AD59" s="21">
        <v>116190</v>
      </c>
      <c r="AE59" s="21">
        <v>116490</v>
      </c>
      <c r="AF59" s="18">
        <v>116380</v>
      </c>
      <c r="AG59" s="18">
        <v>117080</v>
      </c>
      <c r="AH59" s="122">
        <v>116820</v>
      </c>
      <c r="AI59" s="122">
        <v>116880</v>
      </c>
      <c r="AJ59" s="138">
        <v>116980</v>
      </c>
    </row>
    <row r="60" spans="1:36" x14ac:dyDescent="0.2">
      <c r="A60" s="16" t="s">
        <v>47</v>
      </c>
      <c r="B60" s="17" t="s">
        <v>18</v>
      </c>
      <c r="C60" s="18">
        <v>22530</v>
      </c>
      <c r="D60" s="18">
        <v>22600</v>
      </c>
      <c r="E60" s="18">
        <v>22760</v>
      </c>
      <c r="F60" s="18">
        <v>22790</v>
      </c>
      <c r="G60" s="18">
        <v>22970</v>
      </c>
      <c r="H60" s="18">
        <v>22860</v>
      </c>
      <c r="I60" s="18">
        <v>22830</v>
      </c>
      <c r="J60" s="18">
        <v>22700</v>
      </c>
      <c r="K60" s="18">
        <v>22510</v>
      </c>
      <c r="L60" s="18">
        <v>22180</v>
      </c>
      <c r="M60" s="18">
        <v>21960</v>
      </c>
      <c r="N60" s="18">
        <v>22000</v>
      </c>
      <c r="O60" s="18">
        <v>21950</v>
      </c>
      <c r="P60" s="18">
        <v>22090</v>
      </c>
      <c r="Q60" s="18">
        <v>22250</v>
      </c>
      <c r="R60" s="18">
        <v>22210</v>
      </c>
      <c r="S60" s="18">
        <v>22350</v>
      </c>
      <c r="T60" s="18">
        <v>22480</v>
      </c>
      <c r="U60" s="18">
        <v>22800</v>
      </c>
      <c r="V60" s="21">
        <v>23060</v>
      </c>
      <c r="W60" s="21">
        <v>23240</v>
      </c>
      <c r="X60" s="21">
        <v>23200</v>
      </c>
      <c r="Y60" s="21">
        <v>23180</v>
      </c>
      <c r="Z60" s="21">
        <v>23330</v>
      </c>
      <c r="AA60" s="21">
        <v>23370</v>
      </c>
      <c r="AB60" s="21">
        <v>23240</v>
      </c>
      <c r="AC60" s="21">
        <v>23110</v>
      </c>
      <c r="AD60" s="21">
        <v>23000</v>
      </c>
      <c r="AE60" s="21">
        <v>22910</v>
      </c>
      <c r="AF60" s="18">
        <v>22890</v>
      </c>
      <c r="AG60" s="18">
        <v>22960</v>
      </c>
      <c r="AH60" s="122">
        <v>23020</v>
      </c>
      <c r="AI60" s="122">
        <v>23100</v>
      </c>
      <c r="AJ60" s="138">
        <v>23190</v>
      </c>
    </row>
    <row r="61" spans="1:36" x14ac:dyDescent="0.2">
      <c r="A61" s="16" t="s">
        <v>47</v>
      </c>
      <c r="B61" s="17" t="s">
        <v>19</v>
      </c>
      <c r="C61" s="18">
        <v>113120</v>
      </c>
      <c r="D61" s="18">
        <v>113100</v>
      </c>
      <c r="E61" s="18">
        <v>113280</v>
      </c>
      <c r="F61" s="18">
        <v>113550</v>
      </c>
      <c r="G61" s="18">
        <v>113620</v>
      </c>
      <c r="H61" s="18">
        <v>113540</v>
      </c>
      <c r="I61" s="18">
        <v>113620</v>
      </c>
      <c r="J61" s="18">
        <v>113320</v>
      </c>
      <c r="K61" s="18">
        <v>112850</v>
      </c>
      <c r="L61" s="18">
        <v>112290</v>
      </c>
      <c r="M61" s="18">
        <v>112160</v>
      </c>
      <c r="N61" s="18">
        <v>111690</v>
      </c>
      <c r="O61" s="18">
        <v>111550</v>
      </c>
      <c r="P61" s="18">
        <v>111840</v>
      </c>
      <c r="Q61" s="18">
        <v>112030</v>
      </c>
      <c r="R61" s="18">
        <v>112100</v>
      </c>
      <c r="S61" s="18">
        <v>112380</v>
      </c>
      <c r="T61" s="18">
        <v>112610</v>
      </c>
      <c r="U61" s="18">
        <v>112490</v>
      </c>
      <c r="V61" s="21">
        <v>112600</v>
      </c>
      <c r="W61" s="21">
        <v>112980</v>
      </c>
      <c r="X61" s="21">
        <v>112900</v>
      </c>
      <c r="Y61" s="21">
        <v>112710</v>
      </c>
      <c r="Z61" s="21">
        <v>112440</v>
      </c>
      <c r="AA61" s="21">
        <v>112260</v>
      </c>
      <c r="AB61" s="21">
        <v>112200</v>
      </c>
      <c r="AC61" s="21">
        <v>112400</v>
      </c>
      <c r="AD61" s="21">
        <v>111990</v>
      </c>
      <c r="AE61" s="21">
        <v>112010</v>
      </c>
      <c r="AF61" s="18">
        <v>111470</v>
      </c>
      <c r="AG61" s="18">
        <v>111560</v>
      </c>
      <c r="AH61" s="122">
        <v>111560</v>
      </c>
      <c r="AI61" s="122">
        <v>111940</v>
      </c>
      <c r="AJ61" s="138">
        <v>112260</v>
      </c>
    </row>
    <row r="62" spans="1:36" x14ac:dyDescent="0.2">
      <c r="A62" s="16" t="s">
        <v>47</v>
      </c>
      <c r="B62" s="17" t="s">
        <v>20</v>
      </c>
      <c r="C62" s="18">
        <v>302530</v>
      </c>
      <c r="D62" s="18">
        <v>303220</v>
      </c>
      <c r="E62" s="18">
        <v>303950</v>
      </c>
      <c r="F62" s="18">
        <v>305220</v>
      </c>
      <c r="G62" s="18">
        <v>304930</v>
      </c>
      <c r="H62" s="18">
        <v>304760</v>
      </c>
      <c r="I62" s="18">
        <v>304440</v>
      </c>
      <c r="J62" s="18">
        <v>303330</v>
      </c>
      <c r="K62" s="18">
        <v>302580</v>
      </c>
      <c r="L62" s="18">
        <v>302270</v>
      </c>
      <c r="M62" s="18">
        <v>302340</v>
      </c>
      <c r="N62" s="18">
        <v>302770</v>
      </c>
      <c r="O62" s="18">
        <v>303480</v>
      </c>
      <c r="P62" s="18">
        <v>305660</v>
      </c>
      <c r="Q62" s="18">
        <v>306850</v>
      </c>
      <c r="R62" s="18">
        <v>308450</v>
      </c>
      <c r="S62" s="18">
        <v>310370</v>
      </c>
      <c r="T62" s="18">
        <v>311310</v>
      </c>
      <c r="U62" s="18">
        <v>312180</v>
      </c>
      <c r="V62" s="21">
        <v>313180</v>
      </c>
      <c r="W62" s="21">
        <v>313900</v>
      </c>
      <c r="X62" s="21">
        <v>314770</v>
      </c>
      <c r="Y62" s="21">
        <v>315810</v>
      </c>
      <c r="Z62" s="21">
        <v>316770</v>
      </c>
      <c r="AA62" s="21">
        <v>318110</v>
      </c>
      <c r="AB62" s="21">
        <v>319050</v>
      </c>
      <c r="AC62" s="21">
        <v>320480</v>
      </c>
      <c r="AD62" s="21">
        <v>321320</v>
      </c>
      <c r="AE62" s="21">
        <v>323120</v>
      </c>
      <c r="AF62" s="18">
        <v>323620</v>
      </c>
      <c r="AG62" s="18">
        <v>325390</v>
      </c>
      <c r="AH62" s="122">
        <v>327460</v>
      </c>
      <c r="AI62" s="122">
        <v>331090</v>
      </c>
      <c r="AJ62" s="138">
        <v>334030</v>
      </c>
    </row>
    <row r="63" spans="1:36" x14ac:dyDescent="0.2">
      <c r="A63" s="16" t="s">
        <v>47</v>
      </c>
      <c r="B63" s="17" t="s">
        <v>21</v>
      </c>
      <c r="C63" s="18">
        <v>80930</v>
      </c>
      <c r="D63" s="18">
        <v>81050</v>
      </c>
      <c r="E63" s="18">
        <v>81430</v>
      </c>
      <c r="F63" s="18">
        <v>81980</v>
      </c>
      <c r="G63" s="18">
        <v>82420</v>
      </c>
      <c r="H63" s="18">
        <v>83060</v>
      </c>
      <c r="I63" s="18">
        <v>84050</v>
      </c>
      <c r="J63" s="18">
        <v>84680</v>
      </c>
      <c r="K63" s="18">
        <v>85450</v>
      </c>
      <c r="L63" s="18">
        <v>86160</v>
      </c>
      <c r="M63" s="18">
        <v>86200</v>
      </c>
      <c r="N63" s="18">
        <v>86630</v>
      </c>
      <c r="O63" s="18">
        <v>87090</v>
      </c>
      <c r="P63" s="18">
        <v>86920</v>
      </c>
      <c r="Q63" s="18">
        <v>87510</v>
      </c>
      <c r="R63" s="18">
        <v>88090</v>
      </c>
      <c r="S63" s="18">
        <v>88430</v>
      </c>
      <c r="T63" s="18">
        <v>88540</v>
      </c>
      <c r="U63" s="18">
        <v>88690</v>
      </c>
      <c r="V63" s="21">
        <v>89550</v>
      </c>
      <c r="W63" s="21">
        <v>90330</v>
      </c>
      <c r="X63" s="21">
        <v>90460</v>
      </c>
      <c r="Y63" s="21">
        <v>90290</v>
      </c>
      <c r="Z63" s="21">
        <v>90150</v>
      </c>
      <c r="AA63" s="21">
        <v>90890</v>
      </c>
      <c r="AB63" s="21">
        <v>91600</v>
      </c>
      <c r="AC63" s="21">
        <v>91780</v>
      </c>
      <c r="AD63" s="21">
        <v>91940</v>
      </c>
      <c r="AE63" s="21">
        <v>92100</v>
      </c>
      <c r="AF63" s="18">
        <v>92090</v>
      </c>
      <c r="AG63" s="18">
        <v>91470</v>
      </c>
      <c r="AH63" s="122">
        <v>92610</v>
      </c>
      <c r="AI63" s="122">
        <v>93540</v>
      </c>
      <c r="AJ63" s="138">
        <v>94210</v>
      </c>
    </row>
    <row r="64" spans="1:36" x14ac:dyDescent="0.2">
      <c r="A64" s="16" t="s">
        <v>47</v>
      </c>
      <c r="B64" s="17" t="s">
        <v>27</v>
      </c>
      <c r="C64" s="18">
        <v>97250</v>
      </c>
      <c r="D64" s="18">
        <v>96920</v>
      </c>
      <c r="E64" s="18">
        <v>97000</v>
      </c>
      <c r="F64" s="18">
        <v>96780</v>
      </c>
      <c r="G64" s="18">
        <v>95870</v>
      </c>
      <c r="H64" s="18">
        <v>95320</v>
      </c>
      <c r="I64" s="18">
        <v>95200</v>
      </c>
      <c r="J64" s="18">
        <v>94930</v>
      </c>
      <c r="K64" s="18">
        <v>94420</v>
      </c>
      <c r="L64" s="18">
        <v>93930</v>
      </c>
      <c r="M64" s="18">
        <v>93320</v>
      </c>
      <c r="N64" s="18">
        <v>93040</v>
      </c>
      <c r="O64" s="18">
        <v>92470</v>
      </c>
      <c r="P64" s="18">
        <v>91960</v>
      </c>
      <c r="Q64" s="18">
        <v>91530</v>
      </c>
      <c r="R64" s="18">
        <v>91410</v>
      </c>
      <c r="S64" s="18">
        <v>91370</v>
      </c>
      <c r="T64" s="18">
        <v>91190</v>
      </c>
      <c r="U64" s="18">
        <v>91080</v>
      </c>
      <c r="V64" s="21">
        <v>90800</v>
      </c>
      <c r="W64" s="21">
        <v>90610</v>
      </c>
      <c r="X64" s="21">
        <v>90420</v>
      </c>
      <c r="Y64" s="21">
        <v>89980</v>
      </c>
      <c r="Z64" s="21">
        <v>89950</v>
      </c>
      <c r="AA64" s="21">
        <v>89930</v>
      </c>
      <c r="AB64" s="21">
        <v>90260</v>
      </c>
      <c r="AC64" s="21">
        <v>90120</v>
      </c>
      <c r="AD64" s="21">
        <v>89660</v>
      </c>
      <c r="AE64" s="21">
        <v>89560</v>
      </c>
      <c r="AF64" s="18">
        <v>88990</v>
      </c>
      <c r="AG64" s="18">
        <v>88510</v>
      </c>
      <c r="AH64" s="122">
        <v>88270</v>
      </c>
      <c r="AI64" s="122">
        <v>88940</v>
      </c>
      <c r="AJ64" s="138">
        <v>89120</v>
      </c>
    </row>
    <row r="65" spans="1:36" x14ac:dyDescent="0.2">
      <c r="A65" s="16" t="s">
        <v>47</v>
      </c>
      <c r="B65" s="17" t="s">
        <v>28</v>
      </c>
      <c r="C65" s="18">
        <v>145040</v>
      </c>
      <c r="D65" s="18">
        <v>144500</v>
      </c>
      <c r="E65" s="18">
        <v>145680</v>
      </c>
      <c r="F65" s="18">
        <v>147250</v>
      </c>
      <c r="G65" s="18">
        <v>148710</v>
      </c>
      <c r="H65" s="18">
        <v>150080</v>
      </c>
      <c r="I65" s="18">
        <v>151780</v>
      </c>
      <c r="J65" s="18">
        <v>153200</v>
      </c>
      <c r="K65" s="18">
        <v>154760</v>
      </c>
      <c r="L65" s="18">
        <v>157050</v>
      </c>
      <c r="M65" s="18">
        <v>159030</v>
      </c>
      <c r="N65" s="18">
        <v>160370</v>
      </c>
      <c r="O65" s="18">
        <v>161690</v>
      </c>
      <c r="P65" s="18">
        <v>163540</v>
      </c>
      <c r="Q65" s="18">
        <v>165010</v>
      </c>
      <c r="R65" s="18">
        <v>167110</v>
      </c>
      <c r="S65" s="18">
        <v>169470</v>
      </c>
      <c r="T65" s="18">
        <v>171390</v>
      </c>
      <c r="U65" s="18">
        <v>173040</v>
      </c>
      <c r="V65" s="21">
        <v>174090</v>
      </c>
      <c r="W65" s="21">
        <v>175300</v>
      </c>
      <c r="X65" s="21">
        <v>175480</v>
      </c>
      <c r="Y65" s="21">
        <v>175200</v>
      </c>
      <c r="Z65" s="21">
        <v>176060</v>
      </c>
      <c r="AA65" s="21">
        <v>177060</v>
      </c>
      <c r="AB65" s="21">
        <v>178330</v>
      </c>
      <c r="AC65" s="21">
        <v>179080</v>
      </c>
      <c r="AD65" s="21">
        <v>179270</v>
      </c>
      <c r="AE65" s="21">
        <v>179740</v>
      </c>
      <c r="AF65" s="18">
        <v>179920</v>
      </c>
      <c r="AG65" s="18">
        <v>180850</v>
      </c>
      <c r="AH65" s="122">
        <v>181730</v>
      </c>
      <c r="AI65" s="122">
        <v>184270</v>
      </c>
      <c r="AJ65" s="138">
        <v>186440</v>
      </c>
    </row>
    <row r="66" spans="1:36" ht="29.1" customHeight="1" x14ac:dyDescent="0.2">
      <c r="A66" s="17" t="s">
        <v>182</v>
      </c>
      <c r="B66" s="17" t="s">
        <v>54</v>
      </c>
      <c r="C66" s="18" t="s">
        <v>190</v>
      </c>
      <c r="D66" s="18" t="s">
        <v>190</v>
      </c>
      <c r="E66" s="18" t="s">
        <v>190</v>
      </c>
      <c r="F66" s="18" t="s">
        <v>190</v>
      </c>
      <c r="G66" s="18" t="s">
        <v>190</v>
      </c>
      <c r="H66" s="18" t="s">
        <v>190</v>
      </c>
      <c r="I66" s="18" t="s">
        <v>190</v>
      </c>
      <c r="J66" s="18" t="s">
        <v>190</v>
      </c>
      <c r="K66" s="18" t="s">
        <v>190</v>
      </c>
      <c r="L66" s="18" t="s">
        <v>190</v>
      </c>
      <c r="M66" s="18">
        <v>351412</v>
      </c>
      <c r="N66" s="18">
        <v>352228</v>
      </c>
      <c r="O66" s="18">
        <v>353126</v>
      </c>
      <c r="P66" s="18">
        <v>354193</v>
      </c>
      <c r="Q66" s="18">
        <v>357797</v>
      </c>
      <c r="R66" s="18">
        <v>361637</v>
      </c>
      <c r="S66" s="18">
        <v>366958</v>
      </c>
      <c r="T66" s="18">
        <v>370414</v>
      </c>
      <c r="U66" s="18">
        <v>375116</v>
      </c>
      <c r="V66" s="21">
        <v>379572</v>
      </c>
      <c r="W66" s="21">
        <v>384366</v>
      </c>
      <c r="X66" s="21">
        <v>388093</v>
      </c>
      <c r="Y66" s="21">
        <v>391522</v>
      </c>
      <c r="Z66" s="21">
        <v>394897</v>
      </c>
      <c r="AA66" s="21">
        <v>396364</v>
      </c>
      <c r="AB66" s="21">
        <v>395029</v>
      </c>
      <c r="AC66" s="21">
        <v>393538</v>
      </c>
      <c r="AD66" s="21">
        <v>391615</v>
      </c>
      <c r="AE66" s="21">
        <v>392442</v>
      </c>
      <c r="AF66" s="21">
        <v>392575</v>
      </c>
      <c r="AG66" s="21">
        <v>391387</v>
      </c>
      <c r="AH66" s="122">
        <v>395432</v>
      </c>
      <c r="AI66" s="122" t="s">
        <v>190</v>
      </c>
      <c r="AJ66" s="122" t="s">
        <v>190</v>
      </c>
    </row>
    <row r="67" spans="1:36" x14ac:dyDescent="0.2">
      <c r="A67" s="16" t="s">
        <v>182</v>
      </c>
      <c r="B67" s="16" t="s">
        <v>55</v>
      </c>
      <c r="C67" s="18" t="s">
        <v>190</v>
      </c>
      <c r="D67" s="18" t="s">
        <v>190</v>
      </c>
      <c r="E67" s="18" t="s">
        <v>190</v>
      </c>
      <c r="F67" s="18" t="s">
        <v>190</v>
      </c>
      <c r="G67" s="18" t="s">
        <v>190</v>
      </c>
      <c r="H67" s="18" t="s">
        <v>190</v>
      </c>
      <c r="I67" s="18" t="s">
        <v>190</v>
      </c>
      <c r="J67" s="18" t="s">
        <v>190</v>
      </c>
      <c r="K67" s="18" t="s">
        <v>190</v>
      </c>
      <c r="L67" s="18" t="s">
        <v>190</v>
      </c>
      <c r="M67" s="31">
        <v>20762</v>
      </c>
      <c r="N67" s="31">
        <v>20817</v>
      </c>
      <c r="O67" s="31">
        <v>20919</v>
      </c>
      <c r="P67" s="31">
        <v>21086</v>
      </c>
      <c r="Q67" s="31">
        <v>21369</v>
      </c>
      <c r="R67" s="31">
        <v>21601</v>
      </c>
      <c r="S67" s="31">
        <v>21747</v>
      </c>
      <c r="T67" s="31">
        <v>22114</v>
      </c>
      <c r="U67" s="31">
        <v>22219</v>
      </c>
      <c r="V67" s="21">
        <v>22345</v>
      </c>
      <c r="W67" s="21">
        <v>22423</v>
      </c>
      <c r="X67" s="21">
        <v>22436</v>
      </c>
      <c r="Y67" s="21">
        <v>22422</v>
      </c>
      <c r="Z67" s="21">
        <v>22204</v>
      </c>
      <c r="AA67" s="21">
        <v>22132</v>
      </c>
      <c r="AB67" s="21">
        <v>22173</v>
      </c>
      <c r="AC67" s="21">
        <v>22173</v>
      </c>
      <c r="AD67" s="21">
        <v>22200</v>
      </c>
      <c r="AE67" s="21">
        <v>22116</v>
      </c>
      <c r="AF67" s="21">
        <v>22050</v>
      </c>
      <c r="AG67" s="21">
        <v>22069</v>
      </c>
      <c r="AH67" s="122">
        <v>21944</v>
      </c>
      <c r="AI67" s="122" t="s">
        <v>190</v>
      </c>
      <c r="AJ67" s="122" t="s">
        <v>190</v>
      </c>
    </row>
    <row r="68" spans="1:36" x14ac:dyDescent="0.2">
      <c r="A68" s="16" t="s">
        <v>182</v>
      </c>
      <c r="B68" s="16" t="s">
        <v>56</v>
      </c>
      <c r="C68" s="18" t="s">
        <v>190</v>
      </c>
      <c r="D68" s="18" t="s">
        <v>190</v>
      </c>
      <c r="E68" s="18" t="s">
        <v>190</v>
      </c>
      <c r="F68" s="18" t="s">
        <v>190</v>
      </c>
      <c r="G68" s="18" t="s">
        <v>190</v>
      </c>
      <c r="H68" s="18" t="s">
        <v>190</v>
      </c>
      <c r="I68" s="18" t="s">
        <v>190</v>
      </c>
      <c r="J68" s="18" t="s">
        <v>190</v>
      </c>
      <c r="K68" s="18" t="s">
        <v>190</v>
      </c>
      <c r="L68" s="18" t="s">
        <v>190</v>
      </c>
      <c r="M68" s="31">
        <v>41532</v>
      </c>
      <c r="N68" s="31">
        <v>41726</v>
      </c>
      <c r="O68" s="31">
        <v>41374</v>
      </c>
      <c r="P68" s="31">
        <v>41872</v>
      </c>
      <c r="Q68" s="31">
        <v>42178</v>
      </c>
      <c r="R68" s="31">
        <v>42616</v>
      </c>
      <c r="S68" s="31">
        <v>42976</v>
      </c>
      <c r="T68" s="31">
        <v>43479</v>
      </c>
      <c r="U68" s="31">
        <v>43760</v>
      </c>
      <c r="V68" s="21">
        <v>43902</v>
      </c>
      <c r="W68" s="21">
        <v>44433</v>
      </c>
      <c r="X68" s="21">
        <v>44353</v>
      </c>
      <c r="Y68" s="21">
        <v>44555</v>
      </c>
      <c r="Z68" s="21">
        <v>44793</v>
      </c>
      <c r="AA68" s="21">
        <v>44876</v>
      </c>
      <c r="AB68" s="21">
        <v>44610</v>
      </c>
      <c r="AC68" s="21">
        <v>44250</v>
      </c>
      <c r="AD68" s="21">
        <v>43808</v>
      </c>
      <c r="AE68" s="21">
        <v>43608</v>
      </c>
      <c r="AF68" s="21">
        <v>43154</v>
      </c>
      <c r="AG68" s="21">
        <v>42960</v>
      </c>
      <c r="AH68" s="122">
        <v>42794</v>
      </c>
      <c r="AI68" s="122" t="s">
        <v>190</v>
      </c>
      <c r="AJ68" s="122" t="s">
        <v>190</v>
      </c>
    </row>
    <row r="69" spans="1:36" x14ac:dyDescent="0.2">
      <c r="A69" s="16" t="s">
        <v>182</v>
      </c>
      <c r="B69" s="16" t="s">
        <v>57</v>
      </c>
      <c r="C69" s="18" t="s">
        <v>190</v>
      </c>
      <c r="D69" s="18" t="s">
        <v>190</v>
      </c>
      <c r="E69" s="18" t="s">
        <v>190</v>
      </c>
      <c r="F69" s="18" t="s">
        <v>190</v>
      </c>
      <c r="G69" s="18" t="s">
        <v>190</v>
      </c>
      <c r="H69" s="18" t="s">
        <v>190</v>
      </c>
      <c r="I69" s="18" t="s">
        <v>190</v>
      </c>
      <c r="J69" s="18" t="s">
        <v>190</v>
      </c>
      <c r="K69" s="18" t="s">
        <v>190</v>
      </c>
      <c r="L69" s="18" t="s">
        <v>190</v>
      </c>
      <c r="M69" s="31">
        <v>11672</v>
      </c>
      <c r="N69" s="31">
        <v>11761</v>
      </c>
      <c r="O69" s="31">
        <v>11921</v>
      </c>
      <c r="P69" s="31">
        <v>12161</v>
      </c>
      <c r="Q69" s="31">
        <v>12451</v>
      </c>
      <c r="R69" s="31">
        <v>12621</v>
      </c>
      <c r="S69" s="31">
        <v>12849</v>
      </c>
      <c r="T69" s="31">
        <v>13071</v>
      </c>
      <c r="U69" s="31">
        <v>13128</v>
      </c>
      <c r="V69" s="21">
        <v>13439</v>
      </c>
      <c r="W69" s="21">
        <v>13592</v>
      </c>
      <c r="X69" s="21">
        <v>13609</v>
      </c>
      <c r="Y69" s="21">
        <v>13552</v>
      </c>
      <c r="Z69" s="21">
        <v>13641</v>
      </c>
      <c r="AA69" s="21">
        <v>13545</v>
      </c>
      <c r="AB69" s="21">
        <v>13557</v>
      </c>
      <c r="AC69" s="21">
        <v>13535</v>
      </c>
      <c r="AD69" s="21">
        <v>13460</v>
      </c>
      <c r="AE69" s="21">
        <v>13329</v>
      </c>
      <c r="AF69" s="21">
        <v>13141</v>
      </c>
      <c r="AG69" s="21">
        <v>12985</v>
      </c>
      <c r="AH69" s="122">
        <v>12729</v>
      </c>
      <c r="AI69" s="122" t="s">
        <v>190</v>
      </c>
      <c r="AJ69" s="122" t="s">
        <v>190</v>
      </c>
    </row>
    <row r="70" spans="1:36" x14ac:dyDescent="0.2">
      <c r="A70" s="16" t="s">
        <v>182</v>
      </c>
      <c r="B70" s="16" t="s">
        <v>58</v>
      </c>
      <c r="C70" s="18" t="s">
        <v>190</v>
      </c>
      <c r="D70" s="18" t="s">
        <v>190</v>
      </c>
      <c r="E70" s="18" t="s">
        <v>190</v>
      </c>
      <c r="F70" s="18" t="s">
        <v>190</v>
      </c>
      <c r="G70" s="18" t="s">
        <v>190</v>
      </c>
      <c r="H70" s="18" t="s">
        <v>190</v>
      </c>
      <c r="I70" s="18" t="s">
        <v>190</v>
      </c>
      <c r="J70" s="18" t="s">
        <v>190</v>
      </c>
      <c r="K70" s="18" t="s">
        <v>190</v>
      </c>
      <c r="L70" s="18" t="s">
        <v>190</v>
      </c>
      <c r="M70" s="31">
        <v>141060</v>
      </c>
      <c r="N70" s="31">
        <v>140323</v>
      </c>
      <c r="O70" s="31">
        <v>139962</v>
      </c>
      <c r="P70" s="31">
        <v>140402</v>
      </c>
      <c r="Q70" s="31">
        <v>140737</v>
      </c>
      <c r="R70" s="31">
        <v>140926</v>
      </c>
      <c r="S70" s="31">
        <v>141446</v>
      </c>
      <c r="T70" s="31">
        <v>141526</v>
      </c>
      <c r="U70" s="31">
        <v>141591</v>
      </c>
      <c r="V70" s="21">
        <v>141744</v>
      </c>
      <c r="W70" s="21">
        <v>142036</v>
      </c>
      <c r="X70" s="21">
        <v>141838</v>
      </c>
      <c r="Y70" s="21">
        <v>141466</v>
      </c>
      <c r="Z70" s="21">
        <v>141040</v>
      </c>
      <c r="AA70" s="21">
        <v>140658</v>
      </c>
      <c r="AB70" s="21">
        <v>140487</v>
      </c>
      <c r="AC70" s="21">
        <v>140308</v>
      </c>
      <c r="AD70" s="21">
        <v>139689</v>
      </c>
      <c r="AE70" s="21">
        <v>139598</v>
      </c>
      <c r="AF70" s="21">
        <v>138913</v>
      </c>
      <c r="AG70" s="21">
        <v>139045</v>
      </c>
      <c r="AH70" s="122">
        <v>139110</v>
      </c>
      <c r="AI70" s="122" t="s">
        <v>190</v>
      </c>
      <c r="AJ70" s="122" t="s">
        <v>190</v>
      </c>
    </row>
    <row r="71" spans="1:36" x14ac:dyDescent="0.2">
      <c r="A71" s="16" t="s">
        <v>182</v>
      </c>
      <c r="B71" s="16" t="s">
        <v>96</v>
      </c>
      <c r="C71" s="18" t="s">
        <v>190</v>
      </c>
      <c r="D71" s="18" t="s">
        <v>190</v>
      </c>
      <c r="E71" s="18" t="s">
        <v>190</v>
      </c>
      <c r="F71" s="18" t="s">
        <v>190</v>
      </c>
      <c r="G71" s="18" t="s">
        <v>190</v>
      </c>
      <c r="H71" s="18" t="s">
        <v>190</v>
      </c>
      <c r="I71" s="18" t="s">
        <v>190</v>
      </c>
      <c r="J71" s="18" t="s">
        <v>190</v>
      </c>
      <c r="K71" s="18" t="s">
        <v>190</v>
      </c>
      <c r="L71" s="18" t="s">
        <v>190</v>
      </c>
      <c r="M71" s="31">
        <v>17961</v>
      </c>
      <c r="N71" s="31">
        <v>17879</v>
      </c>
      <c r="O71" s="31">
        <v>17976</v>
      </c>
      <c r="P71" s="31">
        <v>18248</v>
      </c>
      <c r="Q71" s="31">
        <v>18471</v>
      </c>
      <c r="R71" s="31">
        <v>18500</v>
      </c>
      <c r="S71" s="31">
        <v>18908</v>
      </c>
      <c r="T71" s="31">
        <v>19205</v>
      </c>
      <c r="U71" s="31">
        <v>19254</v>
      </c>
      <c r="V71" s="21">
        <v>19026</v>
      </c>
      <c r="W71" s="21">
        <v>19029</v>
      </c>
      <c r="X71" s="21">
        <v>18977</v>
      </c>
      <c r="Y71" s="21">
        <v>18998</v>
      </c>
      <c r="Z71" s="21">
        <v>18888</v>
      </c>
      <c r="AA71" s="21">
        <v>19066</v>
      </c>
      <c r="AB71" s="21">
        <v>19148</v>
      </c>
      <c r="AC71" s="21">
        <v>19216</v>
      </c>
      <c r="AD71" s="21">
        <v>19319</v>
      </c>
      <c r="AE71" s="21">
        <v>19367</v>
      </c>
      <c r="AF71" s="21">
        <v>19511</v>
      </c>
      <c r="AG71" s="21">
        <v>19906</v>
      </c>
      <c r="AH71" s="122">
        <v>19976</v>
      </c>
      <c r="AI71" s="122" t="s">
        <v>190</v>
      </c>
      <c r="AJ71" s="122" t="s">
        <v>190</v>
      </c>
    </row>
    <row r="72" spans="1:36" x14ac:dyDescent="0.2">
      <c r="A72" s="16" t="s">
        <v>182</v>
      </c>
      <c r="B72" s="16" t="s">
        <v>59</v>
      </c>
      <c r="C72" s="18" t="s">
        <v>190</v>
      </c>
      <c r="D72" s="18" t="s">
        <v>190</v>
      </c>
      <c r="E72" s="18" t="s">
        <v>190</v>
      </c>
      <c r="F72" s="18" t="s">
        <v>190</v>
      </c>
      <c r="G72" s="18" t="s">
        <v>190</v>
      </c>
      <c r="H72" s="18" t="s">
        <v>190</v>
      </c>
      <c r="I72" s="18" t="s">
        <v>190</v>
      </c>
      <c r="J72" s="18" t="s">
        <v>190</v>
      </c>
      <c r="K72" s="18" t="s">
        <v>190</v>
      </c>
      <c r="L72" s="18" t="s">
        <v>190</v>
      </c>
      <c r="M72" s="31">
        <v>6680</v>
      </c>
      <c r="N72" s="31">
        <v>6763</v>
      </c>
      <c r="O72" s="31">
        <v>6852</v>
      </c>
      <c r="P72" s="31">
        <v>6876</v>
      </c>
      <c r="Q72" s="31">
        <v>6956</v>
      </c>
      <c r="R72" s="31">
        <v>7022</v>
      </c>
      <c r="S72" s="31">
        <v>7019</v>
      </c>
      <c r="T72" s="31">
        <v>7001</v>
      </c>
      <c r="U72" s="31">
        <v>6944</v>
      </c>
      <c r="V72" s="21">
        <v>6953</v>
      </c>
      <c r="W72" s="21">
        <v>6944</v>
      </c>
      <c r="X72" s="21">
        <v>6986</v>
      </c>
      <c r="Y72" s="21">
        <v>7014</v>
      </c>
      <c r="Z72" s="21">
        <v>6976</v>
      </c>
      <c r="AA72" s="21">
        <v>6946</v>
      </c>
      <c r="AB72" s="21">
        <v>6931</v>
      </c>
      <c r="AC72" s="21">
        <v>7010</v>
      </c>
      <c r="AD72" s="21">
        <v>7041</v>
      </c>
      <c r="AE72" s="21">
        <v>7060</v>
      </c>
      <c r="AF72" s="21">
        <v>7031</v>
      </c>
      <c r="AG72" s="21">
        <v>7198</v>
      </c>
      <c r="AH72" s="122">
        <v>7236</v>
      </c>
      <c r="AI72" s="122" t="s">
        <v>190</v>
      </c>
      <c r="AJ72" s="122" t="s">
        <v>190</v>
      </c>
    </row>
    <row r="73" spans="1:36" x14ac:dyDescent="0.2">
      <c r="A73" s="16" t="s">
        <v>182</v>
      </c>
      <c r="B73" s="16" t="s">
        <v>60</v>
      </c>
      <c r="C73" s="18" t="s">
        <v>190</v>
      </c>
      <c r="D73" s="18" t="s">
        <v>190</v>
      </c>
      <c r="E73" s="18" t="s">
        <v>190</v>
      </c>
      <c r="F73" s="18" t="s">
        <v>190</v>
      </c>
      <c r="G73" s="18" t="s">
        <v>190</v>
      </c>
      <c r="H73" s="18" t="s">
        <v>190</v>
      </c>
      <c r="I73" s="18" t="s">
        <v>190</v>
      </c>
      <c r="J73" s="18" t="s">
        <v>190</v>
      </c>
      <c r="K73" s="18" t="s">
        <v>190</v>
      </c>
      <c r="L73" s="18" t="s">
        <v>190</v>
      </c>
      <c r="M73" s="31">
        <v>8273</v>
      </c>
      <c r="N73" s="31">
        <v>8167</v>
      </c>
      <c r="O73" s="31">
        <v>8134</v>
      </c>
      <c r="P73" s="31">
        <v>8242</v>
      </c>
      <c r="Q73" s="31">
        <v>8179</v>
      </c>
      <c r="R73" s="31">
        <v>8188</v>
      </c>
      <c r="S73" s="31">
        <v>8167</v>
      </c>
      <c r="T73" s="31">
        <v>8061</v>
      </c>
      <c r="U73" s="31">
        <v>7991</v>
      </c>
      <c r="V73" s="21">
        <v>7974</v>
      </c>
      <c r="W73" s="21">
        <v>7896</v>
      </c>
      <c r="X73" s="21">
        <v>7776</v>
      </c>
      <c r="Y73" s="21">
        <v>7822</v>
      </c>
      <c r="Z73" s="21">
        <v>7815</v>
      </c>
      <c r="AA73" s="21">
        <v>7730</v>
      </c>
      <c r="AB73" s="21">
        <v>7682</v>
      </c>
      <c r="AC73" s="21">
        <v>7559</v>
      </c>
      <c r="AD73" s="21">
        <v>7546</v>
      </c>
      <c r="AE73" s="21">
        <v>7452</v>
      </c>
      <c r="AF73" s="21">
        <v>7456</v>
      </c>
      <c r="AG73" s="21">
        <v>7470</v>
      </c>
      <c r="AH73" s="122">
        <v>7430</v>
      </c>
      <c r="AI73" s="122" t="s">
        <v>190</v>
      </c>
      <c r="AJ73" s="122" t="s">
        <v>190</v>
      </c>
    </row>
    <row r="74" spans="1:36" x14ac:dyDescent="0.2">
      <c r="A74" s="16" t="s">
        <v>182</v>
      </c>
      <c r="B74" s="16" t="s">
        <v>97</v>
      </c>
      <c r="C74" s="18" t="s">
        <v>190</v>
      </c>
      <c r="D74" s="18" t="s">
        <v>190</v>
      </c>
      <c r="E74" s="18" t="s">
        <v>190</v>
      </c>
      <c r="F74" s="18" t="s">
        <v>190</v>
      </c>
      <c r="G74" s="18" t="s">
        <v>190</v>
      </c>
      <c r="H74" s="18" t="s">
        <v>190</v>
      </c>
      <c r="I74" s="18" t="s">
        <v>190</v>
      </c>
      <c r="J74" s="18" t="s">
        <v>190</v>
      </c>
      <c r="K74" s="18" t="s">
        <v>190</v>
      </c>
      <c r="L74" s="18" t="s">
        <v>190</v>
      </c>
      <c r="M74" s="31">
        <v>9950</v>
      </c>
      <c r="N74" s="31">
        <v>9897</v>
      </c>
      <c r="O74" s="31">
        <v>9926</v>
      </c>
      <c r="P74" s="31">
        <v>10051</v>
      </c>
      <c r="Q74" s="31">
        <v>10023</v>
      </c>
      <c r="R74" s="31">
        <v>10072</v>
      </c>
      <c r="S74" s="31">
        <v>10130</v>
      </c>
      <c r="T74" s="31">
        <v>10119</v>
      </c>
      <c r="U74" s="31">
        <v>10021</v>
      </c>
      <c r="V74" s="21">
        <v>10037</v>
      </c>
      <c r="W74" s="21">
        <v>10089</v>
      </c>
      <c r="X74" s="21">
        <v>10010</v>
      </c>
      <c r="Y74" s="21">
        <v>9929</v>
      </c>
      <c r="Z74" s="21">
        <v>9853</v>
      </c>
      <c r="AA74" s="21">
        <v>9786</v>
      </c>
      <c r="AB74" s="21">
        <v>9698</v>
      </c>
      <c r="AC74" s="21">
        <v>9637</v>
      </c>
      <c r="AD74" s="21">
        <v>9563</v>
      </c>
      <c r="AE74" s="21">
        <v>9538</v>
      </c>
      <c r="AF74" s="21">
        <v>9560</v>
      </c>
      <c r="AG74" s="21">
        <v>9573</v>
      </c>
      <c r="AH74" s="122">
        <v>9507</v>
      </c>
      <c r="AI74" s="122" t="s">
        <v>190</v>
      </c>
      <c r="AJ74" s="122" t="s">
        <v>190</v>
      </c>
    </row>
    <row r="75" spans="1:36" x14ac:dyDescent="0.2">
      <c r="A75" s="16" t="s">
        <v>182</v>
      </c>
      <c r="B75" s="16" t="s">
        <v>61</v>
      </c>
      <c r="C75" s="18" t="s">
        <v>190</v>
      </c>
      <c r="D75" s="18" t="s">
        <v>190</v>
      </c>
      <c r="E75" s="18" t="s">
        <v>190</v>
      </c>
      <c r="F75" s="18" t="s">
        <v>190</v>
      </c>
      <c r="G75" s="18" t="s">
        <v>190</v>
      </c>
      <c r="H75" s="18" t="s">
        <v>190</v>
      </c>
      <c r="I75" s="18" t="s">
        <v>190</v>
      </c>
      <c r="J75" s="18" t="s">
        <v>190</v>
      </c>
      <c r="K75" s="18" t="s">
        <v>190</v>
      </c>
      <c r="L75" s="18" t="s">
        <v>190</v>
      </c>
      <c r="M75" s="31">
        <v>18739</v>
      </c>
      <c r="N75" s="31">
        <v>18712</v>
      </c>
      <c r="O75" s="31">
        <v>18713</v>
      </c>
      <c r="P75" s="31">
        <v>18918</v>
      </c>
      <c r="Q75" s="31">
        <v>18895</v>
      </c>
      <c r="R75" s="31">
        <v>18882</v>
      </c>
      <c r="S75" s="31">
        <v>18930</v>
      </c>
      <c r="T75" s="31">
        <v>19121</v>
      </c>
      <c r="U75" s="31">
        <v>19105</v>
      </c>
      <c r="V75" s="21">
        <v>19047</v>
      </c>
      <c r="W75" s="21">
        <v>19054</v>
      </c>
      <c r="X75" s="21">
        <v>19024</v>
      </c>
      <c r="Y75" s="21">
        <v>18906</v>
      </c>
      <c r="Z75" s="21">
        <v>18763</v>
      </c>
      <c r="AA75" s="21">
        <v>18763</v>
      </c>
      <c r="AB75" s="21">
        <v>18797</v>
      </c>
      <c r="AC75" s="21">
        <v>18783</v>
      </c>
      <c r="AD75" s="21">
        <v>18600</v>
      </c>
      <c r="AE75" s="21">
        <v>18641</v>
      </c>
      <c r="AF75" s="21">
        <v>18428</v>
      </c>
      <c r="AG75" s="21">
        <v>18433</v>
      </c>
      <c r="AH75" s="122">
        <v>18399</v>
      </c>
      <c r="AI75" s="122" t="s">
        <v>190</v>
      </c>
      <c r="AJ75" s="122" t="s">
        <v>190</v>
      </c>
    </row>
    <row r="76" spans="1:36" x14ac:dyDescent="0.2">
      <c r="A76" s="16" t="s">
        <v>182</v>
      </c>
      <c r="B76" s="16" t="s">
        <v>62</v>
      </c>
      <c r="C76" s="18" t="s">
        <v>190</v>
      </c>
      <c r="D76" s="18" t="s">
        <v>190</v>
      </c>
      <c r="E76" s="18" t="s">
        <v>190</v>
      </c>
      <c r="F76" s="18" t="s">
        <v>190</v>
      </c>
      <c r="G76" s="18" t="s">
        <v>190</v>
      </c>
      <c r="H76" s="18" t="s">
        <v>190</v>
      </c>
      <c r="I76" s="18" t="s">
        <v>190</v>
      </c>
      <c r="J76" s="18" t="s">
        <v>190</v>
      </c>
      <c r="K76" s="18" t="s">
        <v>190</v>
      </c>
      <c r="L76" s="18" t="s">
        <v>190</v>
      </c>
      <c r="M76" s="31">
        <v>75287</v>
      </c>
      <c r="N76" s="31">
        <v>75207</v>
      </c>
      <c r="O76" s="31">
        <v>74622</v>
      </c>
      <c r="P76" s="31">
        <v>73622</v>
      </c>
      <c r="Q76" s="31">
        <v>73088</v>
      </c>
      <c r="R76" s="31">
        <v>73696</v>
      </c>
      <c r="S76" s="31">
        <v>73570</v>
      </c>
      <c r="T76" s="31">
        <v>72903</v>
      </c>
      <c r="U76" s="31">
        <v>72522</v>
      </c>
      <c r="V76" s="21">
        <v>71988</v>
      </c>
      <c r="W76" s="21">
        <v>72570</v>
      </c>
      <c r="X76" s="21">
        <v>71113</v>
      </c>
      <c r="Y76" s="21">
        <v>72258</v>
      </c>
      <c r="Z76" s="21">
        <v>72563</v>
      </c>
      <c r="AA76" s="21">
        <v>72560</v>
      </c>
      <c r="AB76" s="21">
        <v>73307</v>
      </c>
      <c r="AC76" s="21">
        <v>73082</v>
      </c>
      <c r="AD76" s="21">
        <v>72685</v>
      </c>
      <c r="AE76" s="21">
        <v>72605</v>
      </c>
      <c r="AF76" s="21">
        <v>72472</v>
      </c>
      <c r="AG76" s="21">
        <v>72665</v>
      </c>
      <c r="AH76" s="122">
        <v>72434</v>
      </c>
      <c r="AI76" s="122" t="s">
        <v>190</v>
      </c>
      <c r="AJ76" s="122" t="s">
        <v>190</v>
      </c>
    </row>
    <row r="77" spans="1:36" x14ac:dyDescent="0.2">
      <c r="A77" s="16" t="s">
        <v>182</v>
      </c>
      <c r="B77" s="16" t="s">
        <v>63</v>
      </c>
      <c r="C77" s="18" t="s">
        <v>190</v>
      </c>
      <c r="D77" s="18" t="s">
        <v>190</v>
      </c>
      <c r="E77" s="18" t="s">
        <v>190</v>
      </c>
      <c r="F77" s="18" t="s">
        <v>190</v>
      </c>
      <c r="G77" s="18" t="s">
        <v>190</v>
      </c>
      <c r="H77" s="18" t="s">
        <v>190</v>
      </c>
      <c r="I77" s="18" t="s">
        <v>190</v>
      </c>
      <c r="J77" s="18" t="s">
        <v>190</v>
      </c>
      <c r="K77" s="18" t="s">
        <v>190</v>
      </c>
      <c r="L77" s="18" t="s">
        <v>190</v>
      </c>
      <c r="M77" s="31">
        <v>89016</v>
      </c>
      <c r="N77" s="31">
        <v>89209</v>
      </c>
      <c r="O77" s="31">
        <v>89413</v>
      </c>
      <c r="P77" s="31">
        <v>89913</v>
      </c>
      <c r="Q77" s="31">
        <v>90659</v>
      </c>
      <c r="R77" s="31">
        <v>90912</v>
      </c>
      <c r="S77" s="31">
        <v>91539</v>
      </c>
      <c r="T77" s="31">
        <v>91972</v>
      </c>
      <c r="U77" s="31">
        <v>92113</v>
      </c>
      <c r="V77" s="21">
        <v>92222</v>
      </c>
      <c r="W77" s="21">
        <v>92506</v>
      </c>
      <c r="X77" s="21">
        <v>92127</v>
      </c>
      <c r="Y77" s="21">
        <v>91891</v>
      </c>
      <c r="Z77" s="21">
        <v>91711</v>
      </c>
      <c r="AA77" s="21">
        <v>91326</v>
      </c>
      <c r="AB77" s="21">
        <v>91040</v>
      </c>
      <c r="AC77" s="21">
        <v>90697</v>
      </c>
      <c r="AD77" s="21">
        <v>90486</v>
      </c>
      <c r="AE77" s="21">
        <v>90312</v>
      </c>
      <c r="AF77" s="21">
        <v>89989</v>
      </c>
      <c r="AG77" s="21">
        <v>90257</v>
      </c>
      <c r="AH77" s="122">
        <v>90126</v>
      </c>
      <c r="AI77" s="122" t="s">
        <v>190</v>
      </c>
      <c r="AJ77" s="122" t="s">
        <v>190</v>
      </c>
    </row>
    <row r="78" spans="1:36" x14ac:dyDescent="0.2">
      <c r="A78" s="16" t="s">
        <v>182</v>
      </c>
      <c r="B78" s="16" t="s">
        <v>64</v>
      </c>
      <c r="C78" s="18" t="s">
        <v>190</v>
      </c>
      <c r="D78" s="18" t="s">
        <v>190</v>
      </c>
      <c r="E78" s="18" t="s">
        <v>190</v>
      </c>
      <c r="F78" s="18" t="s">
        <v>190</v>
      </c>
      <c r="G78" s="18" t="s">
        <v>190</v>
      </c>
      <c r="H78" s="18" t="s">
        <v>190</v>
      </c>
      <c r="I78" s="18" t="s">
        <v>190</v>
      </c>
      <c r="J78" s="18" t="s">
        <v>190</v>
      </c>
      <c r="K78" s="18" t="s">
        <v>190</v>
      </c>
      <c r="L78" s="18" t="s">
        <v>190</v>
      </c>
      <c r="M78" s="31">
        <v>231764</v>
      </c>
      <c r="N78" s="31">
        <v>231000</v>
      </c>
      <c r="O78" s="31">
        <v>231122</v>
      </c>
      <c r="P78" s="31">
        <v>231125</v>
      </c>
      <c r="Q78" s="31">
        <v>232566</v>
      </c>
      <c r="R78" s="31">
        <v>233195</v>
      </c>
      <c r="S78" s="31">
        <v>234362</v>
      </c>
      <c r="T78" s="31">
        <v>235264</v>
      </c>
      <c r="U78" s="31">
        <v>236388</v>
      </c>
      <c r="V78" s="21">
        <v>237850</v>
      </c>
      <c r="W78" s="21">
        <v>239342</v>
      </c>
      <c r="X78" s="21">
        <v>239833</v>
      </c>
      <c r="Y78" s="21">
        <v>239737</v>
      </c>
      <c r="Z78" s="21">
        <v>239876</v>
      </c>
      <c r="AA78" s="21">
        <v>240201</v>
      </c>
      <c r="AB78" s="21">
        <v>239946</v>
      </c>
      <c r="AC78" s="21">
        <v>240465</v>
      </c>
      <c r="AD78" s="21">
        <v>240253</v>
      </c>
      <c r="AE78" s="21">
        <v>240838</v>
      </c>
      <c r="AF78" s="21">
        <v>240357</v>
      </c>
      <c r="AG78" s="21">
        <v>239490</v>
      </c>
      <c r="AH78" s="122">
        <v>241006</v>
      </c>
      <c r="AI78" s="122" t="s">
        <v>190</v>
      </c>
      <c r="AJ78" s="122" t="s">
        <v>190</v>
      </c>
    </row>
    <row r="79" spans="1:36" x14ac:dyDescent="0.2">
      <c r="A79" s="16" t="s">
        <v>182</v>
      </c>
      <c r="B79" s="16" t="s">
        <v>65</v>
      </c>
      <c r="C79" s="18" t="s">
        <v>190</v>
      </c>
      <c r="D79" s="18" t="s">
        <v>190</v>
      </c>
      <c r="E79" s="18" t="s">
        <v>190</v>
      </c>
      <c r="F79" s="18" t="s">
        <v>190</v>
      </c>
      <c r="G79" s="18" t="s">
        <v>190</v>
      </c>
      <c r="H79" s="18" t="s">
        <v>190</v>
      </c>
      <c r="I79" s="18" t="s">
        <v>190</v>
      </c>
      <c r="J79" s="18" t="s">
        <v>190</v>
      </c>
      <c r="K79" s="18" t="s">
        <v>190</v>
      </c>
      <c r="L79" s="18" t="s">
        <v>190</v>
      </c>
      <c r="M79" s="31">
        <v>280483</v>
      </c>
      <c r="N79" s="31">
        <v>280529</v>
      </c>
      <c r="O79" s="31">
        <v>280324</v>
      </c>
      <c r="P79" s="31">
        <v>282040</v>
      </c>
      <c r="Q79" s="31">
        <v>283501</v>
      </c>
      <c r="R79" s="31">
        <v>285053</v>
      </c>
      <c r="S79" s="31">
        <v>286799</v>
      </c>
      <c r="T79" s="31">
        <v>288711</v>
      </c>
      <c r="U79" s="31">
        <v>290133</v>
      </c>
      <c r="V79" s="21">
        <v>291971</v>
      </c>
      <c r="W79" s="21">
        <v>294748</v>
      </c>
      <c r="X79" s="21">
        <v>295146</v>
      </c>
      <c r="Y79" s="21">
        <v>295213</v>
      </c>
      <c r="Z79" s="21">
        <v>295738</v>
      </c>
      <c r="AA79" s="21">
        <v>296418</v>
      </c>
      <c r="AB79" s="21">
        <v>297432</v>
      </c>
      <c r="AC79" s="21">
        <v>297774</v>
      </c>
      <c r="AD79" s="21">
        <v>297767</v>
      </c>
      <c r="AE79" s="21">
        <v>298928</v>
      </c>
      <c r="AF79" s="21">
        <v>299491</v>
      </c>
      <c r="AG79" s="21">
        <v>300662</v>
      </c>
      <c r="AH79" s="122">
        <v>300519</v>
      </c>
      <c r="AI79" s="122" t="s">
        <v>190</v>
      </c>
      <c r="AJ79" s="122" t="s">
        <v>190</v>
      </c>
    </row>
    <row r="80" spans="1:36" x14ac:dyDescent="0.2">
      <c r="A80" s="16" t="s">
        <v>182</v>
      </c>
      <c r="B80" s="16" t="s">
        <v>66</v>
      </c>
      <c r="C80" s="18" t="s">
        <v>190</v>
      </c>
      <c r="D80" s="18" t="s">
        <v>190</v>
      </c>
      <c r="E80" s="18" t="s">
        <v>190</v>
      </c>
      <c r="F80" s="18" t="s">
        <v>190</v>
      </c>
      <c r="G80" s="18" t="s">
        <v>190</v>
      </c>
      <c r="H80" s="18" t="s">
        <v>190</v>
      </c>
      <c r="I80" s="18" t="s">
        <v>190</v>
      </c>
      <c r="J80" s="18" t="s">
        <v>190</v>
      </c>
      <c r="K80" s="18" t="s">
        <v>190</v>
      </c>
      <c r="L80" s="18" t="s">
        <v>190</v>
      </c>
      <c r="M80" s="31">
        <v>22521</v>
      </c>
      <c r="N80" s="31">
        <v>22310</v>
      </c>
      <c r="O80" s="31">
        <v>22389</v>
      </c>
      <c r="P80" s="31">
        <v>22456</v>
      </c>
      <c r="Q80" s="31">
        <v>22412</v>
      </c>
      <c r="R80" s="31">
        <v>22347</v>
      </c>
      <c r="S80" s="31">
        <v>22324</v>
      </c>
      <c r="T80" s="31">
        <v>22103</v>
      </c>
      <c r="U80" s="31">
        <v>21952</v>
      </c>
      <c r="V80" s="21">
        <v>21662</v>
      </c>
      <c r="W80" s="21">
        <v>21516</v>
      </c>
      <c r="X80" s="21">
        <v>21310</v>
      </c>
      <c r="Y80" s="21">
        <v>21199</v>
      </c>
      <c r="Z80" s="21">
        <v>20886</v>
      </c>
      <c r="AA80" s="21">
        <v>20681</v>
      </c>
      <c r="AB80" s="21">
        <v>20624</v>
      </c>
      <c r="AC80" s="21">
        <v>20751</v>
      </c>
      <c r="AD80" s="21">
        <v>20496</v>
      </c>
      <c r="AE80" s="21">
        <v>20429</v>
      </c>
      <c r="AF80" s="21">
        <v>20175</v>
      </c>
      <c r="AG80" s="21">
        <v>20451</v>
      </c>
      <c r="AH80" s="122">
        <v>20320</v>
      </c>
      <c r="AI80" s="122" t="s">
        <v>190</v>
      </c>
      <c r="AJ80" s="122" t="s">
        <v>190</v>
      </c>
    </row>
    <row r="81" spans="1:36" x14ac:dyDescent="0.2">
      <c r="A81" s="16" t="s">
        <v>182</v>
      </c>
      <c r="B81" s="16" t="s">
        <v>67</v>
      </c>
      <c r="C81" s="18" t="s">
        <v>190</v>
      </c>
      <c r="D81" s="18" t="s">
        <v>190</v>
      </c>
      <c r="E81" s="18" t="s">
        <v>190</v>
      </c>
      <c r="F81" s="18" t="s">
        <v>190</v>
      </c>
      <c r="G81" s="18" t="s">
        <v>190</v>
      </c>
      <c r="H81" s="18" t="s">
        <v>190</v>
      </c>
      <c r="I81" s="18" t="s">
        <v>190</v>
      </c>
      <c r="J81" s="18" t="s">
        <v>190</v>
      </c>
      <c r="K81" s="18" t="s">
        <v>190</v>
      </c>
      <c r="L81" s="18" t="s">
        <v>190</v>
      </c>
      <c r="M81" s="31">
        <v>624032</v>
      </c>
      <c r="N81" s="31">
        <v>623353</v>
      </c>
      <c r="O81" s="31">
        <v>621184</v>
      </c>
      <c r="P81" s="31">
        <v>622237</v>
      </c>
      <c r="Q81" s="31">
        <v>626232</v>
      </c>
      <c r="R81" s="31">
        <v>629922</v>
      </c>
      <c r="S81" s="31">
        <v>636065</v>
      </c>
      <c r="T81" s="31">
        <v>641598</v>
      </c>
      <c r="U81" s="31">
        <v>647527</v>
      </c>
      <c r="V81" s="21">
        <v>655469</v>
      </c>
      <c r="W81" s="21">
        <v>665349</v>
      </c>
      <c r="X81" s="21">
        <v>669934</v>
      </c>
      <c r="Y81" s="21">
        <v>673756</v>
      </c>
      <c r="Z81" s="21">
        <v>679148</v>
      </c>
      <c r="AA81" s="21">
        <v>686744</v>
      </c>
      <c r="AB81" s="21">
        <v>695105</v>
      </c>
      <c r="AC81" s="21">
        <v>702210</v>
      </c>
      <c r="AD81" s="21">
        <v>707499</v>
      </c>
      <c r="AE81" s="21">
        <v>714504</v>
      </c>
      <c r="AF81" s="21">
        <v>717540</v>
      </c>
      <c r="AG81" s="21">
        <v>717039</v>
      </c>
      <c r="AH81" s="122">
        <v>728319</v>
      </c>
      <c r="AI81" s="122" t="s">
        <v>190</v>
      </c>
      <c r="AJ81" s="122" t="s">
        <v>190</v>
      </c>
    </row>
    <row r="82" spans="1:36" x14ac:dyDescent="0.2">
      <c r="A82" s="16" t="s">
        <v>182</v>
      </c>
      <c r="B82" s="16" t="s">
        <v>68</v>
      </c>
      <c r="C82" s="18" t="s">
        <v>190</v>
      </c>
      <c r="D82" s="18" t="s">
        <v>190</v>
      </c>
      <c r="E82" s="18" t="s">
        <v>190</v>
      </c>
      <c r="F82" s="18" t="s">
        <v>190</v>
      </c>
      <c r="G82" s="18" t="s">
        <v>190</v>
      </c>
      <c r="H82" s="18" t="s">
        <v>190</v>
      </c>
      <c r="I82" s="18" t="s">
        <v>190</v>
      </c>
      <c r="J82" s="18" t="s">
        <v>190</v>
      </c>
      <c r="K82" s="18" t="s">
        <v>190</v>
      </c>
      <c r="L82" s="18" t="s">
        <v>190</v>
      </c>
      <c r="M82" s="31">
        <v>93009</v>
      </c>
      <c r="N82" s="31">
        <v>93687</v>
      </c>
      <c r="O82" s="31">
        <v>94839</v>
      </c>
      <c r="P82" s="31">
        <v>95464</v>
      </c>
      <c r="Q82" s="31">
        <v>96231</v>
      </c>
      <c r="R82" s="31">
        <v>96913</v>
      </c>
      <c r="S82" s="31">
        <v>97641</v>
      </c>
      <c r="T82" s="31">
        <v>99016</v>
      </c>
      <c r="U82" s="31">
        <v>99397</v>
      </c>
      <c r="V82" s="21">
        <v>100028</v>
      </c>
      <c r="W82" s="21">
        <v>99887</v>
      </c>
      <c r="X82" s="21">
        <v>99069</v>
      </c>
      <c r="Y82" s="21">
        <v>100351</v>
      </c>
      <c r="Z82" s="21">
        <v>100645</v>
      </c>
      <c r="AA82" s="21">
        <v>101355</v>
      </c>
      <c r="AB82" s="21">
        <v>101687</v>
      </c>
      <c r="AC82" s="21">
        <v>101125</v>
      </c>
      <c r="AD82" s="21">
        <v>100460</v>
      </c>
      <c r="AE82" s="21">
        <v>100442</v>
      </c>
      <c r="AF82" s="21">
        <v>100044</v>
      </c>
      <c r="AG82" s="21">
        <v>100501</v>
      </c>
      <c r="AH82" s="122">
        <v>100533</v>
      </c>
      <c r="AI82" s="122" t="s">
        <v>190</v>
      </c>
      <c r="AJ82" s="122" t="s">
        <v>190</v>
      </c>
    </row>
    <row r="83" spans="1:36" x14ac:dyDescent="0.2">
      <c r="A83" s="16" t="s">
        <v>182</v>
      </c>
      <c r="B83" s="16" t="s">
        <v>69</v>
      </c>
      <c r="C83" s="18" t="s">
        <v>190</v>
      </c>
      <c r="D83" s="18" t="s">
        <v>190</v>
      </c>
      <c r="E83" s="18" t="s">
        <v>190</v>
      </c>
      <c r="F83" s="18" t="s">
        <v>190</v>
      </c>
      <c r="G83" s="18" t="s">
        <v>190</v>
      </c>
      <c r="H83" s="18" t="s">
        <v>190</v>
      </c>
      <c r="I83" s="18" t="s">
        <v>190</v>
      </c>
      <c r="J83" s="18" t="s">
        <v>190</v>
      </c>
      <c r="K83" s="18" t="s">
        <v>190</v>
      </c>
      <c r="L83" s="18" t="s">
        <v>190</v>
      </c>
      <c r="M83" s="31">
        <v>263307</v>
      </c>
      <c r="N83" s="31">
        <v>264732</v>
      </c>
      <c r="O83" s="31">
        <v>265900</v>
      </c>
      <c r="P83" s="31">
        <v>267577</v>
      </c>
      <c r="Q83" s="31">
        <v>270274</v>
      </c>
      <c r="R83" s="31">
        <v>272216</v>
      </c>
      <c r="S83" s="31">
        <v>274650</v>
      </c>
      <c r="T83" s="31">
        <v>276287</v>
      </c>
      <c r="U83" s="31">
        <v>277445</v>
      </c>
      <c r="V83" s="21">
        <v>279365</v>
      </c>
      <c r="W83" s="21">
        <v>281370</v>
      </c>
      <c r="X83" s="21">
        <v>281821</v>
      </c>
      <c r="Y83" s="21">
        <v>282040</v>
      </c>
      <c r="Z83" s="21">
        <v>282272</v>
      </c>
      <c r="AA83" s="21">
        <v>283774</v>
      </c>
      <c r="AB83" s="21">
        <v>285401</v>
      </c>
      <c r="AC83" s="21">
        <v>286022</v>
      </c>
      <c r="AD83" s="21">
        <v>286135</v>
      </c>
      <c r="AE83" s="21">
        <v>286833</v>
      </c>
      <c r="AF83" s="21">
        <v>285918</v>
      </c>
      <c r="AG83" s="21">
        <v>285267</v>
      </c>
      <c r="AH83" s="122">
        <v>286332</v>
      </c>
      <c r="AI83" s="122" t="s">
        <v>190</v>
      </c>
      <c r="AJ83" s="122" t="s">
        <v>190</v>
      </c>
    </row>
    <row r="84" spans="1:36" x14ac:dyDescent="0.2">
      <c r="A84" s="16" t="s">
        <v>182</v>
      </c>
      <c r="B84" s="16" t="s">
        <v>70</v>
      </c>
      <c r="C84" s="18" t="s">
        <v>190</v>
      </c>
      <c r="D84" s="18" t="s">
        <v>190</v>
      </c>
      <c r="E84" s="18" t="s">
        <v>190</v>
      </c>
      <c r="F84" s="18" t="s">
        <v>190</v>
      </c>
      <c r="G84" s="18" t="s">
        <v>190</v>
      </c>
      <c r="H84" s="18" t="s">
        <v>190</v>
      </c>
      <c r="I84" s="18" t="s">
        <v>190</v>
      </c>
      <c r="J84" s="18" t="s">
        <v>190</v>
      </c>
      <c r="K84" s="18" t="s">
        <v>190</v>
      </c>
      <c r="L84" s="18" t="s">
        <v>190</v>
      </c>
      <c r="M84" s="31">
        <v>19727</v>
      </c>
      <c r="N84" s="31">
        <v>19657</v>
      </c>
      <c r="O84" s="31">
        <v>19843</v>
      </c>
      <c r="P84" s="31">
        <v>20060</v>
      </c>
      <c r="Q84" s="31">
        <v>20304</v>
      </c>
      <c r="R84" s="31">
        <v>20429</v>
      </c>
      <c r="S84" s="31">
        <v>20732</v>
      </c>
      <c r="T84" s="31">
        <v>20807</v>
      </c>
      <c r="U84" s="31">
        <v>20868</v>
      </c>
      <c r="V84" s="21">
        <v>21058</v>
      </c>
      <c r="W84" s="21">
        <v>21107</v>
      </c>
      <c r="X84" s="21">
        <v>21122</v>
      </c>
      <c r="Y84" s="21">
        <v>21131</v>
      </c>
      <c r="Z84" s="21">
        <v>20976</v>
      </c>
      <c r="AA84" s="21">
        <v>21044</v>
      </c>
      <c r="AB84" s="21">
        <v>21007</v>
      </c>
      <c r="AC84" s="21">
        <v>21133</v>
      </c>
      <c r="AD84" s="21">
        <v>21135</v>
      </c>
      <c r="AE84" s="21">
        <v>21059</v>
      </c>
      <c r="AF84" s="21">
        <v>20968</v>
      </c>
      <c r="AG84" s="21">
        <v>21374</v>
      </c>
      <c r="AH84" s="122">
        <v>21239</v>
      </c>
      <c r="AI84" s="122" t="s">
        <v>190</v>
      </c>
      <c r="AJ84" s="122" t="s">
        <v>190</v>
      </c>
    </row>
    <row r="85" spans="1:36" x14ac:dyDescent="0.2">
      <c r="A85" s="16" t="s">
        <v>182</v>
      </c>
      <c r="B85" s="16" t="s">
        <v>71</v>
      </c>
      <c r="C85" s="18" t="s">
        <v>190</v>
      </c>
      <c r="D85" s="18" t="s">
        <v>190</v>
      </c>
      <c r="E85" s="18" t="s">
        <v>190</v>
      </c>
      <c r="F85" s="18" t="s">
        <v>190</v>
      </c>
      <c r="G85" s="18" t="s">
        <v>190</v>
      </c>
      <c r="H85" s="18" t="s">
        <v>190</v>
      </c>
      <c r="I85" s="18" t="s">
        <v>190</v>
      </c>
      <c r="J85" s="18" t="s">
        <v>190</v>
      </c>
      <c r="K85" s="18" t="s">
        <v>190</v>
      </c>
      <c r="L85" s="18" t="s">
        <v>190</v>
      </c>
      <c r="M85" s="31">
        <v>21624</v>
      </c>
      <c r="N85" s="31">
        <v>21496</v>
      </c>
      <c r="O85" s="31">
        <v>21519</v>
      </c>
      <c r="P85" s="31">
        <v>21689</v>
      </c>
      <c r="Q85" s="31">
        <v>21979</v>
      </c>
      <c r="R85" s="31">
        <v>22204</v>
      </c>
      <c r="S85" s="31">
        <v>22325</v>
      </c>
      <c r="T85" s="31">
        <v>22220</v>
      </c>
      <c r="U85" s="31">
        <v>22330</v>
      </c>
      <c r="V85" s="21">
        <v>22559</v>
      </c>
      <c r="W85" s="21">
        <v>22747</v>
      </c>
      <c r="X85" s="21">
        <v>22794</v>
      </c>
      <c r="Y85" s="21">
        <v>22777</v>
      </c>
      <c r="Z85" s="21">
        <v>22897</v>
      </c>
      <c r="AA85" s="21">
        <v>23162</v>
      </c>
      <c r="AB85" s="21">
        <v>23086</v>
      </c>
      <c r="AC85" s="21">
        <v>22923</v>
      </c>
      <c r="AD85" s="21">
        <v>22735</v>
      </c>
      <c r="AE85" s="21">
        <v>22524</v>
      </c>
      <c r="AF85" s="21">
        <v>22353</v>
      </c>
      <c r="AG85" s="21">
        <v>22380</v>
      </c>
      <c r="AH85" s="122">
        <v>22444</v>
      </c>
      <c r="AI85" s="122" t="s">
        <v>190</v>
      </c>
      <c r="AJ85" s="122" t="s">
        <v>190</v>
      </c>
    </row>
    <row r="86" spans="1:36" x14ac:dyDescent="0.2">
      <c r="A86" s="16" t="s">
        <v>182</v>
      </c>
      <c r="B86" s="16" t="s">
        <v>72</v>
      </c>
      <c r="C86" s="18" t="s">
        <v>190</v>
      </c>
      <c r="D86" s="18" t="s">
        <v>190</v>
      </c>
      <c r="E86" s="18" t="s">
        <v>190</v>
      </c>
      <c r="F86" s="18" t="s">
        <v>190</v>
      </c>
      <c r="G86" s="18" t="s">
        <v>190</v>
      </c>
      <c r="H86" s="18" t="s">
        <v>190</v>
      </c>
      <c r="I86" s="18" t="s">
        <v>190</v>
      </c>
      <c r="J86" s="18" t="s">
        <v>190</v>
      </c>
      <c r="K86" s="18" t="s">
        <v>190</v>
      </c>
      <c r="L86" s="18" t="s">
        <v>190</v>
      </c>
      <c r="M86" s="31">
        <v>51884</v>
      </c>
      <c r="N86" s="31">
        <v>52508</v>
      </c>
      <c r="O86" s="31">
        <v>53280</v>
      </c>
      <c r="P86" s="31">
        <v>54077</v>
      </c>
      <c r="Q86" s="31">
        <v>54500</v>
      </c>
      <c r="R86" s="31">
        <v>55078</v>
      </c>
      <c r="S86" s="31">
        <v>55786</v>
      </c>
      <c r="T86" s="31">
        <v>56289</v>
      </c>
      <c r="U86" s="31">
        <v>56514</v>
      </c>
      <c r="V86" s="21">
        <v>56867</v>
      </c>
      <c r="W86" s="21">
        <v>57081</v>
      </c>
      <c r="X86" s="21">
        <v>57310</v>
      </c>
      <c r="Y86" s="21">
        <v>57623</v>
      </c>
      <c r="Z86" s="21">
        <v>58093</v>
      </c>
      <c r="AA86" s="21">
        <v>58186</v>
      </c>
      <c r="AB86" s="21">
        <v>58723</v>
      </c>
      <c r="AC86" s="21">
        <v>58802</v>
      </c>
      <c r="AD86" s="21">
        <v>59052</v>
      </c>
      <c r="AE86" s="21">
        <v>59404</v>
      </c>
      <c r="AF86" s="21">
        <v>59346</v>
      </c>
      <c r="AG86" s="21">
        <v>59514</v>
      </c>
      <c r="AH86" s="122">
        <v>59464</v>
      </c>
      <c r="AI86" s="122" t="s">
        <v>190</v>
      </c>
      <c r="AJ86" s="122" t="s">
        <v>190</v>
      </c>
    </row>
    <row r="87" spans="1:36" x14ac:dyDescent="0.2">
      <c r="A87" s="16" t="s">
        <v>182</v>
      </c>
      <c r="B87" s="16" t="s">
        <v>73</v>
      </c>
      <c r="C87" s="18" t="s">
        <v>190</v>
      </c>
      <c r="D87" s="18" t="s">
        <v>190</v>
      </c>
      <c r="E87" s="18" t="s">
        <v>190</v>
      </c>
      <c r="F87" s="18" t="s">
        <v>190</v>
      </c>
      <c r="G87" s="18" t="s">
        <v>190</v>
      </c>
      <c r="H87" s="18" t="s">
        <v>190</v>
      </c>
      <c r="I87" s="18" t="s">
        <v>190</v>
      </c>
      <c r="J87" s="18" t="s">
        <v>190</v>
      </c>
      <c r="K87" s="18" t="s">
        <v>190</v>
      </c>
      <c r="L87" s="18" t="s">
        <v>190</v>
      </c>
      <c r="M87" s="31">
        <v>11799</v>
      </c>
      <c r="N87" s="31">
        <v>11758</v>
      </c>
      <c r="O87" s="31">
        <v>11803</v>
      </c>
      <c r="P87" s="31">
        <v>11806</v>
      </c>
      <c r="Q87" s="31">
        <v>11805</v>
      </c>
      <c r="R87" s="31">
        <v>11711</v>
      </c>
      <c r="S87" s="31">
        <v>11671</v>
      </c>
      <c r="T87" s="31">
        <v>11706</v>
      </c>
      <c r="U87" s="31">
        <v>11595</v>
      </c>
      <c r="V87" s="21">
        <v>11433</v>
      </c>
      <c r="W87" s="21">
        <v>11323</v>
      </c>
      <c r="X87" s="21">
        <v>11221</v>
      </c>
      <c r="Y87" s="21">
        <v>11195</v>
      </c>
      <c r="Z87" s="21">
        <v>11115</v>
      </c>
      <c r="AA87" s="21">
        <v>11114</v>
      </c>
      <c r="AB87" s="21">
        <v>11033</v>
      </c>
      <c r="AC87" s="21">
        <v>11041</v>
      </c>
      <c r="AD87" s="21">
        <v>10923</v>
      </c>
      <c r="AE87" s="21">
        <v>10888</v>
      </c>
      <c r="AF87" s="21">
        <v>10789</v>
      </c>
      <c r="AG87" s="21">
        <v>10809</v>
      </c>
      <c r="AH87" s="122">
        <v>10774</v>
      </c>
      <c r="AI87" s="122" t="s">
        <v>190</v>
      </c>
      <c r="AJ87" s="122" t="s">
        <v>190</v>
      </c>
    </row>
    <row r="88" spans="1:36" x14ac:dyDescent="0.2">
      <c r="A88" s="16" t="s">
        <v>182</v>
      </c>
      <c r="B88" s="16" t="s">
        <v>53</v>
      </c>
      <c r="C88" s="18" t="s">
        <v>190</v>
      </c>
      <c r="D88" s="18" t="s">
        <v>190</v>
      </c>
      <c r="E88" s="18" t="s">
        <v>190</v>
      </c>
      <c r="F88" s="18" t="s">
        <v>190</v>
      </c>
      <c r="G88" s="18" t="s">
        <v>190</v>
      </c>
      <c r="H88" s="18" t="s">
        <v>190</v>
      </c>
      <c r="I88" s="18" t="s">
        <v>190</v>
      </c>
      <c r="J88" s="18" t="s">
        <v>190</v>
      </c>
      <c r="K88" s="18" t="s">
        <v>190</v>
      </c>
      <c r="L88" s="18" t="s">
        <v>190</v>
      </c>
      <c r="M88" s="31">
        <v>1224340</v>
      </c>
      <c r="N88" s="31">
        <v>1221589</v>
      </c>
      <c r="O88" s="31">
        <v>1217047</v>
      </c>
      <c r="P88" s="31">
        <v>1214796</v>
      </c>
      <c r="Q88" s="31">
        <v>1214362</v>
      </c>
      <c r="R88" s="31">
        <v>1213416</v>
      </c>
      <c r="S88" s="31">
        <v>1217959</v>
      </c>
      <c r="T88" s="31">
        <v>1223721</v>
      </c>
      <c r="U88" s="31">
        <v>1230788</v>
      </c>
      <c r="V88" s="21">
        <v>1237560</v>
      </c>
      <c r="W88" s="21">
        <v>1246319</v>
      </c>
      <c r="X88" s="21">
        <v>1247848</v>
      </c>
      <c r="Y88" s="21">
        <v>1247853</v>
      </c>
      <c r="Z88" s="21">
        <v>1251530</v>
      </c>
      <c r="AA88" s="21">
        <v>1256522</v>
      </c>
      <c r="AB88" s="21">
        <v>1265810</v>
      </c>
      <c r="AC88" s="21">
        <v>1273374</v>
      </c>
      <c r="AD88" s="21">
        <v>1279639</v>
      </c>
      <c r="AE88" s="21">
        <v>1287778</v>
      </c>
      <c r="AF88" s="21">
        <v>1289511</v>
      </c>
      <c r="AG88" s="21">
        <v>1290243</v>
      </c>
      <c r="AH88" s="122">
        <v>1306588</v>
      </c>
      <c r="AI88" s="122" t="s">
        <v>190</v>
      </c>
      <c r="AJ88" s="122" t="s">
        <v>190</v>
      </c>
    </row>
    <row r="89" spans="1:36" x14ac:dyDescent="0.2">
      <c r="A89" s="16" t="s">
        <v>182</v>
      </c>
      <c r="B89" s="16" t="s">
        <v>74</v>
      </c>
      <c r="C89" s="18" t="s">
        <v>190</v>
      </c>
      <c r="D89" s="18" t="s">
        <v>190</v>
      </c>
      <c r="E89" s="18" t="s">
        <v>190</v>
      </c>
      <c r="F89" s="18" t="s">
        <v>190</v>
      </c>
      <c r="G89" s="18" t="s">
        <v>190</v>
      </c>
      <c r="H89" s="18" t="s">
        <v>190</v>
      </c>
      <c r="I89" s="18" t="s">
        <v>190</v>
      </c>
      <c r="J89" s="18" t="s">
        <v>190</v>
      </c>
      <c r="K89" s="18" t="s">
        <v>190</v>
      </c>
      <c r="L89" s="18" t="s">
        <v>190</v>
      </c>
      <c r="M89" s="31">
        <v>9365</v>
      </c>
      <c r="N89" s="31">
        <v>9395</v>
      </c>
      <c r="O89" s="31">
        <v>9372</v>
      </c>
      <c r="P89" s="31">
        <v>9508</v>
      </c>
      <c r="Q89" s="31">
        <v>9569</v>
      </c>
      <c r="R89" s="31">
        <v>9603</v>
      </c>
      <c r="S89" s="31">
        <v>9638</v>
      </c>
      <c r="T89" s="31">
        <v>9623</v>
      </c>
      <c r="U89" s="31">
        <v>9669</v>
      </c>
      <c r="V89" s="21">
        <v>9772</v>
      </c>
      <c r="W89" s="21">
        <v>9798</v>
      </c>
      <c r="X89" s="21">
        <v>9807</v>
      </c>
      <c r="Y89" s="21">
        <v>9757</v>
      </c>
      <c r="Z89" s="21">
        <v>9812</v>
      </c>
      <c r="AA89" s="21">
        <v>9672</v>
      </c>
      <c r="AB89" s="21">
        <v>9663</v>
      </c>
      <c r="AC89" s="21">
        <v>9608</v>
      </c>
      <c r="AD89" s="21">
        <v>9565</v>
      </c>
      <c r="AE89" s="21">
        <v>9554</v>
      </c>
      <c r="AF89" s="21">
        <v>9557</v>
      </c>
      <c r="AG89" s="21">
        <v>9695</v>
      </c>
      <c r="AH89" s="122">
        <v>9652</v>
      </c>
      <c r="AI89" s="122" t="s">
        <v>190</v>
      </c>
      <c r="AJ89" s="122" t="s">
        <v>190</v>
      </c>
    </row>
    <row r="90" spans="1:36" x14ac:dyDescent="0.2">
      <c r="A90" s="16" t="s">
        <v>182</v>
      </c>
      <c r="B90" s="16" t="s">
        <v>75</v>
      </c>
      <c r="C90" s="18" t="s">
        <v>190</v>
      </c>
      <c r="D90" s="18" t="s">
        <v>190</v>
      </c>
      <c r="E90" s="18" t="s">
        <v>190</v>
      </c>
      <c r="F90" s="18" t="s">
        <v>190</v>
      </c>
      <c r="G90" s="18" t="s">
        <v>190</v>
      </c>
      <c r="H90" s="18" t="s">
        <v>190</v>
      </c>
      <c r="I90" s="18" t="s">
        <v>190</v>
      </c>
      <c r="J90" s="18" t="s">
        <v>190</v>
      </c>
      <c r="K90" s="18" t="s">
        <v>190</v>
      </c>
      <c r="L90" s="18" t="s">
        <v>190</v>
      </c>
      <c r="M90" s="31">
        <v>86180</v>
      </c>
      <c r="N90" s="31">
        <v>85771</v>
      </c>
      <c r="O90" s="31">
        <v>85363</v>
      </c>
      <c r="P90" s="31">
        <v>84805</v>
      </c>
      <c r="Q90" s="31">
        <v>84748</v>
      </c>
      <c r="R90" s="31">
        <v>84371</v>
      </c>
      <c r="S90" s="31">
        <v>84245</v>
      </c>
      <c r="T90" s="31">
        <v>84180</v>
      </c>
      <c r="U90" s="31">
        <v>83877</v>
      </c>
      <c r="V90" s="21">
        <v>83729</v>
      </c>
      <c r="W90" s="21">
        <v>83451</v>
      </c>
      <c r="X90" s="21">
        <v>83190</v>
      </c>
      <c r="Y90" s="21">
        <v>83051</v>
      </c>
      <c r="Z90" s="21">
        <v>82735</v>
      </c>
      <c r="AA90" s="21">
        <v>82543</v>
      </c>
      <c r="AB90" s="21">
        <v>82294</v>
      </c>
      <c r="AC90" s="21">
        <v>81993</v>
      </c>
      <c r="AD90" s="21">
        <v>81534</v>
      </c>
      <c r="AE90" s="21">
        <v>81365</v>
      </c>
      <c r="AF90" s="21">
        <v>80781</v>
      </c>
      <c r="AG90" s="21">
        <v>80667</v>
      </c>
      <c r="AH90" s="122">
        <v>80592</v>
      </c>
      <c r="AI90" s="122" t="s">
        <v>190</v>
      </c>
      <c r="AJ90" s="122" t="s">
        <v>190</v>
      </c>
    </row>
    <row r="91" spans="1:36" x14ac:dyDescent="0.2">
      <c r="A91" s="16" t="s">
        <v>182</v>
      </c>
      <c r="B91" s="16" t="s">
        <v>76</v>
      </c>
      <c r="C91" s="18" t="s">
        <v>190</v>
      </c>
      <c r="D91" s="18" t="s">
        <v>190</v>
      </c>
      <c r="E91" s="18" t="s">
        <v>190</v>
      </c>
      <c r="F91" s="18" t="s">
        <v>190</v>
      </c>
      <c r="G91" s="18" t="s">
        <v>190</v>
      </c>
      <c r="H91" s="18" t="s">
        <v>190</v>
      </c>
      <c r="I91" s="18" t="s">
        <v>190</v>
      </c>
      <c r="J91" s="18" t="s">
        <v>190</v>
      </c>
      <c r="K91" s="18" t="s">
        <v>190</v>
      </c>
      <c r="L91" s="18" t="s">
        <v>190</v>
      </c>
      <c r="M91" s="31">
        <v>33955</v>
      </c>
      <c r="N91" s="31">
        <v>33974</v>
      </c>
      <c r="O91" s="31">
        <v>33915</v>
      </c>
      <c r="P91" s="31">
        <v>33909</v>
      </c>
      <c r="Q91" s="31">
        <v>34027</v>
      </c>
      <c r="R91" s="31">
        <v>34018</v>
      </c>
      <c r="S91" s="31">
        <v>34216</v>
      </c>
      <c r="T91" s="31">
        <v>34591</v>
      </c>
      <c r="U91" s="31">
        <v>34540</v>
      </c>
      <c r="V91" s="21">
        <v>34531</v>
      </c>
      <c r="W91" s="21">
        <v>34474</v>
      </c>
      <c r="X91" s="21">
        <v>34356</v>
      </c>
      <c r="Y91" s="21">
        <v>34373</v>
      </c>
      <c r="Z91" s="21">
        <v>34405</v>
      </c>
      <c r="AA91" s="21">
        <v>34225</v>
      </c>
      <c r="AB91" s="21">
        <v>34110</v>
      </c>
      <c r="AC91" s="21">
        <v>34401</v>
      </c>
      <c r="AD91" s="21">
        <v>34322</v>
      </c>
      <c r="AE91" s="21">
        <v>34217</v>
      </c>
      <c r="AF91" s="21">
        <v>34040</v>
      </c>
      <c r="AG91" s="21">
        <v>34214</v>
      </c>
      <c r="AH91" s="122">
        <v>33998</v>
      </c>
      <c r="AI91" s="122" t="s">
        <v>190</v>
      </c>
      <c r="AJ91" s="122" t="s">
        <v>190</v>
      </c>
    </row>
    <row r="92" spans="1:36" x14ac:dyDescent="0.2">
      <c r="A92" s="16" t="s">
        <v>182</v>
      </c>
      <c r="B92" s="16" t="s">
        <v>77</v>
      </c>
      <c r="C92" s="18" t="s">
        <v>190</v>
      </c>
      <c r="D92" s="18" t="s">
        <v>190</v>
      </c>
      <c r="E92" s="18" t="s">
        <v>190</v>
      </c>
      <c r="F92" s="18" t="s">
        <v>190</v>
      </c>
      <c r="G92" s="18" t="s">
        <v>190</v>
      </c>
      <c r="H92" s="18" t="s">
        <v>190</v>
      </c>
      <c r="I92" s="18" t="s">
        <v>190</v>
      </c>
      <c r="J92" s="18" t="s">
        <v>190</v>
      </c>
      <c r="K92" s="18" t="s">
        <v>190</v>
      </c>
      <c r="L92" s="18" t="s">
        <v>190</v>
      </c>
      <c r="M92" s="31">
        <v>100192</v>
      </c>
      <c r="N92" s="31">
        <v>100958</v>
      </c>
      <c r="O92" s="31">
        <v>102041</v>
      </c>
      <c r="P92" s="31">
        <v>103776</v>
      </c>
      <c r="Q92" s="31">
        <v>105989</v>
      </c>
      <c r="R92" s="31">
        <v>107985</v>
      </c>
      <c r="S92" s="31">
        <v>110245</v>
      </c>
      <c r="T92" s="31">
        <v>112164</v>
      </c>
      <c r="U92" s="31">
        <v>113677</v>
      </c>
      <c r="V92" s="21">
        <v>114984</v>
      </c>
      <c r="W92" s="21">
        <v>116629</v>
      </c>
      <c r="X92" s="21">
        <v>117049</v>
      </c>
      <c r="Y92" s="21">
        <v>117396</v>
      </c>
      <c r="Z92" s="21">
        <v>117780</v>
      </c>
      <c r="AA92" s="21">
        <v>118973</v>
      </c>
      <c r="AB92" s="21">
        <v>119618</v>
      </c>
      <c r="AC92" s="21">
        <v>120039</v>
      </c>
      <c r="AD92" s="21">
        <v>120053</v>
      </c>
      <c r="AE92" s="21">
        <v>120299</v>
      </c>
      <c r="AF92" s="21">
        <v>120441</v>
      </c>
      <c r="AG92" s="21">
        <v>121280</v>
      </c>
      <c r="AH92" s="122">
        <v>122032</v>
      </c>
      <c r="AI92" s="122" t="s">
        <v>190</v>
      </c>
      <c r="AJ92" s="122" t="s">
        <v>190</v>
      </c>
    </row>
    <row r="93" spans="1:36" x14ac:dyDescent="0.2">
      <c r="A93" s="16" t="s">
        <v>182</v>
      </c>
      <c r="B93" s="16" t="s">
        <v>78</v>
      </c>
      <c r="C93" s="18" t="s">
        <v>190</v>
      </c>
      <c r="D93" s="18" t="s">
        <v>190</v>
      </c>
      <c r="E93" s="18" t="s">
        <v>190</v>
      </c>
      <c r="F93" s="18" t="s">
        <v>190</v>
      </c>
      <c r="G93" s="18" t="s">
        <v>190</v>
      </c>
      <c r="H93" s="18" t="s">
        <v>190</v>
      </c>
      <c r="I93" s="18" t="s">
        <v>190</v>
      </c>
      <c r="J93" s="18" t="s">
        <v>190</v>
      </c>
      <c r="K93" s="18" t="s">
        <v>190</v>
      </c>
      <c r="L93" s="18" t="s">
        <v>190</v>
      </c>
      <c r="M93" s="31">
        <v>204824</v>
      </c>
      <c r="N93" s="31">
        <v>204916</v>
      </c>
      <c r="O93" s="31">
        <v>205370</v>
      </c>
      <c r="P93" s="31">
        <v>205653</v>
      </c>
      <c r="Q93" s="31">
        <v>205756</v>
      </c>
      <c r="R93" s="31">
        <v>205961</v>
      </c>
      <c r="S93" s="31">
        <v>206748</v>
      </c>
      <c r="T93" s="31">
        <v>207774</v>
      </c>
      <c r="U93" s="31">
        <v>207846</v>
      </c>
      <c r="V93" s="21">
        <v>208137</v>
      </c>
      <c r="W93" s="21">
        <v>208757</v>
      </c>
      <c r="X93" s="21">
        <v>208390</v>
      </c>
      <c r="Y93" s="21">
        <v>207711</v>
      </c>
      <c r="Z93" s="21">
        <v>207042</v>
      </c>
      <c r="AA93" s="21">
        <v>206472</v>
      </c>
      <c r="AB93" s="21">
        <v>206270</v>
      </c>
      <c r="AC93" s="21">
        <v>206007</v>
      </c>
      <c r="AD93" s="21">
        <v>205223</v>
      </c>
      <c r="AE93" s="21">
        <v>204770</v>
      </c>
      <c r="AF93" s="21">
        <v>203938</v>
      </c>
      <c r="AG93" s="21">
        <v>203669</v>
      </c>
      <c r="AH93" s="122">
        <v>203105</v>
      </c>
      <c r="AI93" s="122" t="s">
        <v>190</v>
      </c>
      <c r="AJ93" s="122" t="s">
        <v>190</v>
      </c>
    </row>
    <row r="94" spans="1:36" x14ac:dyDescent="0.2">
      <c r="A94" s="16" t="s">
        <v>182</v>
      </c>
      <c r="B94" s="16" t="s">
        <v>79</v>
      </c>
      <c r="C94" s="18" t="s">
        <v>190</v>
      </c>
      <c r="D94" s="18" t="s">
        <v>190</v>
      </c>
      <c r="E94" s="18" t="s">
        <v>190</v>
      </c>
      <c r="F94" s="18" t="s">
        <v>190</v>
      </c>
      <c r="G94" s="18" t="s">
        <v>190</v>
      </c>
      <c r="H94" s="18" t="s">
        <v>190</v>
      </c>
      <c r="I94" s="18" t="s">
        <v>190</v>
      </c>
      <c r="J94" s="18" t="s">
        <v>190</v>
      </c>
      <c r="K94" s="18" t="s">
        <v>190</v>
      </c>
      <c r="L94" s="18" t="s">
        <v>190</v>
      </c>
      <c r="M94" s="31">
        <v>178011</v>
      </c>
      <c r="N94" s="31">
        <v>179379</v>
      </c>
      <c r="O94" s="31">
        <v>180829</v>
      </c>
      <c r="P94" s="31">
        <v>182913</v>
      </c>
      <c r="Q94" s="31">
        <v>184447</v>
      </c>
      <c r="R94" s="31">
        <v>186546</v>
      </c>
      <c r="S94" s="31">
        <v>189033</v>
      </c>
      <c r="T94" s="31">
        <v>191079</v>
      </c>
      <c r="U94" s="31">
        <v>192708</v>
      </c>
      <c r="V94" s="21">
        <v>193748</v>
      </c>
      <c r="W94" s="21">
        <v>195079</v>
      </c>
      <c r="X94" s="21">
        <v>195165</v>
      </c>
      <c r="Y94" s="21">
        <v>194672</v>
      </c>
      <c r="Z94" s="21">
        <v>195534</v>
      </c>
      <c r="AA94" s="21">
        <v>196546</v>
      </c>
      <c r="AB94" s="21">
        <v>197724</v>
      </c>
      <c r="AC94" s="21">
        <v>198656</v>
      </c>
      <c r="AD94" s="21">
        <v>198649</v>
      </c>
      <c r="AE94" s="21">
        <v>199191</v>
      </c>
      <c r="AF94" s="21">
        <v>199409</v>
      </c>
      <c r="AG94" s="21">
        <v>200492</v>
      </c>
      <c r="AH94" s="122">
        <v>201415</v>
      </c>
      <c r="AI94" s="122" t="s">
        <v>190</v>
      </c>
      <c r="AJ94" s="122" t="s">
        <v>190</v>
      </c>
    </row>
    <row r="95" spans="1:36" x14ac:dyDescent="0.2">
      <c r="A95" s="16" t="s">
        <v>182</v>
      </c>
      <c r="B95" s="16" t="s">
        <v>80</v>
      </c>
      <c r="C95" s="18" t="s">
        <v>190</v>
      </c>
      <c r="D95" s="18" t="s">
        <v>190</v>
      </c>
      <c r="E95" s="18" t="s">
        <v>190</v>
      </c>
      <c r="F95" s="18" t="s">
        <v>190</v>
      </c>
      <c r="G95" s="18" t="s">
        <v>190</v>
      </c>
      <c r="H95" s="18" t="s">
        <v>190</v>
      </c>
      <c r="I95" s="18" t="s">
        <v>190</v>
      </c>
      <c r="J95" s="18" t="s">
        <v>190</v>
      </c>
      <c r="K95" s="18" t="s">
        <v>190</v>
      </c>
      <c r="L95" s="18" t="s">
        <v>190</v>
      </c>
      <c r="M95" s="31">
        <v>9729</v>
      </c>
      <c r="N95" s="31">
        <v>9642</v>
      </c>
      <c r="O95" s="31">
        <v>9705</v>
      </c>
      <c r="P95" s="31">
        <v>9698</v>
      </c>
      <c r="Q95" s="31">
        <v>9831</v>
      </c>
      <c r="R95" s="31">
        <v>9847</v>
      </c>
      <c r="S95" s="31">
        <v>9837</v>
      </c>
      <c r="T95" s="31">
        <v>9787</v>
      </c>
      <c r="U95" s="31">
        <v>9755</v>
      </c>
      <c r="V95" s="21">
        <v>9602</v>
      </c>
      <c r="W95" s="21">
        <v>9488</v>
      </c>
      <c r="X95" s="21">
        <v>9468</v>
      </c>
      <c r="Y95" s="21">
        <v>9386</v>
      </c>
      <c r="Z95" s="21">
        <v>9449</v>
      </c>
      <c r="AA95" s="21">
        <v>9390</v>
      </c>
      <c r="AB95" s="21">
        <v>9240</v>
      </c>
      <c r="AC95" s="21">
        <v>9296</v>
      </c>
      <c r="AD95" s="21">
        <v>9320</v>
      </c>
      <c r="AE95" s="21">
        <v>9337</v>
      </c>
      <c r="AF95" s="21">
        <v>9306</v>
      </c>
      <c r="AG95" s="21">
        <v>9403</v>
      </c>
      <c r="AH95" s="122">
        <v>9371</v>
      </c>
      <c r="AI95" s="122" t="s">
        <v>190</v>
      </c>
      <c r="AJ95" s="122" t="s">
        <v>190</v>
      </c>
    </row>
    <row r="96" spans="1:36" x14ac:dyDescent="0.2">
      <c r="A96" s="16" t="s">
        <v>182</v>
      </c>
      <c r="B96" s="16" t="s">
        <v>81</v>
      </c>
      <c r="C96" s="18" t="s">
        <v>190</v>
      </c>
      <c r="D96" s="18" t="s">
        <v>190</v>
      </c>
      <c r="E96" s="18" t="s">
        <v>190</v>
      </c>
      <c r="F96" s="18" t="s">
        <v>190</v>
      </c>
      <c r="G96" s="18" t="s">
        <v>190</v>
      </c>
      <c r="H96" s="18" t="s">
        <v>190</v>
      </c>
      <c r="I96" s="18" t="s">
        <v>190</v>
      </c>
      <c r="J96" s="18" t="s">
        <v>190</v>
      </c>
      <c r="K96" s="18" t="s">
        <v>190</v>
      </c>
      <c r="L96" s="18" t="s">
        <v>190</v>
      </c>
      <c r="M96" s="31">
        <v>404385</v>
      </c>
      <c r="N96" s="31">
        <v>405454</v>
      </c>
      <c r="O96" s="31">
        <v>406320</v>
      </c>
      <c r="P96" s="31">
        <v>408893</v>
      </c>
      <c r="Q96" s="31">
        <v>411387</v>
      </c>
      <c r="R96" s="31">
        <v>413967</v>
      </c>
      <c r="S96" s="31">
        <v>417109</v>
      </c>
      <c r="T96" s="31">
        <v>419562</v>
      </c>
      <c r="U96" s="31">
        <v>421549</v>
      </c>
      <c r="V96" s="21">
        <v>422711</v>
      </c>
      <c r="W96" s="21">
        <v>424193</v>
      </c>
      <c r="X96" s="21">
        <v>424713</v>
      </c>
      <c r="Y96" s="21">
        <v>425252</v>
      </c>
      <c r="Z96" s="21">
        <v>425747</v>
      </c>
      <c r="AA96" s="21">
        <v>426663</v>
      </c>
      <c r="AB96" s="21">
        <v>427870</v>
      </c>
      <c r="AC96" s="21">
        <v>428389</v>
      </c>
      <c r="AD96" s="21">
        <v>428202</v>
      </c>
      <c r="AE96" s="21">
        <v>429620</v>
      </c>
      <c r="AF96" s="21">
        <v>429121</v>
      </c>
      <c r="AG96" s="21">
        <v>428868</v>
      </c>
      <c r="AH96" s="122">
        <v>428428</v>
      </c>
      <c r="AI96" s="122" t="s">
        <v>190</v>
      </c>
      <c r="AJ96" s="122" t="s">
        <v>190</v>
      </c>
    </row>
    <row r="97" spans="1:36" x14ac:dyDescent="0.2">
      <c r="A97" s="16" t="s">
        <v>182</v>
      </c>
      <c r="B97" s="16" t="s">
        <v>82</v>
      </c>
      <c r="C97" s="18" t="s">
        <v>190</v>
      </c>
      <c r="D97" s="18" t="s">
        <v>190</v>
      </c>
      <c r="E97" s="18" t="s">
        <v>190</v>
      </c>
      <c r="F97" s="18" t="s">
        <v>190</v>
      </c>
      <c r="G97" s="18" t="s">
        <v>190</v>
      </c>
      <c r="H97" s="18" t="s">
        <v>190</v>
      </c>
      <c r="I97" s="18" t="s">
        <v>190</v>
      </c>
      <c r="J97" s="18" t="s">
        <v>190</v>
      </c>
      <c r="K97" s="18" t="s">
        <v>190</v>
      </c>
      <c r="L97" s="18" t="s">
        <v>190</v>
      </c>
      <c r="M97" s="31">
        <v>7530</v>
      </c>
      <c r="N97" s="31">
        <v>7573</v>
      </c>
      <c r="O97" s="31">
        <v>7566</v>
      </c>
      <c r="P97" s="31">
        <v>7601</v>
      </c>
      <c r="Q97" s="31">
        <v>7720</v>
      </c>
      <c r="R97" s="31">
        <v>7615</v>
      </c>
      <c r="S97" s="31">
        <v>7572</v>
      </c>
      <c r="T97" s="31">
        <v>7572</v>
      </c>
      <c r="U97" s="31">
        <v>7554</v>
      </c>
      <c r="V97" s="21">
        <v>7416</v>
      </c>
      <c r="W97" s="21">
        <v>7371</v>
      </c>
      <c r="X97" s="21">
        <v>7382</v>
      </c>
      <c r="Y97" s="21">
        <v>7387</v>
      </c>
      <c r="Z97" s="21">
        <v>7431</v>
      </c>
      <c r="AA97" s="21">
        <v>7358</v>
      </c>
      <c r="AB97" s="21">
        <v>7313</v>
      </c>
      <c r="AC97" s="21">
        <v>7360</v>
      </c>
      <c r="AD97" s="21">
        <v>7406</v>
      </c>
      <c r="AE97" s="21">
        <v>7422</v>
      </c>
      <c r="AF97" s="21">
        <v>7390</v>
      </c>
      <c r="AG97" s="21">
        <v>7578</v>
      </c>
      <c r="AH97" s="122">
        <v>7665</v>
      </c>
      <c r="AI97" s="122" t="s">
        <v>190</v>
      </c>
      <c r="AJ97" s="122" t="s">
        <v>190</v>
      </c>
    </row>
    <row r="98" spans="1:36" x14ac:dyDescent="0.2">
      <c r="A98" s="16" t="s">
        <v>182</v>
      </c>
      <c r="B98" s="16" t="s">
        <v>83</v>
      </c>
      <c r="C98" s="18" t="s">
        <v>190</v>
      </c>
      <c r="D98" s="18" t="s">
        <v>190</v>
      </c>
      <c r="E98" s="18" t="s">
        <v>190</v>
      </c>
      <c r="F98" s="18" t="s">
        <v>190</v>
      </c>
      <c r="G98" s="18" t="s">
        <v>190</v>
      </c>
      <c r="H98" s="18" t="s">
        <v>190</v>
      </c>
      <c r="I98" s="18" t="s">
        <v>190</v>
      </c>
      <c r="J98" s="18" t="s">
        <v>190</v>
      </c>
      <c r="K98" s="18" t="s">
        <v>190</v>
      </c>
      <c r="L98" s="18" t="s">
        <v>190</v>
      </c>
      <c r="M98" s="31">
        <v>13098</v>
      </c>
      <c r="N98" s="31">
        <v>13011</v>
      </c>
      <c r="O98" s="31">
        <v>13123</v>
      </c>
      <c r="P98" s="31">
        <v>13162</v>
      </c>
      <c r="Q98" s="31">
        <v>13329</v>
      </c>
      <c r="R98" s="31">
        <v>13307</v>
      </c>
      <c r="S98" s="31">
        <v>13313</v>
      </c>
      <c r="T98" s="31">
        <v>13256</v>
      </c>
      <c r="U98" s="31">
        <v>13369</v>
      </c>
      <c r="V98" s="21">
        <v>13208</v>
      </c>
      <c r="W98" s="21">
        <v>13184</v>
      </c>
      <c r="X98" s="21">
        <v>13028</v>
      </c>
      <c r="Y98" s="21">
        <v>12878</v>
      </c>
      <c r="Z98" s="21">
        <v>12858</v>
      </c>
      <c r="AA98" s="21">
        <v>12813</v>
      </c>
      <c r="AB98" s="21">
        <v>12790</v>
      </c>
      <c r="AC98" s="21">
        <v>12781</v>
      </c>
      <c r="AD98" s="21">
        <v>12673</v>
      </c>
      <c r="AE98" s="21">
        <v>12696</v>
      </c>
      <c r="AF98" s="21">
        <v>12646</v>
      </c>
      <c r="AG98" s="21">
        <v>12662</v>
      </c>
      <c r="AH98" s="122">
        <v>12628</v>
      </c>
      <c r="AI98" s="122" t="s">
        <v>190</v>
      </c>
      <c r="AJ98" s="122" t="s">
        <v>190</v>
      </c>
    </row>
    <row r="99" spans="1:36" x14ac:dyDescent="0.2">
      <c r="A99" s="16" t="s">
        <v>182</v>
      </c>
      <c r="B99" s="16" t="s">
        <v>84</v>
      </c>
      <c r="C99" s="18" t="s">
        <v>190</v>
      </c>
      <c r="D99" s="18" t="s">
        <v>190</v>
      </c>
      <c r="E99" s="18" t="s">
        <v>190</v>
      </c>
      <c r="F99" s="18" t="s">
        <v>190</v>
      </c>
      <c r="G99" s="18" t="s">
        <v>190</v>
      </c>
      <c r="H99" s="18" t="s">
        <v>190</v>
      </c>
      <c r="I99" s="18" t="s">
        <v>190</v>
      </c>
      <c r="J99" s="18" t="s">
        <v>190</v>
      </c>
      <c r="K99" s="18" t="s">
        <v>190</v>
      </c>
      <c r="L99" s="18" t="s">
        <v>190</v>
      </c>
      <c r="M99" s="31">
        <v>15425</v>
      </c>
      <c r="N99" s="31">
        <v>15355</v>
      </c>
      <c r="O99" s="31">
        <v>15447</v>
      </c>
      <c r="P99" s="31">
        <v>15611</v>
      </c>
      <c r="Q99" s="31">
        <v>15580</v>
      </c>
      <c r="R99" s="31">
        <v>15582</v>
      </c>
      <c r="S99" s="31">
        <v>15748</v>
      </c>
      <c r="T99" s="31">
        <v>15850</v>
      </c>
      <c r="U99" s="31">
        <v>15880</v>
      </c>
      <c r="V99" s="21">
        <v>16161</v>
      </c>
      <c r="W99" s="21">
        <v>16155</v>
      </c>
      <c r="X99" s="21">
        <v>16258</v>
      </c>
      <c r="Y99" s="21">
        <v>16410</v>
      </c>
      <c r="Z99" s="21">
        <v>16393</v>
      </c>
      <c r="AA99" s="21">
        <v>16399</v>
      </c>
      <c r="AB99" s="21">
        <v>16570</v>
      </c>
      <c r="AC99" s="21">
        <v>16524</v>
      </c>
      <c r="AD99" s="21">
        <v>16387</v>
      </c>
      <c r="AE99" s="21">
        <v>16288</v>
      </c>
      <c r="AF99" s="21">
        <v>16342</v>
      </c>
      <c r="AG99" s="21">
        <v>16412</v>
      </c>
      <c r="AH99" s="122">
        <v>16494</v>
      </c>
      <c r="AI99" s="122" t="s">
        <v>190</v>
      </c>
      <c r="AJ99" s="122" t="s">
        <v>190</v>
      </c>
    </row>
    <row r="100" spans="1:36" x14ac:dyDescent="0.2">
      <c r="A100" s="16" t="s">
        <v>182</v>
      </c>
      <c r="B100" s="16" t="s">
        <v>15</v>
      </c>
      <c r="C100" s="18" t="s">
        <v>190</v>
      </c>
      <c r="D100" s="18" t="s">
        <v>190</v>
      </c>
      <c r="E100" s="18" t="s">
        <v>190</v>
      </c>
      <c r="F100" s="18" t="s">
        <v>190</v>
      </c>
      <c r="G100" s="18" t="s">
        <v>190</v>
      </c>
      <c r="H100" s="18" t="s">
        <v>190</v>
      </c>
      <c r="I100" s="18" t="s">
        <v>190</v>
      </c>
      <c r="J100" s="18" t="s">
        <v>190</v>
      </c>
      <c r="K100" s="18" t="s">
        <v>190</v>
      </c>
      <c r="L100" s="18" t="s">
        <v>190</v>
      </c>
      <c r="M100" s="31">
        <v>19220</v>
      </c>
      <c r="N100" s="31">
        <v>19330</v>
      </c>
      <c r="O100" s="31">
        <v>19540</v>
      </c>
      <c r="P100" s="31">
        <v>19830</v>
      </c>
      <c r="Q100" s="31">
        <v>20070</v>
      </c>
      <c r="R100" s="31">
        <v>20340</v>
      </c>
      <c r="S100" s="31">
        <v>20580</v>
      </c>
      <c r="T100" s="31">
        <v>20740</v>
      </c>
      <c r="U100" s="31">
        <v>20940</v>
      </c>
      <c r="V100" s="21">
        <v>21220</v>
      </c>
      <c r="W100" s="21">
        <v>21420</v>
      </c>
      <c r="X100" s="21">
        <v>21500</v>
      </c>
      <c r="Y100" s="21">
        <v>21510</v>
      </c>
      <c r="Z100" s="21">
        <v>21510</v>
      </c>
      <c r="AA100" s="21">
        <v>21520</v>
      </c>
      <c r="AB100" s="21">
        <v>21640</v>
      </c>
      <c r="AC100" s="21">
        <v>21730</v>
      </c>
      <c r="AD100" s="21">
        <v>21830</v>
      </c>
      <c r="AE100" s="21">
        <v>21870</v>
      </c>
      <c r="AF100" s="21">
        <v>21970</v>
      </c>
      <c r="AG100" s="21">
        <v>22030</v>
      </c>
      <c r="AH100" s="122">
        <v>22030</v>
      </c>
      <c r="AI100" s="122" t="s">
        <v>190</v>
      </c>
      <c r="AJ100" s="122" t="s">
        <v>190</v>
      </c>
    </row>
    <row r="101" spans="1:36" x14ac:dyDescent="0.2">
      <c r="A101" s="16" t="s">
        <v>182</v>
      </c>
      <c r="B101" s="16" t="s">
        <v>85</v>
      </c>
      <c r="C101" s="18" t="s">
        <v>190</v>
      </c>
      <c r="D101" s="18" t="s">
        <v>190</v>
      </c>
      <c r="E101" s="18" t="s">
        <v>190</v>
      </c>
      <c r="F101" s="18" t="s">
        <v>190</v>
      </c>
      <c r="G101" s="18" t="s">
        <v>190</v>
      </c>
      <c r="H101" s="18" t="s">
        <v>190</v>
      </c>
      <c r="I101" s="18" t="s">
        <v>190</v>
      </c>
      <c r="J101" s="18" t="s">
        <v>190</v>
      </c>
      <c r="K101" s="18" t="s">
        <v>190</v>
      </c>
      <c r="L101" s="18" t="s">
        <v>190</v>
      </c>
      <c r="M101" s="31">
        <v>112698</v>
      </c>
      <c r="N101" s="31">
        <v>112813</v>
      </c>
      <c r="O101" s="31">
        <v>113456</v>
      </c>
      <c r="P101" s="31">
        <v>114225</v>
      </c>
      <c r="Q101" s="31">
        <v>115272</v>
      </c>
      <c r="R101" s="31">
        <v>116265</v>
      </c>
      <c r="S101" s="31">
        <v>117865</v>
      </c>
      <c r="T101" s="31">
        <v>119857</v>
      </c>
      <c r="U101" s="31">
        <v>120884</v>
      </c>
      <c r="V101" s="21">
        <v>121925</v>
      </c>
      <c r="W101" s="21">
        <v>123033</v>
      </c>
      <c r="X101" s="21">
        <v>123301</v>
      </c>
      <c r="Y101" s="21">
        <v>123241</v>
      </c>
      <c r="Z101" s="21">
        <v>123708</v>
      </c>
      <c r="AA101" s="21">
        <v>124409</v>
      </c>
      <c r="AB101" s="21">
        <v>125090</v>
      </c>
      <c r="AC101" s="21">
        <v>125390</v>
      </c>
      <c r="AD101" s="21">
        <v>125381</v>
      </c>
      <c r="AE101" s="21">
        <v>125957</v>
      </c>
      <c r="AF101" s="21">
        <v>126016</v>
      </c>
      <c r="AG101" s="21">
        <v>127148</v>
      </c>
      <c r="AH101" s="122">
        <v>127729</v>
      </c>
      <c r="AI101" s="122" t="s">
        <v>190</v>
      </c>
      <c r="AJ101" s="122" t="s">
        <v>190</v>
      </c>
    </row>
    <row r="102" spans="1:36" x14ac:dyDescent="0.2">
      <c r="A102" s="16" t="s">
        <v>182</v>
      </c>
      <c r="B102" s="16" t="s">
        <v>86</v>
      </c>
      <c r="C102" s="18" t="s">
        <v>190</v>
      </c>
      <c r="D102" s="18" t="s">
        <v>190</v>
      </c>
      <c r="E102" s="18" t="s">
        <v>190</v>
      </c>
      <c r="F102" s="18" t="s">
        <v>190</v>
      </c>
      <c r="G102" s="18" t="s">
        <v>190</v>
      </c>
      <c r="H102" s="18" t="s">
        <v>190</v>
      </c>
      <c r="I102" s="18" t="s">
        <v>190</v>
      </c>
      <c r="J102" s="18" t="s">
        <v>190</v>
      </c>
      <c r="K102" s="18" t="s">
        <v>190</v>
      </c>
      <c r="L102" s="18" t="s">
        <v>190</v>
      </c>
      <c r="M102" s="31">
        <v>35145</v>
      </c>
      <c r="N102" s="31">
        <v>35138</v>
      </c>
      <c r="O102" s="31">
        <v>35148</v>
      </c>
      <c r="P102" s="31">
        <v>35378</v>
      </c>
      <c r="Q102" s="31">
        <v>35159</v>
      </c>
      <c r="R102" s="31">
        <v>35520</v>
      </c>
      <c r="S102" s="31">
        <v>35714</v>
      </c>
      <c r="T102" s="31">
        <v>36110</v>
      </c>
      <c r="U102" s="31">
        <v>36419</v>
      </c>
      <c r="V102" s="21">
        <v>36714</v>
      </c>
      <c r="W102" s="21">
        <v>36681</v>
      </c>
      <c r="X102" s="21">
        <v>36673</v>
      </c>
      <c r="Y102" s="21">
        <v>36827</v>
      </c>
      <c r="Z102" s="21">
        <v>37403</v>
      </c>
      <c r="AA102" s="21">
        <v>38032</v>
      </c>
      <c r="AB102" s="21">
        <v>38363</v>
      </c>
      <c r="AC102" s="21">
        <v>38328</v>
      </c>
      <c r="AD102" s="21">
        <v>38341</v>
      </c>
      <c r="AE102" s="21">
        <v>38348</v>
      </c>
      <c r="AF102" s="21">
        <v>38280</v>
      </c>
      <c r="AG102" s="21">
        <v>38652</v>
      </c>
      <c r="AH102" s="122">
        <v>38900</v>
      </c>
      <c r="AI102" s="122" t="s">
        <v>190</v>
      </c>
      <c r="AJ102" s="122" t="s">
        <v>190</v>
      </c>
    </row>
    <row r="103" spans="1:36" x14ac:dyDescent="0.2">
      <c r="A103" s="16" t="s">
        <v>182</v>
      </c>
      <c r="B103" s="16" t="s">
        <v>87</v>
      </c>
      <c r="C103" s="18" t="s">
        <v>190</v>
      </c>
      <c r="D103" s="18" t="s">
        <v>190</v>
      </c>
      <c r="E103" s="18" t="s">
        <v>190</v>
      </c>
      <c r="F103" s="18" t="s">
        <v>190</v>
      </c>
      <c r="G103" s="18" t="s">
        <v>190</v>
      </c>
      <c r="H103" s="18" t="s">
        <v>190</v>
      </c>
      <c r="I103" s="18" t="s">
        <v>190</v>
      </c>
      <c r="J103" s="18" t="s">
        <v>190</v>
      </c>
      <c r="K103" s="18" t="s">
        <v>190</v>
      </c>
      <c r="L103" s="18" t="s">
        <v>190</v>
      </c>
      <c r="M103" s="31">
        <v>12550</v>
      </c>
      <c r="N103" s="31">
        <v>12462</v>
      </c>
      <c r="O103" s="31">
        <v>12532</v>
      </c>
      <c r="P103" s="31">
        <v>12640</v>
      </c>
      <c r="Q103" s="31">
        <v>12697</v>
      </c>
      <c r="R103" s="31">
        <v>12777</v>
      </c>
      <c r="S103" s="31">
        <v>12778</v>
      </c>
      <c r="T103" s="31">
        <v>12889</v>
      </c>
      <c r="U103" s="31">
        <v>12897</v>
      </c>
      <c r="V103" s="21">
        <v>12841</v>
      </c>
      <c r="W103" s="21">
        <v>12924</v>
      </c>
      <c r="X103" s="21">
        <v>12987</v>
      </c>
      <c r="Y103" s="21">
        <v>12852</v>
      </c>
      <c r="Z103" s="21">
        <v>12881</v>
      </c>
      <c r="AA103" s="21">
        <v>12852</v>
      </c>
      <c r="AB103" s="21">
        <v>12800</v>
      </c>
      <c r="AC103" s="21">
        <v>12825</v>
      </c>
      <c r="AD103" s="21">
        <v>12721</v>
      </c>
      <c r="AE103" s="21">
        <v>12594</v>
      </c>
      <c r="AF103" s="21">
        <v>12407</v>
      </c>
      <c r="AG103" s="21">
        <v>12454</v>
      </c>
      <c r="AH103" s="122">
        <v>12329</v>
      </c>
      <c r="AI103" s="122" t="s">
        <v>190</v>
      </c>
      <c r="AJ103" s="122" t="s">
        <v>190</v>
      </c>
    </row>
    <row r="104" spans="1:36" x14ac:dyDescent="0.2">
      <c r="A104" s="16" t="s">
        <v>182</v>
      </c>
      <c r="B104" s="16" t="s">
        <v>88</v>
      </c>
      <c r="C104" s="18" t="s">
        <v>190</v>
      </c>
      <c r="D104" s="18" t="s">
        <v>190</v>
      </c>
      <c r="E104" s="18" t="s">
        <v>190</v>
      </c>
      <c r="F104" s="18" t="s">
        <v>190</v>
      </c>
      <c r="G104" s="18" t="s">
        <v>190</v>
      </c>
      <c r="H104" s="18" t="s">
        <v>190</v>
      </c>
      <c r="I104" s="18" t="s">
        <v>190</v>
      </c>
      <c r="J104" s="18" t="s">
        <v>190</v>
      </c>
      <c r="K104" s="18" t="s">
        <v>190</v>
      </c>
      <c r="L104" s="18" t="s">
        <v>190</v>
      </c>
      <c r="M104" s="31">
        <v>6913</v>
      </c>
      <c r="N104" s="31">
        <v>6873</v>
      </c>
      <c r="O104" s="31">
        <v>6943</v>
      </c>
      <c r="P104" s="31">
        <v>7080</v>
      </c>
      <c r="Q104" s="31">
        <v>7189</v>
      </c>
      <c r="R104" s="31">
        <v>7215</v>
      </c>
      <c r="S104" s="31">
        <v>7304</v>
      </c>
      <c r="T104" s="31">
        <v>7350</v>
      </c>
      <c r="U104" s="31">
        <v>7443</v>
      </c>
      <c r="V104" s="21">
        <v>7434</v>
      </c>
      <c r="W104" s="21">
        <v>7428</v>
      </c>
      <c r="X104" s="21">
        <v>7422</v>
      </c>
      <c r="Y104" s="21">
        <v>7517</v>
      </c>
      <c r="Z104" s="21">
        <v>7561</v>
      </c>
      <c r="AA104" s="21">
        <v>7672</v>
      </c>
      <c r="AB104" s="21">
        <v>7700</v>
      </c>
      <c r="AC104" s="21">
        <v>7679</v>
      </c>
      <c r="AD104" s="21">
        <v>7706</v>
      </c>
      <c r="AE104" s="21">
        <v>7694</v>
      </c>
      <c r="AF104" s="21">
        <v>7637</v>
      </c>
      <c r="AG104" s="21">
        <v>7762</v>
      </c>
      <c r="AH104" s="122">
        <v>7706</v>
      </c>
      <c r="AI104" s="122" t="s">
        <v>190</v>
      </c>
      <c r="AJ104" s="122" t="s">
        <v>190</v>
      </c>
    </row>
    <row r="105" spans="1:36" x14ac:dyDescent="0.2">
      <c r="A105" s="16" t="s">
        <v>182</v>
      </c>
      <c r="B105" s="16" t="s">
        <v>18</v>
      </c>
      <c r="C105" s="18" t="s">
        <v>190</v>
      </c>
      <c r="D105" s="18" t="s">
        <v>190</v>
      </c>
      <c r="E105" s="18" t="s">
        <v>190</v>
      </c>
      <c r="F105" s="18" t="s">
        <v>190</v>
      </c>
      <c r="G105" s="18" t="s">
        <v>190</v>
      </c>
      <c r="H105" s="18" t="s">
        <v>190</v>
      </c>
      <c r="I105" s="18" t="s">
        <v>190</v>
      </c>
      <c r="J105" s="18" t="s">
        <v>190</v>
      </c>
      <c r="K105" s="18" t="s">
        <v>190</v>
      </c>
      <c r="L105" s="18" t="s">
        <v>190</v>
      </c>
      <c r="M105" s="31">
        <v>21960</v>
      </c>
      <c r="N105" s="31">
        <v>22000</v>
      </c>
      <c r="O105" s="31">
        <v>21950</v>
      </c>
      <c r="P105" s="31">
        <v>22090</v>
      </c>
      <c r="Q105" s="31">
        <v>22250</v>
      </c>
      <c r="R105" s="31">
        <v>22210</v>
      </c>
      <c r="S105" s="31">
        <v>22350</v>
      </c>
      <c r="T105" s="31">
        <v>22480</v>
      </c>
      <c r="U105" s="31">
        <v>22800</v>
      </c>
      <c r="V105" s="21">
        <v>23060</v>
      </c>
      <c r="W105" s="21">
        <v>23240</v>
      </c>
      <c r="X105" s="21">
        <v>23200</v>
      </c>
      <c r="Y105" s="21">
        <v>23180</v>
      </c>
      <c r="Z105" s="21">
        <v>23330</v>
      </c>
      <c r="AA105" s="21">
        <v>23370</v>
      </c>
      <c r="AB105" s="21">
        <v>23240</v>
      </c>
      <c r="AC105" s="21">
        <v>23110</v>
      </c>
      <c r="AD105" s="21">
        <v>23000</v>
      </c>
      <c r="AE105" s="21">
        <v>22910</v>
      </c>
      <c r="AF105" s="21">
        <v>22890</v>
      </c>
      <c r="AG105" s="21">
        <v>22960</v>
      </c>
      <c r="AH105" s="122">
        <v>23020</v>
      </c>
      <c r="AI105" s="122" t="s">
        <v>190</v>
      </c>
      <c r="AJ105" s="122" t="s">
        <v>190</v>
      </c>
    </row>
    <row r="106" spans="1:36" x14ac:dyDescent="0.2">
      <c r="A106" s="16" t="s">
        <v>182</v>
      </c>
      <c r="B106" s="16" t="s">
        <v>89</v>
      </c>
      <c r="C106" s="18" t="s">
        <v>190</v>
      </c>
      <c r="D106" s="18" t="s">
        <v>190</v>
      </c>
      <c r="E106" s="18" t="s">
        <v>190</v>
      </c>
      <c r="F106" s="18" t="s">
        <v>190</v>
      </c>
      <c r="G106" s="18" t="s">
        <v>190</v>
      </c>
      <c r="H106" s="18" t="s">
        <v>190</v>
      </c>
      <c r="I106" s="18" t="s">
        <v>190</v>
      </c>
      <c r="J106" s="18" t="s">
        <v>190</v>
      </c>
      <c r="K106" s="18" t="s">
        <v>190</v>
      </c>
      <c r="L106" s="18" t="s">
        <v>190</v>
      </c>
      <c r="M106" s="31">
        <v>52597</v>
      </c>
      <c r="N106" s="31">
        <v>53394</v>
      </c>
      <c r="O106" s="31">
        <v>54230</v>
      </c>
      <c r="P106" s="31">
        <v>54246</v>
      </c>
      <c r="Q106" s="31">
        <v>55212</v>
      </c>
      <c r="R106" s="31">
        <v>55467</v>
      </c>
      <c r="S106" s="31">
        <v>55317</v>
      </c>
      <c r="T106" s="31">
        <v>54674</v>
      </c>
      <c r="U106" s="31">
        <v>54644</v>
      </c>
      <c r="V106" s="21">
        <v>54007</v>
      </c>
      <c r="W106" s="21">
        <v>53889</v>
      </c>
      <c r="X106" s="21">
        <v>54121</v>
      </c>
      <c r="Y106" s="21">
        <v>54424</v>
      </c>
      <c r="Z106" s="21">
        <v>54023</v>
      </c>
      <c r="AA106" s="21">
        <v>53897</v>
      </c>
      <c r="AB106" s="21">
        <v>54715</v>
      </c>
      <c r="AC106" s="21">
        <v>55058</v>
      </c>
      <c r="AD106" s="21">
        <v>54968</v>
      </c>
      <c r="AE106" s="21">
        <v>55087</v>
      </c>
      <c r="AF106" s="21">
        <v>54656</v>
      </c>
      <c r="AG106" s="21">
        <v>53371</v>
      </c>
      <c r="AH106" s="122">
        <v>54049</v>
      </c>
      <c r="AI106" s="122" t="s">
        <v>190</v>
      </c>
      <c r="AJ106" s="122" t="s">
        <v>190</v>
      </c>
    </row>
    <row r="107" spans="1:36" x14ac:dyDescent="0.2">
      <c r="A107" s="16" t="s">
        <v>182</v>
      </c>
      <c r="B107" s="16" t="s">
        <v>90</v>
      </c>
      <c r="C107" s="18" t="s">
        <v>190</v>
      </c>
      <c r="D107" s="18" t="s">
        <v>190</v>
      </c>
      <c r="E107" s="18" t="s">
        <v>190</v>
      </c>
      <c r="F107" s="18" t="s">
        <v>190</v>
      </c>
      <c r="G107" s="18" t="s">
        <v>190</v>
      </c>
      <c r="H107" s="18" t="s">
        <v>190</v>
      </c>
      <c r="I107" s="18" t="s">
        <v>190</v>
      </c>
      <c r="J107" s="18" t="s">
        <v>190</v>
      </c>
      <c r="K107" s="18" t="s">
        <v>190</v>
      </c>
      <c r="L107" s="18" t="s">
        <v>190</v>
      </c>
      <c r="M107" s="31">
        <v>17984</v>
      </c>
      <c r="N107" s="31">
        <v>17824</v>
      </c>
      <c r="O107" s="31">
        <v>17688</v>
      </c>
      <c r="P107" s="31">
        <v>17649</v>
      </c>
      <c r="Q107" s="31">
        <v>17677</v>
      </c>
      <c r="R107" s="31">
        <v>17578</v>
      </c>
      <c r="S107" s="31">
        <v>17503</v>
      </c>
      <c r="T107" s="31">
        <v>17602</v>
      </c>
      <c r="U107" s="31">
        <v>17578</v>
      </c>
      <c r="V107" s="21">
        <v>17579</v>
      </c>
      <c r="W107" s="21">
        <v>17548</v>
      </c>
      <c r="X107" s="21">
        <v>17447</v>
      </c>
      <c r="Y107" s="21">
        <v>17279</v>
      </c>
      <c r="Z107" s="21">
        <v>17225</v>
      </c>
      <c r="AA107" s="21">
        <v>17055</v>
      </c>
      <c r="AB107" s="21">
        <v>16950</v>
      </c>
      <c r="AC107" s="21">
        <v>16797</v>
      </c>
      <c r="AD107" s="21">
        <v>16560</v>
      </c>
      <c r="AE107" s="21">
        <v>16521</v>
      </c>
      <c r="AF107" s="21">
        <v>16359</v>
      </c>
      <c r="AG107" s="21">
        <v>16220</v>
      </c>
      <c r="AH107" s="122">
        <v>16013</v>
      </c>
      <c r="AI107" s="122" t="s">
        <v>190</v>
      </c>
      <c r="AJ107" s="122" t="s">
        <v>190</v>
      </c>
    </row>
    <row r="108" spans="1:36" x14ac:dyDescent="0.2">
      <c r="A108" s="16" t="s">
        <v>182</v>
      </c>
      <c r="B108" s="16" t="s">
        <v>91</v>
      </c>
      <c r="C108" s="18" t="s">
        <v>190</v>
      </c>
      <c r="D108" s="18" t="s">
        <v>190</v>
      </c>
      <c r="E108" s="18" t="s">
        <v>190</v>
      </c>
      <c r="F108" s="18" t="s">
        <v>190</v>
      </c>
      <c r="G108" s="18" t="s">
        <v>190</v>
      </c>
      <c r="H108" s="18" t="s">
        <v>190</v>
      </c>
      <c r="I108" s="18" t="s">
        <v>190</v>
      </c>
      <c r="J108" s="18" t="s">
        <v>190</v>
      </c>
      <c r="K108" s="18" t="s">
        <v>190</v>
      </c>
      <c r="L108" s="18" t="s">
        <v>190</v>
      </c>
      <c r="M108" s="31">
        <v>14392</v>
      </c>
      <c r="N108" s="31">
        <v>14377</v>
      </c>
      <c r="O108" s="31">
        <v>14425</v>
      </c>
      <c r="P108" s="31">
        <v>14590</v>
      </c>
      <c r="Q108" s="31">
        <v>14639</v>
      </c>
      <c r="R108" s="31">
        <v>14746</v>
      </c>
      <c r="S108" s="31">
        <v>14760</v>
      </c>
      <c r="T108" s="31">
        <v>15017</v>
      </c>
      <c r="U108" s="31">
        <v>15020</v>
      </c>
      <c r="V108" s="21">
        <v>15046</v>
      </c>
      <c r="W108" s="21">
        <v>15049</v>
      </c>
      <c r="X108" s="21">
        <v>14877</v>
      </c>
      <c r="Y108" s="21">
        <v>14726</v>
      </c>
      <c r="Z108" s="21">
        <v>14745</v>
      </c>
      <c r="AA108" s="21">
        <v>14777</v>
      </c>
      <c r="AB108" s="21">
        <v>14704</v>
      </c>
      <c r="AC108" s="21">
        <v>14557</v>
      </c>
      <c r="AD108" s="21">
        <v>14338</v>
      </c>
      <c r="AE108" s="21">
        <v>14377</v>
      </c>
      <c r="AF108" s="21">
        <v>14206</v>
      </c>
      <c r="AG108" s="21">
        <v>14260</v>
      </c>
      <c r="AH108" s="122">
        <v>14148</v>
      </c>
      <c r="AI108" s="122" t="s">
        <v>190</v>
      </c>
      <c r="AJ108" s="122" t="s">
        <v>190</v>
      </c>
    </row>
    <row r="109" spans="1:36" x14ac:dyDescent="0.2">
      <c r="A109" s="16" t="s">
        <v>182</v>
      </c>
      <c r="B109" s="16" t="s">
        <v>92</v>
      </c>
      <c r="C109" s="18" t="s">
        <v>190</v>
      </c>
      <c r="D109" s="18" t="s">
        <v>190</v>
      </c>
      <c r="E109" s="18" t="s">
        <v>190</v>
      </c>
      <c r="F109" s="18" t="s">
        <v>190</v>
      </c>
      <c r="G109" s="18" t="s">
        <v>190</v>
      </c>
      <c r="H109" s="18" t="s">
        <v>190</v>
      </c>
      <c r="I109" s="18" t="s">
        <v>190</v>
      </c>
      <c r="J109" s="18" t="s">
        <v>190</v>
      </c>
      <c r="K109" s="18" t="s">
        <v>190</v>
      </c>
      <c r="L109" s="18" t="s">
        <v>190</v>
      </c>
      <c r="M109" s="31">
        <v>25546</v>
      </c>
      <c r="N109" s="31">
        <v>25544</v>
      </c>
      <c r="O109" s="31">
        <v>25595</v>
      </c>
      <c r="P109" s="31">
        <v>26059</v>
      </c>
      <c r="Q109" s="31">
        <v>26159</v>
      </c>
      <c r="R109" s="31">
        <v>26305</v>
      </c>
      <c r="S109" s="31">
        <v>26656</v>
      </c>
      <c r="T109" s="31">
        <v>26932</v>
      </c>
      <c r="U109" s="31">
        <v>26948</v>
      </c>
      <c r="V109" s="21">
        <v>27005</v>
      </c>
      <c r="W109" s="21">
        <v>26932</v>
      </c>
      <c r="X109" s="21">
        <v>26884</v>
      </c>
      <c r="Y109" s="21">
        <v>26846</v>
      </c>
      <c r="Z109" s="21">
        <v>26843</v>
      </c>
      <c r="AA109" s="21">
        <v>26780</v>
      </c>
      <c r="AB109" s="21">
        <v>26706</v>
      </c>
      <c r="AC109" s="21">
        <v>26508</v>
      </c>
      <c r="AD109" s="21">
        <v>26283</v>
      </c>
      <c r="AE109" s="21">
        <v>26026</v>
      </c>
      <c r="AF109" s="21">
        <v>25777</v>
      </c>
      <c r="AG109" s="21">
        <v>26038</v>
      </c>
      <c r="AH109" s="122">
        <v>25897</v>
      </c>
      <c r="AI109" s="122" t="s">
        <v>190</v>
      </c>
      <c r="AJ109" s="122" t="s">
        <v>190</v>
      </c>
    </row>
    <row r="110" spans="1:36" x14ac:dyDescent="0.2">
      <c r="A110" s="16" t="s">
        <v>182</v>
      </c>
      <c r="B110" s="16" t="s">
        <v>93</v>
      </c>
      <c r="C110" s="18" t="s">
        <v>190</v>
      </c>
      <c r="D110" s="18" t="s">
        <v>190</v>
      </c>
      <c r="E110" s="18" t="s">
        <v>190</v>
      </c>
      <c r="F110" s="18" t="s">
        <v>190</v>
      </c>
      <c r="G110" s="18" t="s">
        <v>190</v>
      </c>
      <c r="H110" s="18" t="s">
        <v>190</v>
      </c>
      <c r="I110" s="18" t="s">
        <v>190</v>
      </c>
      <c r="J110" s="18" t="s">
        <v>190</v>
      </c>
      <c r="K110" s="18" t="s">
        <v>190</v>
      </c>
      <c r="L110" s="18" t="s">
        <v>190</v>
      </c>
      <c r="M110" s="31">
        <v>6676</v>
      </c>
      <c r="N110" s="31">
        <v>6661</v>
      </c>
      <c r="O110" s="31">
        <v>6818</v>
      </c>
      <c r="P110" s="31">
        <v>6936</v>
      </c>
      <c r="Q110" s="31">
        <v>7063</v>
      </c>
      <c r="R110" s="31">
        <v>7026</v>
      </c>
      <c r="S110" s="31">
        <v>7042</v>
      </c>
      <c r="T110" s="31">
        <v>7052</v>
      </c>
      <c r="U110" s="31">
        <v>7038</v>
      </c>
      <c r="V110" s="21">
        <v>6971</v>
      </c>
      <c r="W110" s="21">
        <v>6928</v>
      </c>
      <c r="X110" s="21">
        <v>6886</v>
      </c>
      <c r="Y110" s="21">
        <v>6869</v>
      </c>
      <c r="Z110" s="21">
        <v>6856</v>
      </c>
      <c r="AA110" s="21">
        <v>6840</v>
      </c>
      <c r="AB110" s="21">
        <v>6759</v>
      </c>
      <c r="AC110" s="21">
        <v>6644</v>
      </c>
      <c r="AD110" s="21">
        <v>6640</v>
      </c>
      <c r="AE110" s="21">
        <v>6602</v>
      </c>
      <c r="AF110" s="21">
        <v>6577</v>
      </c>
      <c r="AG110" s="21">
        <v>6699</v>
      </c>
      <c r="AH110" s="122">
        <v>6593</v>
      </c>
      <c r="AI110" s="122" t="s">
        <v>190</v>
      </c>
      <c r="AJ110" s="122" t="s">
        <v>190</v>
      </c>
    </row>
    <row r="111" spans="1:36" x14ac:dyDescent="0.2">
      <c r="A111" s="16" t="s">
        <v>182</v>
      </c>
      <c r="B111" s="16" t="s">
        <v>94</v>
      </c>
      <c r="C111" s="18" t="s">
        <v>190</v>
      </c>
      <c r="D111" s="18" t="s">
        <v>190</v>
      </c>
      <c r="E111" s="18" t="s">
        <v>190</v>
      </c>
      <c r="F111" s="18" t="s">
        <v>190</v>
      </c>
      <c r="G111" s="18" t="s">
        <v>190</v>
      </c>
      <c r="H111" s="18" t="s">
        <v>190</v>
      </c>
      <c r="I111" s="18" t="s">
        <v>190</v>
      </c>
      <c r="J111" s="18" t="s">
        <v>190</v>
      </c>
      <c r="K111" s="18" t="s">
        <v>190</v>
      </c>
      <c r="L111" s="18" t="s">
        <v>190</v>
      </c>
      <c r="M111" s="31">
        <v>26450</v>
      </c>
      <c r="N111" s="31">
        <v>26350</v>
      </c>
      <c r="O111" s="31">
        <v>26430</v>
      </c>
      <c r="P111" s="31">
        <v>26650</v>
      </c>
      <c r="Q111" s="31">
        <v>26930</v>
      </c>
      <c r="R111" s="31">
        <v>27060</v>
      </c>
      <c r="S111" s="31">
        <v>27210</v>
      </c>
      <c r="T111" s="31">
        <v>27280</v>
      </c>
      <c r="U111" s="31">
        <v>27420</v>
      </c>
      <c r="V111" s="21">
        <v>27600</v>
      </c>
      <c r="W111" s="21">
        <v>27690</v>
      </c>
      <c r="X111" s="21">
        <v>27540</v>
      </c>
      <c r="Y111" s="21">
        <v>27350</v>
      </c>
      <c r="Z111" s="21">
        <v>27180</v>
      </c>
      <c r="AA111" s="21">
        <v>26930</v>
      </c>
      <c r="AB111" s="21">
        <v>26700</v>
      </c>
      <c r="AC111" s="21">
        <v>26690</v>
      </c>
      <c r="AD111" s="21">
        <v>26500</v>
      </c>
      <c r="AE111" s="21">
        <v>26340</v>
      </c>
      <c r="AF111" s="21">
        <v>26080</v>
      </c>
      <c r="AG111" s="21">
        <v>26160</v>
      </c>
      <c r="AH111" s="122">
        <v>26120</v>
      </c>
      <c r="AI111" s="122" t="s">
        <v>190</v>
      </c>
      <c r="AJ111" s="122" t="s">
        <v>190</v>
      </c>
    </row>
    <row r="112" spans="1:36" x14ac:dyDescent="0.2">
      <c r="A112" s="16" t="s">
        <v>182</v>
      </c>
      <c r="B112" s="16" t="s">
        <v>95</v>
      </c>
      <c r="C112" s="18" t="s">
        <v>190</v>
      </c>
      <c r="D112" s="18" t="s">
        <v>190</v>
      </c>
      <c r="E112" s="18" t="s">
        <v>190</v>
      </c>
      <c r="F112" s="18" t="s">
        <v>190</v>
      </c>
      <c r="G112" s="18" t="s">
        <v>190</v>
      </c>
      <c r="H112" s="18" t="s">
        <v>190</v>
      </c>
      <c r="I112" s="18" t="s">
        <v>190</v>
      </c>
      <c r="J112" s="18" t="s">
        <v>190</v>
      </c>
      <c r="K112" s="18" t="s">
        <v>190</v>
      </c>
      <c r="L112" s="18" t="s">
        <v>190</v>
      </c>
      <c r="M112" s="31">
        <v>12541</v>
      </c>
      <c r="N112" s="31">
        <v>12498</v>
      </c>
      <c r="O112" s="31">
        <v>12506</v>
      </c>
      <c r="P112" s="31">
        <v>12487</v>
      </c>
      <c r="Q112" s="31">
        <v>12531</v>
      </c>
      <c r="R112" s="31">
        <v>12532</v>
      </c>
      <c r="S112" s="31">
        <v>12664</v>
      </c>
      <c r="T112" s="31">
        <v>12771</v>
      </c>
      <c r="U112" s="31">
        <v>12744</v>
      </c>
      <c r="V112" s="21">
        <v>12728</v>
      </c>
      <c r="W112" s="21">
        <v>12832</v>
      </c>
      <c r="X112" s="21">
        <v>12806</v>
      </c>
      <c r="Y112" s="21">
        <v>12696</v>
      </c>
      <c r="Z112" s="21">
        <v>12629</v>
      </c>
      <c r="AA112" s="21">
        <v>12459</v>
      </c>
      <c r="AB112" s="21">
        <v>12458</v>
      </c>
      <c r="AC112" s="21">
        <v>12422</v>
      </c>
      <c r="AD112" s="21">
        <v>12392</v>
      </c>
      <c r="AE112" s="21">
        <v>12420</v>
      </c>
      <c r="AF112" s="21">
        <v>12302</v>
      </c>
      <c r="AG112" s="21">
        <v>12528</v>
      </c>
      <c r="AH112" s="122">
        <v>12431</v>
      </c>
      <c r="AI112" s="122" t="s">
        <v>190</v>
      </c>
      <c r="AJ112" s="122" t="s">
        <v>190</v>
      </c>
    </row>
    <row r="113" spans="1:36" ht="27" customHeight="1" x14ac:dyDescent="0.2">
      <c r="A113" s="17" t="s">
        <v>183</v>
      </c>
      <c r="B113" s="9" t="s">
        <v>112</v>
      </c>
      <c r="C113" s="18" t="s">
        <v>190</v>
      </c>
      <c r="D113" s="18" t="s">
        <v>190</v>
      </c>
      <c r="E113" s="18" t="s">
        <v>190</v>
      </c>
      <c r="F113" s="18" t="s">
        <v>190</v>
      </c>
      <c r="G113" s="18" t="s">
        <v>190</v>
      </c>
      <c r="H113" s="18" t="s">
        <v>190</v>
      </c>
      <c r="I113" s="18" t="s">
        <v>190</v>
      </c>
      <c r="J113" s="18" t="s">
        <v>190</v>
      </c>
      <c r="K113" s="18" t="s">
        <v>190</v>
      </c>
      <c r="L113" s="18" t="s">
        <v>190</v>
      </c>
      <c r="M113" s="18">
        <v>69970</v>
      </c>
      <c r="N113" s="18">
        <v>69579</v>
      </c>
      <c r="O113" s="18">
        <v>69845</v>
      </c>
      <c r="P113" s="18">
        <v>70192</v>
      </c>
      <c r="Q113" s="18">
        <v>70278</v>
      </c>
      <c r="R113" s="18">
        <v>70119</v>
      </c>
      <c r="S113" s="18">
        <v>70096</v>
      </c>
      <c r="T113" s="18">
        <v>69792</v>
      </c>
      <c r="U113" s="18">
        <v>69361</v>
      </c>
      <c r="V113" s="21">
        <v>68873</v>
      </c>
      <c r="W113" s="21">
        <v>68510</v>
      </c>
      <c r="X113" s="21">
        <v>68217</v>
      </c>
      <c r="Y113" s="21">
        <v>68192</v>
      </c>
      <c r="Z113" s="21">
        <v>67968</v>
      </c>
      <c r="AA113" s="21">
        <v>67497</v>
      </c>
      <c r="AB113" s="21">
        <v>67310</v>
      </c>
      <c r="AC113" s="21">
        <v>67428</v>
      </c>
      <c r="AD113" s="21">
        <v>67093</v>
      </c>
      <c r="AE113" s="21">
        <v>66811</v>
      </c>
      <c r="AF113" s="21">
        <v>66516</v>
      </c>
      <c r="AG113" s="21">
        <v>67276</v>
      </c>
      <c r="AH113" s="122">
        <v>67212</v>
      </c>
      <c r="AI113" s="122" t="s">
        <v>190</v>
      </c>
      <c r="AJ113" s="122" t="s">
        <v>190</v>
      </c>
    </row>
    <row r="114" spans="1:36" x14ac:dyDescent="0.2">
      <c r="A114" s="16" t="s">
        <v>183</v>
      </c>
      <c r="B114" s="9" t="s">
        <v>113</v>
      </c>
      <c r="C114" s="18" t="s">
        <v>190</v>
      </c>
      <c r="D114" s="18" t="s">
        <v>190</v>
      </c>
      <c r="E114" s="18" t="s">
        <v>190</v>
      </c>
      <c r="F114" s="18" t="s">
        <v>190</v>
      </c>
      <c r="G114" s="18" t="s">
        <v>190</v>
      </c>
      <c r="H114" s="18" t="s">
        <v>190</v>
      </c>
      <c r="I114" s="18" t="s">
        <v>190</v>
      </c>
      <c r="J114" s="18" t="s">
        <v>190</v>
      </c>
      <c r="K114" s="18" t="s">
        <v>190</v>
      </c>
      <c r="L114" s="18" t="s">
        <v>190</v>
      </c>
      <c r="M114" s="18">
        <v>38454</v>
      </c>
      <c r="N114" s="18">
        <v>38376</v>
      </c>
      <c r="O114" s="18">
        <v>38436</v>
      </c>
      <c r="P114" s="18">
        <v>38728</v>
      </c>
      <c r="Q114" s="18">
        <v>38904</v>
      </c>
      <c r="R114" s="18">
        <v>39041</v>
      </c>
      <c r="S114" s="18">
        <v>39220</v>
      </c>
      <c r="T114" s="18">
        <v>39588</v>
      </c>
      <c r="U114" s="18">
        <v>39603</v>
      </c>
      <c r="V114" s="21">
        <v>39686</v>
      </c>
      <c r="W114" s="21">
        <v>39807</v>
      </c>
      <c r="X114" s="21">
        <v>39622</v>
      </c>
      <c r="Y114" s="21">
        <v>39282</v>
      </c>
      <c r="Z114" s="21">
        <v>39270</v>
      </c>
      <c r="AA114" s="21">
        <v>38933</v>
      </c>
      <c r="AB114" s="21">
        <v>38824</v>
      </c>
      <c r="AC114" s="21">
        <v>38542</v>
      </c>
      <c r="AD114" s="21">
        <v>38214</v>
      </c>
      <c r="AE114" s="21">
        <v>38268</v>
      </c>
      <c r="AF114" s="21">
        <v>37933</v>
      </c>
      <c r="AG114" s="21">
        <v>38417</v>
      </c>
      <c r="AH114" s="122">
        <v>38101</v>
      </c>
      <c r="AI114" s="122" t="s">
        <v>190</v>
      </c>
      <c r="AJ114" s="122" t="s">
        <v>190</v>
      </c>
    </row>
    <row r="115" spans="1:36" x14ac:dyDescent="0.2">
      <c r="A115" s="16" t="s">
        <v>183</v>
      </c>
      <c r="B115" s="9" t="s">
        <v>114</v>
      </c>
      <c r="C115" s="18" t="s">
        <v>190</v>
      </c>
      <c r="D115" s="18" t="s">
        <v>190</v>
      </c>
      <c r="E115" s="18" t="s">
        <v>190</v>
      </c>
      <c r="F115" s="18" t="s">
        <v>190</v>
      </c>
      <c r="G115" s="18" t="s">
        <v>190</v>
      </c>
      <c r="H115" s="18" t="s">
        <v>190</v>
      </c>
      <c r="I115" s="18" t="s">
        <v>190</v>
      </c>
      <c r="J115" s="18" t="s">
        <v>190</v>
      </c>
      <c r="K115" s="18" t="s">
        <v>190</v>
      </c>
      <c r="L115" s="18" t="s">
        <v>190</v>
      </c>
      <c r="M115" s="18">
        <v>133545</v>
      </c>
      <c r="N115" s="18">
        <v>134461</v>
      </c>
      <c r="O115" s="18">
        <v>135864</v>
      </c>
      <c r="P115" s="18">
        <v>138004</v>
      </c>
      <c r="Q115" s="18">
        <v>140776</v>
      </c>
      <c r="R115" s="18">
        <v>143229</v>
      </c>
      <c r="S115" s="18">
        <v>146015</v>
      </c>
      <c r="T115" s="18">
        <v>148550</v>
      </c>
      <c r="U115" s="18">
        <v>150185</v>
      </c>
      <c r="V115" s="21">
        <v>151910</v>
      </c>
      <c r="W115" s="21">
        <v>153758</v>
      </c>
      <c r="X115" s="21">
        <v>154216</v>
      </c>
      <c r="Y115" s="21">
        <v>154508</v>
      </c>
      <c r="Z115" s="21">
        <v>154771</v>
      </c>
      <c r="AA115" s="21">
        <v>155777</v>
      </c>
      <c r="AB115" s="21">
        <v>156454</v>
      </c>
      <c r="AC115" s="21">
        <v>156863</v>
      </c>
      <c r="AD115" s="21">
        <v>156858</v>
      </c>
      <c r="AE115" s="21">
        <v>156852</v>
      </c>
      <c r="AF115" s="21">
        <v>156714</v>
      </c>
      <c r="AG115" s="21">
        <v>157471</v>
      </c>
      <c r="AH115" s="122">
        <v>157879</v>
      </c>
      <c r="AI115" s="122" t="s">
        <v>190</v>
      </c>
      <c r="AJ115" s="122" t="s">
        <v>190</v>
      </c>
    </row>
    <row r="116" spans="1:36" x14ac:dyDescent="0.2">
      <c r="A116" s="16" t="s">
        <v>183</v>
      </c>
      <c r="B116" s="9" t="s">
        <v>115</v>
      </c>
      <c r="C116" s="18" t="s">
        <v>190</v>
      </c>
      <c r="D116" s="18" t="s">
        <v>190</v>
      </c>
      <c r="E116" s="18" t="s">
        <v>190</v>
      </c>
      <c r="F116" s="18" t="s">
        <v>190</v>
      </c>
      <c r="G116" s="18" t="s">
        <v>190</v>
      </c>
      <c r="H116" s="18" t="s">
        <v>190</v>
      </c>
      <c r="I116" s="18" t="s">
        <v>190</v>
      </c>
      <c r="J116" s="18" t="s">
        <v>190</v>
      </c>
      <c r="K116" s="18" t="s">
        <v>190</v>
      </c>
      <c r="L116" s="18" t="s">
        <v>190</v>
      </c>
      <c r="M116" s="18">
        <v>36921</v>
      </c>
      <c r="N116" s="18">
        <v>36923</v>
      </c>
      <c r="O116" s="18">
        <v>37340</v>
      </c>
      <c r="P116" s="18">
        <v>37828</v>
      </c>
      <c r="Q116" s="18">
        <v>38380</v>
      </c>
      <c r="R116" s="18">
        <v>38510</v>
      </c>
      <c r="S116" s="18">
        <v>38765</v>
      </c>
      <c r="T116" s="18">
        <v>38832</v>
      </c>
      <c r="U116" s="18">
        <v>38962</v>
      </c>
      <c r="V116" s="21">
        <v>39134</v>
      </c>
      <c r="W116" s="21">
        <v>39165</v>
      </c>
      <c r="X116" s="21">
        <v>39162</v>
      </c>
      <c r="Y116" s="21">
        <v>39290</v>
      </c>
      <c r="Z116" s="21">
        <v>39139</v>
      </c>
      <c r="AA116" s="21">
        <v>39350</v>
      </c>
      <c r="AB116" s="21">
        <v>39292</v>
      </c>
      <c r="AC116" s="21">
        <v>39395</v>
      </c>
      <c r="AD116" s="21">
        <v>39458</v>
      </c>
      <c r="AE116" s="21">
        <v>39390</v>
      </c>
      <c r="AF116" s="21">
        <v>39263</v>
      </c>
      <c r="AG116" s="21">
        <v>39962</v>
      </c>
      <c r="AH116" s="122">
        <v>39730</v>
      </c>
      <c r="AI116" s="122" t="s">
        <v>190</v>
      </c>
      <c r="AJ116" s="122" t="s">
        <v>190</v>
      </c>
    </row>
    <row r="117" spans="1:36" x14ac:dyDescent="0.2">
      <c r="A117" s="16" t="s">
        <v>183</v>
      </c>
      <c r="B117" s="9" t="s">
        <v>13</v>
      </c>
      <c r="C117" s="18" t="s">
        <v>190</v>
      </c>
      <c r="D117" s="18" t="s">
        <v>190</v>
      </c>
      <c r="E117" s="18" t="s">
        <v>190</v>
      </c>
      <c r="F117" s="18" t="s">
        <v>190</v>
      </c>
      <c r="G117" s="18" t="s">
        <v>190</v>
      </c>
      <c r="H117" s="18" t="s">
        <v>190</v>
      </c>
      <c r="I117" s="18" t="s">
        <v>190</v>
      </c>
      <c r="J117" s="18" t="s">
        <v>190</v>
      </c>
      <c r="K117" s="18" t="s">
        <v>190</v>
      </c>
      <c r="L117" s="18" t="s">
        <v>190</v>
      </c>
      <c r="M117" s="18">
        <v>87000</v>
      </c>
      <c r="N117" s="18">
        <v>87690</v>
      </c>
      <c r="O117" s="18">
        <v>88830</v>
      </c>
      <c r="P117" s="18">
        <v>89380</v>
      </c>
      <c r="Q117" s="18">
        <v>90100</v>
      </c>
      <c r="R117" s="18">
        <v>90780</v>
      </c>
      <c r="S117" s="18">
        <v>91440</v>
      </c>
      <c r="T117" s="18">
        <v>92840</v>
      </c>
      <c r="U117" s="18">
        <v>93160</v>
      </c>
      <c r="V117" s="21">
        <v>93690</v>
      </c>
      <c r="W117" s="21">
        <v>93470</v>
      </c>
      <c r="X117" s="21">
        <v>92720</v>
      </c>
      <c r="Y117" s="21">
        <v>93940</v>
      </c>
      <c r="Z117" s="21">
        <v>94180</v>
      </c>
      <c r="AA117" s="21">
        <v>94800</v>
      </c>
      <c r="AB117" s="21">
        <v>95110</v>
      </c>
      <c r="AC117" s="21">
        <v>94660</v>
      </c>
      <c r="AD117" s="21">
        <v>94090</v>
      </c>
      <c r="AE117" s="21">
        <v>94170</v>
      </c>
      <c r="AF117" s="21">
        <v>93870</v>
      </c>
      <c r="AG117" s="21">
        <v>94270</v>
      </c>
      <c r="AH117" s="122">
        <v>94300</v>
      </c>
      <c r="AI117" s="122" t="s">
        <v>190</v>
      </c>
      <c r="AJ117" s="122" t="s">
        <v>190</v>
      </c>
    </row>
    <row r="118" spans="1:36" x14ac:dyDescent="0.2">
      <c r="A118" s="16" t="s">
        <v>183</v>
      </c>
      <c r="B118" s="9" t="s">
        <v>116</v>
      </c>
      <c r="C118" s="18" t="s">
        <v>190</v>
      </c>
      <c r="D118" s="18" t="s">
        <v>190</v>
      </c>
      <c r="E118" s="18" t="s">
        <v>190</v>
      </c>
      <c r="F118" s="18" t="s">
        <v>190</v>
      </c>
      <c r="G118" s="18" t="s">
        <v>190</v>
      </c>
      <c r="H118" s="18" t="s">
        <v>190</v>
      </c>
      <c r="I118" s="18" t="s">
        <v>190</v>
      </c>
      <c r="J118" s="18" t="s">
        <v>190</v>
      </c>
      <c r="K118" s="18" t="s">
        <v>190</v>
      </c>
      <c r="L118" s="18" t="s">
        <v>190</v>
      </c>
      <c r="M118" s="18">
        <v>19220</v>
      </c>
      <c r="N118" s="18">
        <v>19330</v>
      </c>
      <c r="O118" s="18">
        <v>19540</v>
      </c>
      <c r="P118" s="18">
        <v>19830</v>
      </c>
      <c r="Q118" s="18">
        <v>20070</v>
      </c>
      <c r="R118" s="18">
        <v>20340</v>
      </c>
      <c r="S118" s="18">
        <v>20580</v>
      </c>
      <c r="T118" s="18">
        <v>20740</v>
      </c>
      <c r="U118" s="18">
        <v>20940</v>
      </c>
      <c r="V118" s="21">
        <v>21220</v>
      </c>
      <c r="W118" s="21">
        <v>21420</v>
      </c>
      <c r="X118" s="21">
        <v>21500</v>
      </c>
      <c r="Y118" s="21">
        <v>21510</v>
      </c>
      <c r="Z118" s="21">
        <v>21510</v>
      </c>
      <c r="AA118" s="21">
        <v>21520</v>
      </c>
      <c r="AB118" s="21">
        <v>21640</v>
      </c>
      <c r="AC118" s="21">
        <v>21730</v>
      </c>
      <c r="AD118" s="21">
        <v>21830</v>
      </c>
      <c r="AE118" s="21">
        <v>21870</v>
      </c>
      <c r="AF118" s="21">
        <v>21970</v>
      </c>
      <c r="AG118" s="21">
        <v>22030</v>
      </c>
      <c r="AH118" s="122">
        <v>22030</v>
      </c>
      <c r="AI118" s="122" t="s">
        <v>190</v>
      </c>
      <c r="AJ118" s="122" t="s">
        <v>190</v>
      </c>
    </row>
    <row r="119" spans="1:36" x14ac:dyDescent="0.2">
      <c r="A119" s="16" t="s">
        <v>183</v>
      </c>
      <c r="B119" s="9" t="s">
        <v>117</v>
      </c>
      <c r="C119" s="18" t="s">
        <v>190</v>
      </c>
      <c r="D119" s="18" t="s">
        <v>190</v>
      </c>
      <c r="E119" s="18" t="s">
        <v>190</v>
      </c>
      <c r="F119" s="18" t="s">
        <v>190</v>
      </c>
      <c r="G119" s="18" t="s">
        <v>190</v>
      </c>
      <c r="H119" s="18" t="s">
        <v>190</v>
      </c>
      <c r="I119" s="18" t="s">
        <v>190</v>
      </c>
      <c r="J119" s="18" t="s">
        <v>190</v>
      </c>
      <c r="K119" s="18" t="s">
        <v>190</v>
      </c>
      <c r="L119" s="18" t="s">
        <v>190</v>
      </c>
      <c r="M119" s="18">
        <v>26450</v>
      </c>
      <c r="N119" s="18">
        <v>26350</v>
      </c>
      <c r="O119" s="18">
        <v>26430</v>
      </c>
      <c r="P119" s="18">
        <v>26650</v>
      </c>
      <c r="Q119" s="18">
        <v>26930</v>
      </c>
      <c r="R119" s="18">
        <v>27060</v>
      </c>
      <c r="S119" s="18">
        <v>27210</v>
      </c>
      <c r="T119" s="18">
        <v>27280</v>
      </c>
      <c r="U119" s="18">
        <v>27420</v>
      </c>
      <c r="V119" s="21">
        <v>27600</v>
      </c>
      <c r="W119" s="21">
        <v>27690</v>
      </c>
      <c r="X119" s="21">
        <v>27540</v>
      </c>
      <c r="Y119" s="21">
        <v>27350</v>
      </c>
      <c r="Z119" s="21">
        <v>27180</v>
      </c>
      <c r="AA119" s="21">
        <v>26930</v>
      </c>
      <c r="AB119" s="21">
        <v>26700</v>
      </c>
      <c r="AC119" s="21">
        <v>26690</v>
      </c>
      <c r="AD119" s="21">
        <v>26500</v>
      </c>
      <c r="AE119" s="21">
        <v>26340</v>
      </c>
      <c r="AF119" s="21">
        <v>26080</v>
      </c>
      <c r="AG119" s="21">
        <v>26160</v>
      </c>
      <c r="AH119" s="122">
        <v>26120</v>
      </c>
      <c r="AI119" s="122" t="s">
        <v>190</v>
      </c>
      <c r="AJ119" s="122" t="s">
        <v>190</v>
      </c>
    </row>
    <row r="120" spans="1:36" x14ac:dyDescent="0.2">
      <c r="A120" s="16" t="s">
        <v>183</v>
      </c>
      <c r="B120" s="9" t="s">
        <v>118</v>
      </c>
      <c r="C120" s="18" t="s">
        <v>190</v>
      </c>
      <c r="D120" s="18" t="s">
        <v>190</v>
      </c>
      <c r="E120" s="18" t="s">
        <v>190</v>
      </c>
      <c r="F120" s="18" t="s">
        <v>190</v>
      </c>
      <c r="G120" s="18" t="s">
        <v>190</v>
      </c>
      <c r="H120" s="18" t="s">
        <v>190</v>
      </c>
      <c r="I120" s="18" t="s">
        <v>190</v>
      </c>
      <c r="J120" s="18" t="s">
        <v>190</v>
      </c>
      <c r="K120" s="18" t="s">
        <v>190</v>
      </c>
      <c r="L120" s="18" t="s">
        <v>190</v>
      </c>
      <c r="M120" s="18">
        <v>21960</v>
      </c>
      <c r="N120" s="18">
        <v>22000</v>
      </c>
      <c r="O120" s="18">
        <v>21950</v>
      </c>
      <c r="P120" s="18">
        <v>22090</v>
      </c>
      <c r="Q120" s="18">
        <v>22250</v>
      </c>
      <c r="R120" s="18">
        <v>22210</v>
      </c>
      <c r="S120" s="18">
        <v>22350</v>
      </c>
      <c r="T120" s="18">
        <v>22480</v>
      </c>
      <c r="U120" s="18">
        <v>22800</v>
      </c>
      <c r="V120" s="21">
        <v>23060</v>
      </c>
      <c r="W120" s="21">
        <v>23240</v>
      </c>
      <c r="X120" s="21">
        <v>23200</v>
      </c>
      <c r="Y120" s="21">
        <v>23180</v>
      </c>
      <c r="Z120" s="21">
        <v>23330</v>
      </c>
      <c r="AA120" s="21">
        <v>23370</v>
      </c>
      <c r="AB120" s="21">
        <v>23240</v>
      </c>
      <c r="AC120" s="21">
        <v>23110</v>
      </c>
      <c r="AD120" s="21">
        <v>23000</v>
      </c>
      <c r="AE120" s="21">
        <v>22910</v>
      </c>
      <c r="AF120" s="21">
        <v>22890</v>
      </c>
      <c r="AG120" s="21">
        <v>22960</v>
      </c>
      <c r="AH120" s="122">
        <v>23020</v>
      </c>
      <c r="AI120" s="122" t="s">
        <v>190</v>
      </c>
      <c r="AJ120" s="122" t="s">
        <v>190</v>
      </c>
    </row>
    <row r="121" spans="1:36" x14ac:dyDescent="0.2">
      <c r="A121" s="16" t="s">
        <v>183</v>
      </c>
      <c r="B121" s="9" t="s">
        <v>184</v>
      </c>
      <c r="C121" s="18" t="s">
        <v>190</v>
      </c>
      <c r="D121" s="18" t="s">
        <v>190</v>
      </c>
      <c r="E121" s="18" t="s">
        <v>190</v>
      </c>
      <c r="F121" s="18" t="s">
        <v>190</v>
      </c>
      <c r="G121" s="18" t="s">
        <v>190</v>
      </c>
      <c r="H121" s="18" t="s">
        <v>190</v>
      </c>
      <c r="I121" s="18" t="s">
        <v>190</v>
      </c>
      <c r="J121" s="18" t="s">
        <v>190</v>
      </c>
      <c r="K121" s="18" t="s">
        <v>190</v>
      </c>
      <c r="L121" s="18" t="s">
        <v>190</v>
      </c>
      <c r="M121" s="18">
        <f t="shared" ref="M121:V121" si="4">SUM(M113:M120)</f>
        <v>433520</v>
      </c>
      <c r="N121" s="18">
        <f t="shared" si="4"/>
        <v>434709</v>
      </c>
      <c r="O121" s="18">
        <f t="shared" si="4"/>
        <v>438235</v>
      </c>
      <c r="P121" s="18">
        <f t="shared" si="4"/>
        <v>442702</v>
      </c>
      <c r="Q121" s="18">
        <f t="shared" si="4"/>
        <v>447688</v>
      </c>
      <c r="R121" s="18">
        <f t="shared" si="4"/>
        <v>451289</v>
      </c>
      <c r="S121" s="18">
        <f t="shared" si="4"/>
        <v>455676</v>
      </c>
      <c r="T121" s="18">
        <f t="shared" si="4"/>
        <v>460102</v>
      </c>
      <c r="U121" s="18">
        <f t="shared" si="4"/>
        <v>462431</v>
      </c>
      <c r="V121" s="18">
        <f t="shared" si="4"/>
        <v>465173</v>
      </c>
      <c r="W121" s="18">
        <v>467060</v>
      </c>
      <c r="X121" s="21">
        <v>466177</v>
      </c>
      <c r="Y121" s="21">
        <v>467252</v>
      </c>
      <c r="Z121" s="21">
        <v>467348</v>
      </c>
      <c r="AA121" s="21">
        <v>468177</v>
      </c>
      <c r="AB121" s="21">
        <v>468570</v>
      </c>
      <c r="AC121" s="21">
        <v>468418</v>
      </c>
      <c r="AD121" s="21">
        <v>467043</v>
      </c>
      <c r="AE121" s="21">
        <v>466611</v>
      </c>
      <c r="AF121" s="21">
        <v>465236</v>
      </c>
      <c r="AG121" s="21">
        <v>468546</v>
      </c>
      <c r="AH121" s="122">
        <v>468392</v>
      </c>
      <c r="AI121" s="122" t="s">
        <v>190</v>
      </c>
      <c r="AJ121" s="122" t="s">
        <v>190</v>
      </c>
    </row>
    <row r="122" spans="1:36" ht="28.5" customHeight="1" x14ac:dyDescent="0.2">
      <c r="A122" s="17" t="s">
        <v>185</v>
      </c>
      <c r="B122" s="17" t="s">
        <v>111</v>
      </c>
      <c r="C122" s="18" t="s">
        <v>190</v>
      </c>
      <c r="D122" s="18" t="s">
        <v>190</v>
      </c>
      <c r="E122" s="18" t="s">
        <v>190</v>
      </c>
      <c r="F122" s="18" t="s">
        <v>190</v>
      </c>
      <c r="G122" s="18" t="s">
        <v>190</v>
      </c>
      <c r="H122" s="18" t="s">
        <v>190</v>
      </c>
      <c r="I122" s="18" t="s">
        <v>190</v>
      </c>
      <c r="J122" s="18" t="s">
        <v>190</v>
      </c>
      <c r="K122" s="18" t="s">
        <v>190</v>
      </c>
      <c r="L122" s="18" t="s">
        <v>190</v>
      </c>
      <c r="M122" s="18">
        <v>20174</v>
      </c>
      <c r="N122" s="18">
        <v>19545</v>
      </c>
      <c r="O122" s="18">
        <v>18949</v>
      </c>
      <c r="P122" s="18">
        <v>18438</v>
      </c>
      <c r="Q122" s="18">
        <v>18113</v>
      </c>
      <c r="R122" s="18">
        <v>18158</v>
      </c>
      <c r="S122" s="18">
        <v>18411</v>
      </c>
      <c r="T122" s="18">
        <v>18818</v>
      </c>
      <c r="U122" s="18">
        <v>19491</v>
      </c>
      <c r="V122" s="21">
        <v>20041</v>
      </c>
      <c r="W122" s="21">
        <v>20180</v>
      </c>
      <c r="X122" s="21">
        <v>20198</v>
      </c>
      <c r="Y122" s="21">
        <v>20437</v>
      </c>
      <c r="Z122" s="21">
        <v>20671</v>
      </c>
      <c r="AA122" s="21">
        <v>21950</v>
      </c>
      <c r="AB122" s="21">
        <v>22807</v>
      </c>
      <c r="AC122" s="21">
        <v>23449</v>
      </c>
      <c r="AD122" s="21">
        <v>24054</v>
      </c>
      <c r="AE122" s="21">
        <v>24494</v>
      </c>
      <c r="AF122" s="21">
        <v>24567</v>
      </c>
      <c r="AG122" s="21">
        <v>24953</v>
      </c>
      <c r="AH122" s="122">
        <v>25500</v>
      </c>
      <c r="AI122" s="122" t="s">
        <v>190</v>
      </c>
      <c r="AJ122" s="122" t="s">
        <v>190</v>
      </c>
    </row>
    <row r="123" spans="1:36" x14ac:dyDescent="0.2">
      <c r="A123" s="17" t="s">
        <v>185</v>
      </c>
      <c r="B123" s="9" t="s">
        <v>186</v>
      </c>
      <c r="C123" s="18" t="s">
        <v>190</v>
      </c>
      <c r="D123" s="18" t="s">
        <v>190</v>
      </c>
      <c r="E123" s="18" t="s">
        <v>190</v>
      </c>
      <c r="F123" s="18" t="s">
        <v>190</v>
      </c>
      <c r="G123" s="18" t="s">
        <v>190</v>
      </c>
      <c r="H123" s="18" t="s">
        <v>190</v>
      </c>
      <c r="I123" s="18" t="s">
        <v>190</v>
      </c>
      <c r="J123" s="18" t="s">
        <v>190</v>
      </c>
      <c r="K123" s="18" t="s">
        <v>190</v>
      </c>
      <c r="L123" s="18" t="s">
        <v>190</v>
      </c>
      <c r="M123" s="18">
        <v>239494</v>
      </c>
      <c r="N123" s="18">
        <v>239932</v>
      </c>
      <c r="O123" s="18">
        <v>239004</v>
      </c>
      <c r="P123" s="18">
        <v>238517</v>
      </c>
      <c r="Q123" s="18">
        <v>239065</v>
      </c>
      <c r="R123" s="18">
        <v>240357</v>
      </c>
      <c r="S123" s="18">
        <v>242562</v>
      </c>
      <c r="T123" s="18">
        <v>244877</v>
      </c>
      <c r="U123" s="18">
        <v>247969</v>
      </c>
      <c r="V123" s="21">
        <v>250781</v>
      </c>
      <c r="W123" s="21">
        <v>254724</v>
      </c>
      <c r="X123" s="21">
        <v>254920</v>
      </c>
      <c r="Y123" s="21">
        <v>257557</v>
      </c>
      <c r="Z123" s="21">
        <v>258825</v>
      </c>
      <c r="AA123" s="21">
        <v>262130</v>
      </c>
      <c r="AB123" s="21">
        <v>265927</v>
      </c>
      <c r="AC123" s="21">
        <v>268917</v>
      </c>
      <c r="AD123" s="21">
        <v>272029</v>
      </c>
      <c r="AE123" s="21">
        <v>275759</v>
      </c>
      <c r="AF123" s="21">
        <v>276932</v>
      </c>
      <c r="AG123" s="21">
        <v>278992</v>
      </c>
      <c r="AH123" s="122">
        <v>285429</v>
      </c>
      <c r="AI123" s="122" t="s">
        <v>190</v>
      </c>
      <c r="AJ123" s="122" t="s">
        <v>190</v>
      </c>
    </row>
    <row r="124" spans="1:36" x14ac:dyDescent="0.2">
      <c r="A124" s="17" t="s">
        <v>185</v>
      </c>
      <c r="B124" s="9" t="s">
        <v>151</v>
      </c>
      <c r="C124" s="18" t="s">
        <v>190</v>
      </c>
      <c r="D124" s="18" t="s">
        <v>190</v>
      </c>
      <c r="E124" s="18" t="s">
        <v>190</v>
      </c>
      <c r="F124" s="18" t="s">
        <v>190</v>
      </c>
      <c r="G124" s="18" t="s">
        <v>190</v>
      </c>
      <c r="H124" s="18" t="s">
        <v>190</v>
      </c>
      <c r="I124" s="18" t="s">
        <v>190</v>
      </c>
      <c r="J124" s="18" t="s">
        <v>190</v>
      </c>
      <c r="K124" s="18" t="s">
        <v>190</v>
      </c>
      <c r="L124" s="18" t="s">
        <v>190</v>
      </c>
      <c r="M124" s="18">
        <v>562347</v>
      </c>
      <c r="N124" s="18">
        <v>563231</v>
      </c>
      <c r="O124" s="18">
        <v>560634</v>
      </c>
      <c r="P124" s="18">
        <v>560452</v>
      </c>
      <c r="Q124" s="18">
        <v>561220</v>
      </c>
      <c r="R124" s="18">
        <v>561997</v>
      </c>
      <c r="S124" s="18">
        <v>566031</v>
      </c>
      <c r="T124" s="18">
        <v>570211</v>
      </c>
      <c r="U124" s="18">
        <v>575088</v>
      </c>
      <c r="V124" s="21">
        <v>580569</v>
      </c>
      <c r="W124" s="21">
        <v>586345</v>
      </c>
      <c r="X124" s="21">
        <v>588482</v>
      </c>
      <c r="Y124" s="21">
        <v>589788</v>
      </c>
      <c r="Z124" s="21">
        <v>591353</v>
      </c>
      <c r="AA124" s="21">
        <v>596368</v>
      </c>
      <c r="AB124" s="21">
        <v>602961</v>
      </c>
      <c r="AC124" s="21">
        <v>607694</v>
      </c>
      <c r="AD124" s="21">
        <v>612156</v>
      </c>
      <c r="AE124" s="21">
        <v>617551</v>
      </c>
      <c r="AF124" s="21">
        <v>618727</v>
      </c>
      <c r="AG124" s="21">
        <v>618711</v>
      </c>
      <c r="AH124" s="122">
        <v>629187</v>
      </c>
      <c r="AI124" s="122" t="s">
        <v>190</v>
      </c>
      <c r="AJ124" s="122" t="s">
        <v>190</v>
      </c>
    </row>
    <row r="125" spans="1:36" ht="30.95" customHeight="1" x14ac:dyDescent="0.2">
      <c r="A125" s="91" t="s">
        <v>270</v>
      </c>
      <c r="B125" s="92" t="s">
        <v>271</v>
      </c>
      <c r="C125" s="18" t="s">
        <v>190</v>
      </c>
      <c r="D125" s="18" t="s">
        <v>190</v>
      </c>
      <c r="E125" s="18" t="s">
        <v>190</v>
      </c>
      <c r="F125" s="18" t="s">
        <v>190</v>
      </c>
      <c r="G125" s="18" t="s">
        <v>190</v>
      </c>
      <c r="H125" s="18" t="s">
        <v>190</v>
      </c>
      <c r="I125" s="18" t="s">
        <v>190</v>
      </c>
      <c r="J125" s="18" t="s">
        <v>190</v>
      </c>
      <c r="K125" s="18" t="s">
        <v>190</v>
      </c>
      <c r="L125" s="18" t="s">
        <v>190</v>
      </c>
      <c r="M125" s="101">
        <v>8364</v>
      </c>
      <c r="N125" s="101">
        <v>8389</v>
      </c>
      <c r="O125" s="101">
        <v>8423</v>
      </c>
      <c r="P125" s="101">
        <v>8432</v>
      </c>
      <c r="Q125" s="101">
        <v>8570</v>
      </c>
      <c r="R125" s="101">
        <v>8480</v>
      </c>
      <c r="S125" s="101">
        <v>8448</v>
      </c>
      <c r="T125" s="101">
        <v>8436</v>
      </c>
      <c r="U125" s="101">
        <v>8381</v>
      </c>
      <c r="V125" s="102">
        <v>8232</v>
      </c>
      <c r="W125" s="102">
        <v>8175</v>
      </c>
      <c r="X125" s="21">
        <v>8182</v>
      </c>
      <c r="Y125" s="21">
        <v>8176</v>
      </c>
      <c r="Z125" s="21">
        <v>8232</v>
      </c>
      <c r="AA125" s="21">
        <v>8165</v>
      </c>
      <c r="AB125" s="21">
        <v>8143</v>
      </c>
      <c r="AC125" s="21">
        <v>8197</v>
      </c>
      <c r="AD125" s="21">
        <v>8258</v>
      </c>
      <c r="AE125" s="21">
        <v>8264</v>
      </c>
      <c r="AF125" s="21">
        <v>8216</v>
      </c>
      <c r="AG125" s="21">
        <v>8429</v>
      </c>
      <c r="AH125" s="122">
        <v>8479</v>
      </c>
      <c r="AI125" s="122" t="s">
        <v>190</v>
      </c>
      <c r="AJ125" s="122" t="s">
        <v>190</v>
      </c>
    </row>
    <row r="126" spans="1:36" x14ac:dyDescent="0.2">
      <c r="A126" s="91" t="s">
        <v>270</v>
      </c>
      <c r="B126" s="92" t="s">
        <v>272</v>
      </c>
      <c r="C126" s="18" t="s">
        <v>190</v>
      </c>
      <c r="D126" s="18" t="s">
        <v>190</v>
      </c>
      <c r="E126" s="18" t="s">
        <v>190</v>
      </c>
      <c r="F126" s="18" t="s">
        <v>190</v>
      </c>
      <c r="G126" s="18" t="s">
        <v>190</v>
      </c>
      <c r="H126" s="18" t="s">
        <v>190</v>
      </c>
      <c r="I126" s="18" t="s">
        <v>190</v>
      </c>
      <c r="J126" s="18" t="s">
        <v>190</v>
      </c>
      <c r="K126" s="18" t="s">
        <v>190</v>
      </c>
      <c r="L126" s="18" t="s">
        <v>190</v>
      </c>
      <c r="M126" s="101">
        <v>13722</v>
      </c>
      <c r="N126" s="101">
        <v>13743</v>
      </c>
      <c r="O126" s="101">
        <v>13827</v>
      </c>
      <c r="P126" s="101">
        <v>13747</v>
      </c>
      <c r="Q126" s="101">
        <v>13652</v>
      </c>
      <c r="R126" s="101">
        <v>13589</v>
      </c>
      <c r="S126" s="101">
        <v>13371</v>
      </c>
      <c r="T126" s="101">
        <v>13246</v>
      </c>
      <c r="U126" s="101">
        <v>12917</v>
      </c>
      <c r="V126" s="102">
        <v>12594</v>
      </c>
      <c r="W126" s="102">
        <v>12586</v>
      </c>
      <c r="X126" s="21">
        <v>12453</v>
      </c>
      <c r="Y126" s="21">
        <v>12453</v>
      </c>
      <c r="Z126" s="21">
        <v>12276</v>
      </c>
      <c r="AA126" s="21">
        <v>12119</v>
      </c>
      <c r="AB126" s="21">
        <v>12069</v>
      </c>
      <c r="AC126" s="21">
        <v>12185</v>
      </c>
      <c r="AD126" s="21">
        <v>12116</v>
      </c>
      <c r="AE126" s="21">
        <v>12016</v>
      </c>
      <c r="AF126" s="21">
        <v>11865</v>
      </c>
      <c r="AG126" s="21">
        <v>12016</v>
      </c>
      <c r="AH126" s="122">
        <v>11934</v>
      </c>
      <c r="AI126" s="122" t="s">
        <v>190</v>
      </c>
      <c r="AJ126" s="122" t="s">
        <v>190</v>
      </c>
    </row>
    <row r="127" spans="1:36" x14ac:dyDescent="0.2">
      <c r="A127" s="91" t="s">
        <v>270</v>
      </c>
      <c r="B127" s="92" t="s">
        <v>273</v>
      </c>
      <c r="C127" s="18" t="s">
        <v>190</v>
      </c>
      <c r="D127" s="18" t="s">
        <v>190</v>
      </c>
      <c r="E127" s="18" t="s">
        <v>190</v>
      </c>
      <c r="F127" s="18" t="s">
        <v>190</v>
      </c>
      <c r="G127" s="18" t="s">
        <v>190</v>
      </c>
      <c r="H127" s="18" t="s">
        <v>190</v>
      </c>
      <c r="I127" s="18" t="s">
        <v>190</v>
      </c>
      <c r="J127" s="18" t="s">
        <v>190</v>
      </c>
      <c r="K127" s="18" t="s">
        <v>190</v>
      </c>
      <c r="L127" s="18" t="s">
        <v>190</v>
      </c>
      <c r="M127" s="101">
        <v>9435</v>
      </c>
      <c r="N127" s="101">
        <v>9460</v>
      </c>
      <c r="O127" s="101">
        <v>9566</v>
      </c>
      <c r="P127" s="101">
        <v>9705</v>
      </c>
      <c r="Q127" s="101">
        <v>9870</v>
      </c>
      <c r="R127" s="101">
        <v>9948</v>
      </c>
      <c r="S127" s="101">
        <v>10039</v>
      </c>
      <c r="T127" s="101">
        <v>10103</v>
      </c>
      <c r="U127" s="101">
        <v>10176</v>
      </c>
      <c r="V127" s="102">
        <v>10177</v>
      </c>
      <c r="W127" s="102">
        <v>10229</v>
      </c>
      <c r="X127" s="21">
        <v>10246</v>
      </c>
      <c r="Y127" s="21">
        <v>10403</v>
      </c>
      <c r="Z127" s="21">
        <v>10405</v>
      </c>
      <c r="AA127" s="21">
        <v>10489</v>
      </c>
      <c r="AB127" s="21">
        <v>10493</v>
      </c>
      <c r="AC127" s="21">
        <v>10506</v>
      </c>
      <c r="AD127" s="21">
        <v>10585</v>
      </c>
      <c r="AE127" s="21">
        <v>10606</v>
      </c>
      <c r="AF127" s="21">
        <v>10548</v>
      </c>
      <c r="AG127" s="21">
        <v>10714</v>
      </c>
      <c r="AH127" s="122">
        <v>10664</v>
      </c>
      <c r="AI127" s="122" t="s">
        <v>190</v>
      </c>
      <c r="AJ127" s="122" t="s">
        <v>190</v>
      </c>
    </row>
    <row r="128" spans="1:36" x14ac:dyDescent="0.2">
      <c r="A128" s="91" t="s">
        <v>270</v>
      </c>
      <c r="B128" s="92" t="s">
        <v>274</v>
      </c>
      <c r="C128" s="18" t="s">
        <v>190</v>
      </c>
      <c r="D128" s="18" t="s">
        <v>190</v>
      </c>
      <c r="E128" s="18" t="s">
        <v>190</v>
      </c>
      <c r="F128" s="18" t="s">
        <v>190</v>
      </c>
      <c r="G128" s="18" t="s">
        <v>190</v>
      </c>
      <c r="H128" s="18" t="s">
        <v>190</v>
      </c>
      <c r="I128" s="18" t="s">
        <v>190</v>
      </c>
      <c r="J128" s="18" t="s">
        <v>190</v>
      </c>
      <c r="K128" s="18" t="s">
        <v>190</v>
      </c>
      <c r="L128" s="18" t="s">
        <v>190</v>
      </c>
      <c r="M128" s="101">
        <v>20429</v>
      </c>
      <c r="N128" s="101">
        <v>20406</v>
      </c>
      <c r="O128" s="101">
        <v>20436</v>
      </c>
      <c r="P128" s="101">
        <v>20623</v>
      </c>
      <c r="Q128" s="101">
        <v>20908</v>
      </c>
      <c r="R128" s="101">
        <v>21009</v>
      </c>
      <c r="S128" s="101">
        <v>21121</v>
      </c>
      <c r="T128" s="101">
        <v>21157</v>
      </c>
      <c r="U128" s="101">
        <v>21307</v>
      </c>
      <c r="V128" s="102">
        <v>21494</v>
      </c>
      <c r="W128" s="102">
        <v>21549</v>
      </c>
      <c r="X128" s="21">
        <v>21489</v>
      </c>
      <c r="Y128" s="21">
        <v>21305</v>
      </c>
      <c r="Z128" s="21">
        <v>21193</v>
      </c>
      <c r="AA128" s="21">
        <v>20970</v>
      </c>
      <c r="AB128" s="21">
        <v>20820</v>
      </c>
      <c r="AC128" s="21">
        <v>20790</v>
      </c>
      <c r="AD128" s="21">
        <v>20607</v>
      </c>
      <c r="AE128" s="21">
        <v>20421</v>
      </c>
      <c r="AF128" s="21">
        <v>20174</v>
      </c>
      <c r="AG128" s="21">
        <v>20188</v>
      </c>
      <c r="AH128" s="122">
        <v>20172</v>
      </c>
      <c r="AI128" s="122" t="s">
        <v>190</v>
      </c>
      <c r="AJ128" s="122" t="s">
        <v>190</v>
      </c>
    </row>
    <row r="129" spans="1:36" x14ac:dyDescent="0.2">
      <c r="A129" s="91" t="s">
        <v>270</v>
      </c>
      <c r="B129" s="92" t="s">
        <v>275</v>
      </c>
      <c r="C129" s="18" t="s">
        <v>190</v>
      </c>
      <c r="D129" s="18" t="s">
        <v>190</v>
      </c>
      <c r="E129" s="18" t="s">
        <v>190</v>
      </c>
      <c r="F129" s="18" t="s">
        <v>190</v>
      </c>
      <c r="G129" s="18" t="s">
        <v>190</v>
      </c>
      <c r="H129" s="18" t="s">
        <v>190</v>
      </c>
      <c r="I129" s="18" t="s">
        <v>190</v>
      </c>
      <c r="J129" s="18" t="s">
        <v>190</v>
      </c>
      <c r="K129" s="18" t="s">
        <v>190</v>
      </c>
      <c r="L129" s="18" t="s">
        <v>190</v>
      </c>
      <c r="M129" s="101">
        <v>16497</v>
      </c>
      <c r="N129" s="101">
        <v>16555</v>
      </c>
      <c r="O129" s="101">
        <v>16756</v>
      </c>
      <c r="P129" s="101">
        <v>17011</v>
      </c>
      <c r="Q129" s="101">
        <v>17246</v>
      </c>
      <c r="R129" s="101">
        <v>17475</v>
      </c>
      <c r="S129" s="101">
        <v>17686</v>
      </c>
      <c r="T129" s="101">
        <v>17831</v>
      </c>
      <c r="U129" s="101">
        <v>18020</v>
      </c>
      <c r="V129" s="102">
        <v>18336</v>
      </c>
      <c r="W129" s="102">
        <v>18557</v>
      </c>
      <c r="X129" s="21">
        <v>18648</v>
      </c>
      <c r="Y129" s="21">
        <v>18684</v>
      </c>
      <c r="Z129" s="21">
        <v>18773</v>
      </c>
      <c r="AA129" s="21">
        <v>18848</v>
      </c>
      <c r="AB129" s="21">
        <v>18970</v>
      </c>
      <c r="AC129" s="21">
        <v>19017</v>
      </c>
      <c r="AD129" s="21">
        <v>19099</v>
      </c>
      <c r="AE129" s="21">
        <v>19158</v>
      </c>
      <c r="AF129" s="21">
        <v>19312</v>
      </c>
      <c r="AG129" s="21">
        <v>19311</v>
      </c>
      <c r="AH129" s="122">
        <v>19312</v>
      </c>
      <c r="AI129" s="122" t="s">
        <v>190</v>
      </c>
      <c r="AJ129" s="122" t="s">
        <v>190</v>
      </c>
    </row>
    <row r="130" spans="1:36" x14ac:dyDescent="0.2">
      <c r="A130" s="91" t="s">
        <v>270</v>
      </c>
      <c r="B130" s="92" t="s">
        <v>276</v>
      </c>
      <c r="C130" s="18" t="s">
        <v>190</v>
      </c>
      <c r="D130" s="18" t="s">
        <v>190</v>
      </c>
      <c r="E130" s="18" t="s">
        <v>190</v>
      </c>
      <c r="F130" s="18" t="s">
        <v>190</v>
      </c>
      <c r="G130" s="18" t="s">
        <v>190</v>
      </c>
      <c r="H130" s="18" t="s">
        <v>190</v>
      </c>
      <c r="I130" s="18" t="s">
        <v>190</v>
      </c>
      <c r="J130" s="18" t="s">
        <v>190</v>
      </c>
      <c r="K130" s="18" t="s">
        <v>190</v>
      </c>
      <c r="L130" s="18" t="s">
        <v>190</v>
      </c>
      <c r="M130" s="101">
        <v>2723</v>
      </c>
      <c r="N130" s="101">
        <v>2775</v>
      </c>
      <c r="O130" s="101">
        <v>2784</v>
      </c>
      <c r="P130" s="101">
        <v>2819</v>
      </c>
      <c r="Q130" s="101">
        <v>2824</v>
      </c>
      <c r="R130" s="101">
        <v>2865</v>
      </c>
      <c r="S130" s="101">
        <v>2894</v>
      </c>
      <c r="T130" s="101">
        <v>2909</v>
      </c>
      <c r="U130" s="101">
        <v>2920</v>
      </c>
      <c r="V130" s="102">
        <v>2884</v>
      </c>
      <c r="W130" s="102">
        <v>2863</v>
      </c>
      <c r="X130" s="21">
        <v>2852</v>
      </c>
      <c r="Y130" s="21">
        <v>2826</v>
      </c>
      <c r="Z130" s="21">
        <v>2737</v>
      </c>
      <c r="AA130" s="21">
        <v>2672</v>
      </c>
      <c r="AB130" s="21">
        <v>2670</v>
      </c>
      <c r="AC130" s="21">
        <v>2713</v>
      </c>
      <c r="AD130" s="21">
        <v>2731</v>
      </c>
      <c r="AE130" s="21">
        <v>2712</v>
      </c>
      <c r="AF130" s="21">
        <v>2658</v>
      </c>
      <c r="AG130" s="21">
        <v>2719</v>
      </c>
      <c r="AH130" s="122">
        <v>2718</v>
      </c>
      <c r="AI130" s="122" t="s">
        <v>190</v>
      </c>
      <c r="AJ130" s="122" t="s">
        <v>190</v>
      </c>
    </row>
    <row r="131" spans="1:36" x14ac:dyDescent="0.2">
      <c r="A131" s="91" t="s">
        <v>270</v>
      </c>
      <c r="B131" s="92" t="s">
        <v>277</v>
      </c>
      <c r="C131" s="18" t="s">
        <v>190</v>
      </c>
      <c r="D131" s="18" t="s">
        <v>190</v>
      </c>
      <c r="E131" s="18" t="s">
        <v>190</v>
      </c>
      <c r="F131" s="18" t="s">
        <v>190</v>
      </c>
      <c r="G131" s="18" t="s">
        <v>190</v>
      </c>
      <c r="H131" s="18" t="s">
        <v>190</v>
      </c>
      <c r="I131" s="18" t="s">
        <v>190</v>
      </c>
      <c r="J131" s="18" t="s">
        <v>190</v>
      </c>
      <c r="K131" s="18" t="s">
        <v>190</v>
      </c>
      <c r="L131" s="18" t="s">
        <v>190</v>
      </c>
      <c r="M131" s="101">
        <v>19086</v>
      </c>
      <c r="N131" s="101">
        <v>19091</v>
      </c>
      <c r="O131" s="101">
        <v>19094</v>
      </c>
      <c r="P131" s="101">
        <v>19248</v>
      </c>
      <c r="Q131" s="101">
        <v>19414</v>
      </c>
      <c r="R131" s="101">
        <v>19360</v>
      </c>
      <c r="S131" s="101">
        <v>19490</v>
      </c>
      <c r="T131" s="101">
        <v>19637</v>
      </c>
      <c r="U131" s="101">
        <v>19932</v>
      </c>
      <c r="V131" s="102">
        <v>20199</v>
      </c>
      <c r="W131" s="102">
        <v>20427</v>
      </c>
      <c r="X131" s="21">
        <v>20370</v>
      </c>
      <c r="Y131" s="21">
        <v>20378</v>
      </c>
      <c r="Z131" s="21">
        <v>20539</v>
      </c>
      <c r="AA131" s="21">
        <v>20571</v>
      </c>
      <c r="AB131" s="21">
        <v>20473</v>
      </c>
      <c r="AC131" s="21">
        <v>20356</v>
      </c>
      <c r="AD131" s="21">
        <v>20299</v>
      </c>
      <c r="AE131" s="21">
        <v>20225</v>
      </c>
      <c r="AF131" s="21">
        <v>20233</v>
      </c>
      <c r="AG131" s="21">
        <v>20342</v>
      </c>
      <c r="AH131" s="122">
        <v>20331</v>
      </c>
      <c r="AI131" s="122" t="s">
        <v>190</v>
      </c>
      <c r="AJ131" s="122" t="s">
        <v>190</v>
      </c>
    </row>
    <row r="132" spans="1:36" x14ac:dyDescent="0.2">
      <c r="A132" s="91" t="s">
        <v>270</v>
      </c>
      <c r="B132" s="92" t="s">
        <v>278</v>
      </c>
      <c r="C132" s="18" t="s">
        <v>190</v>
      </c>
      <c r="D132" s="18" t="s">
        <v>190</v>
      </c>
      <c r="E132" s="18" t="s">
        <v>190</v>
      </c>
      <c r="F132" s="18" t="s">
        <v>190</v>
      </c>
      <c r="G132" s="18" t="s">
        <v>190</v>
      </c>
      <c r="H132" s="18" t="s">
        <v>190</v>
      </c>
      <c r="I132" s="18" t="s">
        <v>190</v>
      </c>
      <c r="J132" s="18" t="s">
        <v>190</v>
      </c>
      <c r="K132" s="18" t="s">
        <v>190</v>
      </c>
      <c r="L132" s="18" t="s">
        <v>190</v>
      </c>
      <c r="M132" s="101">
        <v>2874</v>
      </c>
      <c r="N132" s="101">
        <v>2909</v>
      </c>
      <c r="O132" s="101">
        <v>2856</v>
      </c>
      <c r="P132" s="101">
        <v>2842</v>
      </c>
      <c r="Q132" s="101">
        <v>2836</v>
      </c>
      <c r="R132" s="101">
        <v>2850</v>
      </c>
      <c r="S132" s="101">
        <v>2860</v>
      </c>
      <c r="T132" s="101">
        <v>2843</v>
      </c>
      <c r="U132" s="101">
        <v>2868</v>
      </c>
      <c r="V132" s="102">
        <v>2861</v>
      </c>
      <c r="W132" s="102">
        <v>2813</v>
      </c>
      <c r="X132" s="21">
        <v>2830</v>
      </c>
      <c r="Y132" s="21">
        <v>2802</v>
      </c>
      <c r="Z132" s="21">
        <v>2791</v>
      </c>
      <c r="AA132" s="21">
        <v>2799</v>
      </c>
      <c r="AB132" s="21">
        <v>2767</v>
      </c>
      <c r="AC132" s="21">
        <v>2754</v>
      </c>
      <c r="AD132" s="21">
        <v>2701</v>
      </c>
      <c r="AE132" s="21">
        <v>2685</v>
      </c>
      <c r="AF132" s="21">
        <v>2657</v>
      </c>
      <c r="AG132" s="21">
        <v>2618</v>
      </c>
      <c r="AH132" s="122">
        <v>2689</v>
      </c>
      <c r="AI132" s="122" t="s">
        <v>190</v>
      </c>
      <c r="AJ132" s="122" t="s">
        <v>190</v>
      </c>
    </row>
    <row r="133" spans="1:36" x14ac:dyDescent="0.2">
      <c r="A133" s="91" t="s">
        <v>270</v>
      </c>
      <c r="B133" s="92" t="s">
        <v>279</v>
      </c>
      <c r="C133" s="18" t="s">
        <v>190</v>
      </c>
      <c r="D133" s="18" t="s">
        <v>190</v>
      </c>
      <c r="E133" s="18" t="s">
        <v>190</v>
      </c>
      <c r="F133" s="18" t="s">
        <v>190</v>
      </c>
      <c r="G133" s="18" t="s">
        <v>190</v>
      </c>
      <c r="H133" s="18" t="s">
        <v>190</v>
      </c>
      <c r="I133" s="18" t="s">
        <v>190</v>
      </c>
      <c r="J133" s="18" t="s">
        <v>190</v>
      </c>
      <c r="K133" s="18" t="s">
        <v>190</v>
      </c>
      <c r="L133" s="18" t="s">
        <v>190</v>
      </c>
      <c r="M133" s="101">
        <v>6021</v>
      </c>
      <c r="N133" s="101">
        <v>5944</v>
      </c>
      <c r="O133" s="101">
        <v>5994</v>
      </c>
      <c r="P133" s="101">
        <v>6027</v>
      </c>
      <c r="Q133" s="101">
        <v>6022</v>
      </c>
      <c r="R133" s="101">
        <v>6051</v>
      </c>
      <c r="S133" s="101">
        <v>6089</v>
      </c>
      <c r="T133" s="101">
        <v>6123</v>
      </c>
      <c r="U133" s="101">
        <v>6113</v>
      </c>
      <c r="V133" s="102">
        <v>6106</v>
      </c>
      <c r="W133" s="102">
        <v>6141</v>
      </c>
      <c r="X133" s="21">
        <v>6051</v>
      </c>
      <c r="Y133" s="21">
        <v>6045</v>
      </c>
      <c r="Z133" s="21">
        <v>5987</v>
      </c>
      <c r="AA133" s="21">
        <v>5960</v>
      </c>
      <c r="AB133" s="21">
        <v>5880</v>
      </c>
      <c r="AC133" s="21">
        <v>5900</v>
      </c>
      <c r="AD133" s="21">
        <v>5893</v>
      </c>
      <c r="AE133" s="21">
        <v>5919</v>
      </c>
      <c r="AF133" s="21">
        <v>5906</v>
      </c>
      <c r="AG133" s="21">
        <v>5972</v>
      </c>
      <c r="AH133" s="122">
        <v>5948</v>
      </c>
      <c r="AI133" s="122" t="s">
        <v>190</v>
      </c>
      <c r="AJ133" s="122" t="s">
        <v>190</v>
      </c>
    </row>
    <row r="134" spans="1:36" ht="33.6" customHeight="1" x14ac:dyDescent="0.2">
      <c r="A134" s="96" t="s">
        <v>263</v>
      </c>
      <c r="B134" s="9" t="s">
        <v>280</v>
      </c>
      <c r="C134" s="18" t="s">
        <v>190</v>
      </c>
      <c r="D134" s="18" t="s">
        <v>190</v>
      </c>
      <c r="E134" s="18" t="s">
        <v>190</v>
      </c>
      <c r="F134" s="18" t="s">
        <v>190</v>
      </c>
      <c r="G134" s="18" t="s">
        <v>190</v>
      </c>
      <c r="H134" s="18" t="s">
        <v>190</v>
      </c>
      <c r="I134" s="18" t="s">
        <v>190</v>
      </c>
      <c r="J134" s="18" t="s">
        <v>190</v>
      </c>
      <c r="K134" s="18" t="s">
        <v>190</v>
      </c>
      <c r="L134" s="18" t="s">
        <v>190</v>
      </c>
      <c r="M134" s="101">
        <v>1087845</v>
      </c>
      <c r="N134" s="101">
        <v>1073019</v>
      </c>
      <c r="O134" s="101">
        <v>1061289</v>
      </c>
      <c r="P134" s="101">
        <v>1055644</v>
      </c>
      <c r="Q134" s="101">
        <v>1053905</v>
      </c>
      <c r="R134" s="101">
        <v>1051094</v>
      </c>
      <c r="S134" s="101">
        <v>1051006</v>
      </c>
      <c r="T134" s="101">
        <v>1052374</v>
      </c>
      <c r="U134" s="101">
        <v>1052162</v>
      </c>
      <c r="V134" s="101">
        <v>1054355</v>
      </c>
      <c r="W134" s="101">
        <v>1056441</v>
      </c>
      <c r="X134" s="21">
        <v>1052196</v>
      </c>
      <c r="Y134" s="21">
        <v>1049164</v>
      </c>
      <c r="Z134" s="21">
        <v>1047797</v>
      </c>
      <c r="AA134" s="21">
        <v>1049039</v>
      </c>
      <c r="AB134" s="21">
        <v>1052062</v>
      </c>
      <c r="AC134" s="21">
        <v>1052252</v>
      </c>
      <c r="AD134" s="21">
        <v>1051313</v>
      </c>
      <c r="AE134" s="21">
        <v>1053078</v>
      </c>
      <c r="AF134" s="21">
        <v>1049871</v>
      </c>
      <c r="AG134" s="21">
        <v>1044987</v>
      </c>
      <c r="AH134" s="122">
        <v>1049997</v>
      </c>
      <c r="AI134" s="122" t="s">
        <v>190</v>
      </c>
      <c r="AJ134" s="122" t="s">
        <v>190</v>
      </c>
    </row>
    <row r="135" spans="1:36" x14ac:dyDescent="0.2">
      <c r="A135" s="96" t="s">
        <v>263</v>
      </c>
      <c r="B135" s="92" t="s">
        <v>264</v>
      </c>
      <c r="C135" s="18" t="s">
        <v>190</v>
      </c>
      <c r="D135" s="18" t="s">
        <v>190</v>
      </c>
      <c r="E135" s="18" t="s">
        <v>190</v>
      </c>
      <c r="F135" s="18" t="s">
        <v>190</v>
      </c>
      <c r="G135" s="18" t="s">
        <v>190</v>
      </c>
      <c r="H135" s="18" t="s">
        <v>190</v>
      </c>
      <c r="I135" s="18" t="s">
        <v>190</v>
      </c>
      <c r="J135" s="18" t="s">
        <v>190</v>
      </c>
      <c r="K135" s="18" t="s">
        <v>190</v>
      </c>
      <c r="L135" s="18" t="s">
        <v>190</v>
      </c>
      <c r="M135" s="101">
        <v>1039810</v>
      </c>
      <c r="N135" s="101">
        <v>1034990</v>
      </c>
      <c r="O135" s="101">
        <v>1029222</v>
      </c>
      <c r="P135" s="101">
        <v>1027013</v>
      </c>
      <c r="Q135" s="101">
        <v>1029667</v>
      </c>
      <c r="R135" s="101">
        <v>1031604</v>
      </c>
      <c r="S135" s="101">
        <v>1035269</v>
      </c>
      <c r="T135" s="101">
        <v>1039366</v>
      </c>
      <c r="U135" s="101">
        <v>1045027</v>
      </c>
      <c r="V135" s="101">
        <v>1048786</v>
      </c>
      <c r="W135" s="101">
        <v>1053701</v>
      </c>
      <c r="X135" s="21">
        <v>1051760</v>
      </c>
      <c r="Y135" s="21">
        <v>1050043</v>
      </c>
      <c r="Z135" s="21">
        <v>1050175</v>
      </c>
      <c r="AA135" s="21">
        <v>1052404</v>
      </c>
      <c r="AB135" s="21">
        <v>1054441</v>
      </c>
      <c r="AC135" s="21">
        <v>1055524</v>
      </c>
      <c r="AD135" s="21">
        <v>1053506</v>
      </c>
      <c r="AE135" s="21">
        <v>1056374</v>
      </c>
      <c r="AF135" s="21">
        <v>1053419</v>
      </c>
      <c r="AG135" s="21">
        <v>1051324</v>
      </c>
      <c r="AH135" s="122">
        <v>1056413</v>
      </c>
      <c r="AI135" s="122" t="s">
        <v>190</v>
      </c>
      <c r="AJ135" s="122" t="s">
        <v>190</v>
      </c>
    </row>
    <row r="136" spans="1:36" x14ac:dyDescent="0.2">
      <c r="A136" s="96" t="s">
        <v>263</v>
      </c>
      <c r="B136" s="92" t="s">
        <v>265</v>
      </c>
      <c r="C136" s="18" t="s">
        <v>190</v>
      </c>
      <c r="D136" s="18" t="s">
        <v>190</v>
      </c>
      <c r="E136" s="18" t="s">
        <v>190</v>
      </c>
      <c r="F136" s="18" t="s">
        <v>190</v>
      </c>
      <c r="G136" s="18" t="s">
        <v>190</v>
      </c>
      <c r="H136" s="18" t="s">
        <v>190</v>
      </c>
      <c r="I136" s="18" t="s">
        <v>190</v>
      </c>
      <c r="J136" s="18" t="s">
        <v>190</v>
      </c>
      <c r="K136" s="18" t="s">
        <v>190</v>
      </c>
      <c r="L136" s="18" t="s">
        <v>190</v>
      </c>
      <c r="M136" s="101">
        <v>1008969</v>
      </c>
      <c r="N136" s="101">
        <v>1010428</v>
      </c>
      <c r="O136" s="101">
        <v>1011331</v>
      </c>
      <c r="P136" s="101">
        <v>1017754</v>
      </c>
      <c r="Q136" s="101">
        <v>1023163</v>
      </c>
      <c r="R136" s="101">
        <v>1027149</v>
      </c>
      <c r="S136" s="101">
        <v>1033321</v>
      </c>
      <c r="T136" s="101">
        <v>1040017</v>
      </c>
      <c r="U136" s="101">
        <v>1045275</v>
      </c>
      <c r="V136" s="101">
        <v>1051417</v>
      </c>
      <c r="W136" s="101">
        <v>1058789</v>
      </c>
      <c r="X136" s="21">
        <v>1060525</v>
      </c>
      <c r="Y136" s="21">
        <v>1060433</v>
      </c>
      <c r="Z136" s="21">
        <v>1061191</v>
      </c>
      <c r="AA136" s="21">
        <v>1062820</v>
      </c>
      <c r="AB136" s="21">
        <v>1065721</v>
      </c>
      <c r="AC136" s="21">
        <v>1066308</v>
      </c>
      <c r="AD136" s="21">
        <v>1067264</v>
      </c>
      <c r="AE136" s="21">
        <v>1068895</v>
      </c>
      <c r="AF136" s="21">
        <v>1067516</v>
      </c>
      <c r="AG136" s="21">
        <v>1070497</v>
      </c>
      <c r="AH136" s="122">
        <v>1076199</v>
      </c>
      <c r="AI136" s="122" t="s">
        <v>190</v>
      </c>
      <c r="AJ136" s="122" t="s">
        <v>190</v>
      </c>
    </row>
    <row r="137" spans="1:36" x14ac:dyDescent="0.2">
      <c r="A137" s="96" t="s">
        <v>263</v>
      </c>
      <c r="B137" s="92" t="s">
        <v>266</v>
      </c>
      <c r="C137" s="18" t="s">
        <v>190</v>
      </c>
      <c r="D137" s="18" t="s">
        <v>190</v>
      </c>
      <c r="E137" s="18" t="s">
        <v>190</v>
      </c>
      <c r="F137" s="18" t="s">
        <v>190</v>
      </c>
      <c r="G137" s="18" t="s">
        <v>190</v>
      </c>
      <c r="H137" s="18" t="s">
        <v>190</v>
      </c>
      <c r="I137" s="18" t="s">
        <v>190</v>
      </c>
      <c r="J137" s="18" t="s">
        <v>190</v>
      </c>
      <c r="K137" s="18" t="s">
        <v>190</v>
      </c>
      <c r="L137" s="18" t="s">
        <v>190</v>
      </c>
      <c r="M137" s="101">
        <v>954828</v>
      </c>
      <c r="N137" s="101">
        <v>964137</v>
      </c>
      <c r="O137" s="101">
        <v>972160</v>
      </c>
      <c r="P137" s="101">
        <v>981486</v>
      </c>
      <c r="Q137" s="101">
        <v>991012</v>
      </c>
      <c r="R137" s="101">
        <v>1000610</v>
      </c>
      <c r="S137" s="101">
        <v>1014789</v>
      </c>
      <c r="T137" s="101">
        <v>1025981</v>
      </c>
      <c r="U137" s="101">
        <v>1034219</v>
      </c>
      <c r="V137" s="101">
        <v>1042994</v>
      </c>
      <c r="W137" s="101">
        <v>1053097</v>
      </c>
      <c r="X137" s="21">
        <v>1059171</v>
      </c>
      <c r="Y137" s="21">
        <v>1065455</v>
      </c>
      <c r="Z137" s="21">
        <v>1074444</v>
      </c>
      <c r="AA137" s="21">
        <v>1083947</v>
      </c>
      <c r="AB137" s="21">
        <v>1093631</v>
      </c>
      <c r="AC137" s="21">
        <v>1103783</v>
      </c>
      <c r="AD137" s="21">
        <v>1111052</v>
      </c>
      <c r="AE137" s="21">
        <v>1121706</v>
      </c>
      <c r="AF137" s="21">
        <v>1129017</v>
      </c>
      <c r="AG137" s="21">
        <v>1142368</v>
      </c>
      <c r="AH137" s="122">
        <v>1155568</v>
      </c>
      <c r="AI137" s="122" t="s">
        <v>190</v>
      </c>
      <c r="AJ137" s="122" t="s">
        <v>190</v>
      </c>
    </row>
    <row r="138" spans="1:36" x14ac:dyDescent="0.2">
      <c r="A138" s="96" t="s">
        <v>263</v>
      </c>
      <c r="B138" s="92" t="s">
        <v>281</v>
      </c>
      <c r="C138" s="18" t="s">
        <v>190</v>
      </c>
      <c r="D138" s="18" t="s">
        <v>190</v>
      </c>
      <c r="E138" s="18" t="s">
        <v>190</v>
      </c>
      <c r="F138" s="18" t="s">
        <v>190</v>
      </c>
      <c r="G138" s="18" t="s">
        <v>190</v>
      </c>
      <c r="H138" s="18" t="s">
        <v>190</v>
      </c>
      <c r="I138" s="18" t="s">
        <v>190</v>
      </c>
      <c r="J138" s="18" t="s">
        <v>190</v>
      </c>
      <c r="K138" s="18" t="s">
        <v>190</v>
      </c>
      <c r="L138" s="18" t="s">
        <v>190</v>
      </c>
      <c r="M138" s="101">
        <v>972748</v>
      </c>
      <c r="N138" s="101">
        <v>983426</v>
      </c>
      <c r="O138" s="101">
        <v>994498</v>
      </c>
      <c r="P138" s="101">
        <v>1002403</v>
      </c>
      <c r="Q138" s="101">
        <v>1012453</v>
      </c>
      <c r="R138" s="101">
        <v>1022543</v>
      </c>
      <c r="S138" s="101">
        <v>1035615</v>
      </c>
      <c r="T138" s="101">
        <v>1045162</v>
      </c>
      <c r="U138" s="101">
        <v>1055217</v>
      </c>
      <c r="V138" s="101">
        <v>1064648</v>
      </c>
      <c r="W138" s="101">
        <v>1077872</v>
      </c>
      <c r="X138" s="21">
        <v>1084548</v>
      </c>
      <c r="Y138" s="21">
        <v>1091705</v>
      </c>
      <c r="Z138" s="21">
        <v>1097793</v>
      </c>
      <c r="AA138" s="21">
        <v>1102390</v>
      </c>
      <c r="AB138" s="21">
        <v>1107745</v>
      </c>
      <c r="AC138" s="21">
        <v>1110333</v>
      </c>
      <c r="AD138" s="21">
        <v>1108965</v>
      </c>
      <c r="AE138" s="21">
        <v>1111147</v>
      </c>
      <c r="AF138" s="21">
        <v>1109077</v>
      </c>
      <c r="AG138" s="21">
        <v>1103724</v>
      </c>
      <c r="AH138" s="122">
        <v>1108823</v>
      </c>
      <c r="AI138" s="122" t="s">
        <v>190</v>
      </c>
      <c r="AJ138" s="122" t="s">
        <v>190</v>
      </c>
    </row>
  </sheetData>
  <phoneticPr fontId="44" type="noConversion"/>
  <hyperlinks>
    <hyperlink ref="A15" location="Contents!A1" display="This cell contains a hyperlink to the Table of Contents" xr:uid="{00000000-0004-0000-1300-000000000000}"/>
    <hyperlink ref="A10" r:id="rId1" display="Source link 2001-2011 areas built up from Data Zones: Small Area Population Estimates - National Records of Scotland. This link opens in a new window." xr:uid="{98FC08CB-F55C-4A48-9F7A-3C06A04AD7E3}"/>
    <hyperlink ref="A13" r:id="rId2" display="Further data available by gender, age, work pattern, employment type, broad industrial group and qualification from Nomis. This link opens in a new window." xr:uid="{225F4B30-FBD1-40FD-A84B-ABA240FE5A0D}"/>
    <hyperlink ref="A9" r:id="rId3" display="Source link 1991 to 2023: Population Estimates Time Series Data - National Records of Scotland. This link opens in a new window." xr:uid="{EAB3D3B4-651B-490C-85D3-72740AD848DB}"/>
    <hyperlink ref="A12" r:id="rId4" xr:uid="{D9B5695E-EEC3-4E99-B36F-44A7960890F3}"/>
    <hyperlink ref="A11" r:id="rId5" location="top" xr:uid="{D6BEC100-0C0F-44DE-A3F1-33052E93D4C4}"/>
  </hyperlinks>
  <pageMargins left="0.7" right="0.7" top="0.75" bottom="0.75" header="0.3" footer="0.3"/>
  <pageSetup paperSize="9" scale="15" orientation="portrait" r:id="rId6"/>
  <ignoredErrors>
    <ignoredError sqref="M121:V121" formulaRange="1"/>
  </ignoredErrors>
  <tableParts count="1">
    <tablePart r:id="rId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K138"/>
  <sheetViews>
    <sheetView showGridLines="0" zoomScaleNormal="100" workbookViewId="0"/>
  </sheetViews>
  <sheetFormatPr defaultColWidth="9.140625" defaultRowHeight="15" x14ac:dyDescent="0.2"/>
  <cols>
    <col min="1" max="1" width="59" style="13" customWidth="1"/>
    <col min="2" max="2" width="51.140625" style="9" customWidth="1"/>
    <col min="3" max="4" width="13.7109375" style="9" bestFit="1" customWidth="1"/>
    <col min="5" max="5" width="13.28515625" style="9" bestFit="1" customWidth="1"/>
    <col min="6" max="7" width="13.7109375" style="9" bestFit="1" customWidth="1"/>
    <col min="8" max="9" width="13.28515625" style="9" bestFit="1" customWidth="1"/>
    <col min="10" max="10" width="13.7109375" style="9" bestFit="1" customWidth="1"/>
    <col min="11" max="12" width="13.28515625" style="9" bestFit="1" customWidth="1"/>
    <col min="13" max="13" width="13.7109375" style="9" bestFit="1" customWidth="1"/>
    <col min="14" max="14" width="13.28515625" style="9" bestFit="1" customWidth="1"/>
    <col min="15" max="16" width="13.7109375" style="9" bestFit="1" customWidth="1"/>
    <col min="17" max="17" width="13.28515625" style="9" bestFit="1" customWidth="1"/>
    <col min="18" max="18" width="12.85546875" style="9" bestFit="1" customWidth="1"/>
    <col min="19" max="19" width="13.28515625" style="9" bestFit="1" customWidth="1"/>
    <col min="20" max="20" width="12.42578125" style="9" bestFit="1" customWidth="1"/>
    <col min="21" max="21" width="13.7109375" style="9" bestFit="1" customWidth="1"/>
    <col min="22" max="22" width="13.7109375" style="14" bestFit="1" customWidth="1"/>
    <col min="23" max="23" width="13.28515625" style="14" bestFit="1" customWidth="1"/>
    <col min="24" max="25" width="12.85546875" style="14" bestFit="1" customWidth="1"/>
    <col min="26" max="26" width="13.28515625" style="14" bestFit="1" customWidth="1"/>
    <col min="27" max="27" width="12.85546875" style="14" bestFit="1" customWidth="1"/>
    <col min="28" max="28" width="13.7109375" style="14" bestFit="1" customWidth="1"/>
    <col min="29" max="29" width="13.28515625" style="14" bestFit="1" customWidth="1"/>
    <col min="30" max="30" width="13.7109375" style="14" bestFit="1" customWidth="1"/>
    <col min="31" max="31" width="12.42578125" style="14" bestFit="1" customWidth="1"/>
    <col min="32" max="34" width="13.28515625" style="13" bestFit="1" customWidth="1"/>
    <col min="35" max="35" width="14.5703125" style="13" bestFit="1" customWidth="1"/>
    <col min="36" max="36" width="13.7109375" style="13" customWidth="1"/>
    <col min="37" max="37" width="10.5703125" style="13" customWidth="1"/>
    <col min="38" max="16384" width="9.140625" style="13"/>
  </cols>
  <sheetData>
    <row r="1" spans="1:37" ht="20.25" x14ac:dyDescent="0.3">
      <c r="A1" s="22" t="s">
        <v>381</v>
      </c>
      <c r="B1" s="13"/>
      <c r="C1" s="13"/>
      <c r="D1" s="13"/>
      <c r="E1" s="13"/>
      <c r="F1" s="13"/>
      <c r="G1" s="13"/>
      <c r="H1" s="13"/>
      <c r="I1" s="13"/>
      <c r="J1" s="13"/>
      <c r="K1" s="13"/>
      <c r="L1" s="13"/>
      <c r="M1" s="13"/>
      <c r="N1" s="13"/>
      <c r="O1" s="13"/>
      <c r="P1" s="13"/>
      <c r="Q1" s="13"/>
      <c r="R1" s="13"/>
      <c r="S1" s="13"/>
      <c r="T1" s="13"/>
      <c r="U1" s="13"/>
      <c r="AB1" s="14" t="s">
        <v>0</v>
      </c>
      <c r="AJ1"/>
      <c r="AK1"/>
    </row>
    <row r="2" spans="1:37" ht="15.75" x14ac:dyDescent="0.25">
      <c r="A2" s="38" t="s">
        <v>152</v>
      </c>
      <c r="B2" s="13"/>
      <c r="C2" s="13"/>
      <c r="D2" s="13"/>
      <c r="E2" s="13"/>
      <c r="F2" s="13"/>
      <c r="G2" s="13"/>
      <c r="H2" s="13"/>
      <c r="I2" s="13"/>
      <c r="J2" s="13"/>
      <c r="K2" s="13"/>
      <c r="L2" s="13"/>
      <c r="M2" s="13"/>
      <c r="N2" s="13"/>
      <c r="O2" s="13"/>
      <c r="P2" s="13"/>
      <c r="Q2" s="13"/>
      <c r="R2" s="13"/>
      <c r="S2" s="13"/>
      <c r="T2" s="13"/>
      <c r="U2" s="13"/>
      <c r="AJ2"/>
      <c r="AK2"/>
    </row>
    <row r="3" spans="1:37" ht="15.75" x14ac:dyDescent="0.25">
      <c r="A3" s="38" t="s">
        <v>235</v>
      </c>
      <c r="B3" s="13"/>
      <c r="C3" s="13"/>
      <c r="D3" s="13"/>
      <c r="E3" s="13"/>
      <c r="F3" s="13"/>
      <c r="G3" s="13"/>
      <c r="H3" s="13"/>
      <c r="I3" s="13"/>
      <c r="J3" s="13"/>
      <c r="K3" s="13"/>
      <c r="L3" s="13"/>
      <c r="M3" s="13"/>
      <c r="N3" s="13"/>
      <c r="O3" s="13"/>
      <c r="P3" s="13"/>
      <c r="Q3" s="13"/>
      <c r="R3" s="13"/>
      <c r="S3" s="13"/>
      <c r="T3" s="13"/>
      <c r="U3" s="13"/>
      <c r="AJ3"/>
      <c r="AK3"/>
    </row>
    <row r="4" spans="1:37" ht="15.75" x14ac:dyDescent="0.25">
      <c r="A4" s="38" t="s">
        <v>297</v>
      </c>
      <c r="B4" s="13"/>
      <c r="C4" s="13"/>
      <c r="D4" s="13"/>
      <c r="E4" s="13"/>
      <c r="F4" s="13"/>
      <c r="G4" s="13"/>
      <c r="H4" s="13"/>
      <c r="I4" s="13"/>
      <c r="J4" s="13"/>
      <c r="K4" s="13"/>
      <c r="L4" s="13"/>
      <c r="M4" s="13"/>
      <c r="N4" s="13"/>
      <c r="O4" s="13"/>
      <c r="P4" s="13"/>
      <c r="Q4" s="13"/>
      <c r="R4" s="13"/>
      <c r="S4" s="13"/>
      <c r="T4" s="13"/>
      <c r="U4" s="13"/>
      <c r="AJ4"/>
      <c r="AK4"/>
    </row>
    <row r="5" spans="1:37" ht="15.75" x14ac:dyDescent="0.25">
      <c r="A5" s="38" t="s">
        <v>302</v>
      </c>
      <c r="B5" s="13"/>
      <c r="C5" s="13"/>
      <c r="D5" s="13"/>
      <c r="E5" s="13"/>
      <c r="F5" s="13"/>
      <c r="G5" s="13"/>
      <c r="H5" s="13"/>
      <c r="I5" s="13"/>
      <c r="J5" s="13"/>
      <c r="K5" s="13"/>
      <c r="L5" s="13"/>
      <c r="M5" s="13"/>
      <c r="N5" s="13"/>
      <c r="O5" s="13"/>
      <c r="P5" s="13"/>
      <c r="Q5" s="13"/>
      <c r="R5" s="13"/>
      <c r="S5" s="13"/>
      <c r="T5" s="13"/>
      <c r="U5" s="13"/>
      <c r="AJ5"/>
      <c r="AK5"/>
    </row>
    <row r="6" spans="1:37" x14ac:dyDescent="0.2">
      <c r="A6" s="38" t="s">
        <v>195</v>
      </c>
      <c r="B6" s="13"/>
      <c r="C6" s="13"/>
      <c r="D6" s="13"/>
      <c r="E6" s="13"/>
      <c r="F6" s="13"/>
      <c r="G6" s="13"/>
      <c r="H6" s="13"/>
      <c r="I6" s="13"/>
      <c r="J6" s="13"/>
      <c r="K6" s="13"/>
      <c r="L6" s="13"/>
      <c r="M6" s="13"/>
      <c r="N6" s="13"/>
      <c r="O6" s="13"/>
      <c r="P6" s="13"/>
      <c r="Q6" s="13"/>
      <c r="R6" s="13"/>
      <c r="S6" s="13"/>
      <c r="T6" s="13"/>
      <c r="U6" s="13"/>
    </row>
    <row r="7" spans="1:37" x14ac:dyDescent="0.2">
      <c r="A7" s="38" t="s">
        <v>359</v>
      </c>
      <c r="B7" s="13"/>
      <c r="C7" s="13"/>
      <c r="D7" s="13"/>
      <c r="E7" s="13"/>
      <c r="F7" s="13"/>
      <c r="G7" s="13"/>
      <c r="H7" s="13"/>
      <c r="I7" s="13"/>
      <c r="J7" s="13"/>
      <c r="K7" s="13"/>
      <c r="L7" s="13"/>
      <c r="M7" s="13"/>
      <c r="N7" s="13"/>
      <c r="O7" s="13"/>
      <c r="P7" s="13"/>
      <c r="Q7" s="13"/>
      <c r="R7" s="13"/>
      <c r="S7" s="13"/>
      <c r="T7" s="13"/>
      <c r="U7" s="13"/>
    </row>
    <row r="8" spans="1:37" x14ac:dyDescent="0.2">
      <c r="A8" s="38" t="s">
        <v>196</v>
      </c>
      <c r="B8" s="13"/>
      <c r="C8" s="13"/>
      <c r="D8" s="13"/>
      <c r="E8" s="13"/>
      <c r="F8" s="13"/>
      <c r="G8" s="13"/>
      <c r="H8" s="13"/>
      <c r="I8" s="13"/>
      <c r="J8" s="13"/>
      <c r="K8" s="13"/>
      <c r="L8" s="13"/>
      <c r="M8" s="13"/>
      <c r="N8" s="13"/>
      <c r="O8" s="13"/>
      <c r="P8" s="13"/>
      <c r="Q8" s="13"/>
      <c r="R8" s="13"/>
      <c r="S8" s="13"/>
      <c r="T8" s="13"/>
      <c r="U8" s="13"/>
    </row>
    <row r="9" spans="1:37" ht="15" customHeight="1" x14ac:dyDescent="0.2">
      <c r="A9" s="134" t="s">
        <v>360</v>
      </c>
      <c r="B9" s="13"/>
      <c r="C9" s="13"/>
      <c r="D9" s="13"/>
      <c r="E9" s="13"/>
      <c r="F9" s="13"/>
      <c r="G9" s="13"/>
      <c r="H9" s="13"/>
      <c r="I9" s="13"/>
      <c r="J9" s="13"/>
      <c r="K9" s="13"/>
      <c r="L9" s="13"/>
      <c r="M9" s="13"/>
      <c r="N9" s="13"/>
      <c r="O9" s="13"/>
      <c r="P9" s="13"/>
      <c r="Q9" s="13"/>
      <c r="R9" s="13"/>
      <c r="S9" s="13"/>
      <c r="T9" s="13"/>
      <c r="U9" s="13"/>
    </row>
    <row r="10" spans="1:37" x14ac:dyDescent="0.2">
      <c r="A10" s="134" t="s">
        <v>345</v>
      </c>
      <c r="B10" s="13"/>
      <c r="C10" s="13"/>
      <c r="D10" s="13"/>
      <c r="E10" s="13"/>
      <c r="F10" s="13"/>
      <c r="G10" s="13"/>
      <c r="H10" s="13"/>
      <c r="I10" s="13"/>
      <c r="J10" s="13"/>
      <c r="K10" s="13"/>
      <c r="L10" s="13"/>
      <c r="M10" s="13"/>
      <c r="N10" s="13"/>
      <c r="O10" s="13"/>
      <c r="P10" s="13"/>
      <c r="Q10" s="13"/>
      <c r="R10" s="13"/>
      <c r="S10" s="13"/>
      <c r="T10" s="13"/>
      <c r="U10" s="13"/>
    </row>
    <row r="11" spans="1:37" x14ac:dyDescent="0.2">
      <c r="A11" s="136" t="s">
        <v>347</v>
      </c>
      <c r="B11" s="13"/>
      <c r="C11" s="13"/>
      <c r="D11" s="13"/>
      <c r="E11" s="13"/>
      <c r="F11" s="13"/>
      <c r="G11" s="13"/>
      <c r="H11" s="13"/>
      <c r="I11" s="13"/>
      <c r="J11" s="13"/>
      <c r="K11" s="13"/>
      <c r="L11" s="13"/>
      <c r="M11" s="13"/>
      <c r="N11" s="13"/>
      <c r="O11" s="13"/>
      <c r="P11" s="13"/>
      <c r="Q11" s="13"/>
      <c r="R11" s="13"/>
      <c r="S11" s="13"/>
      <c r="T11" s="13"/>
      <c r="U11" s="13"/>
    </row>
    <row r="12" spans="1:37" x14ac:dyDescent="0.2">
      <c r="A12" s="134" t="s">
        <v>343</v>
      </c>
      <c r="B12" s="13"/>
      <c r="C12" s="13"/>
      <c r="D12" s="13"/>
      <c r="E12" s="13"/>
      <c r="F12" s="13"/>
      <c r="G12" s="13"/>
      <c r="H12" s="13"/>
      <c r="I12" s="13"/>
      <c r="J12" s="13"/>
      <c r="K12" s="13"/>
      <c r="L12" s="13"/>
      <c r="M12" s="13"/>
      <c r="N12" s="13"/>
      <c r="O12" s="13"/>
      <c r="P12" s="13"/>
      <c r="Q12" s="13"/>
      <c r="R12" s="13"/>
      <c r="S12" s="13"/>
      <c r="T12" s="13"/>
      <c r="U12" s="13"/>
    </row>
    <row r="13" spans="1:37" x14ac:dyDescent="0.2">
      <c r="A13" s="135" t="s">
        <v>315</v>
      </c>
      <c r="B13" s="13"/>
      <c r="C13" s="155"/>
      <c r="D13" s="155"/>
      <c r="E13" s="155"/>
      <c r="F13" s="155"/>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5"/>
      <c r="AE13" s="155"/>
      <c r="AF13" s="155"/>
      <c r="AG13" s="155"/>
      <c r="AH13" s="155"/>
      <c r="AI13" s="155"/>
      <c r="AJ13" s="27"/>
    </row>
    <row r="14" spans="1:37" s="27" customFormat="1" x14ac:dyDescent="0.25">
      <c r="A14" s="26" t="s">
        <v>154</v>
      </c>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row>
    <row r="15" spans="1:37" s="27" customFormat="1" ht="30" customHeight="1" x14ac:dyDescent="0.25">
      <c r="A15" s="35" t="s">
        <v>232</v>
      </c>
      <c r="C15" s="156"/>
      <c r="D15" s="156"/>
      <c r="E15" s="156"/>
      <c r="F15" s="156"/>
      <c r="G15" s="156"/>
      <c r="H15" s="156"/>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row>
    <row r="16" spans="1:37" ht="15.75" customHeight="1" x14ac:dyDescent="0.25">
      <c r="A16" s="23" t="s">
        <v>156</v>
      </c>
      <c r="B16" s="23" t="s">
        <v>157</v>
      </c>
      <c r="C16" s="24" t="s">
        <v>197</v>
      </c>
      <c r="D16" s="24" t="s">
        <v>198</v>
      </c>
      <c r="E16" s="24" t="s">
        <v>199</v>
      </c>
      <c r="F16" s="24" t="s">
        <v>200</v>
      </c>
      <c r="G16" s="24" t="s">
        <v>201</v>
      </c>
      <c r="H16" s="24" t="s">
        <v>202</v>
      </c>
      <c r="I16" s="24" t="s">
        <v>203</v>
      </c>
      <c r="J16" s="24" t="s">
        <v>158</v>
      </c>
      <c r="K16" s="24" t="s">
        <v>159</v>
      </c>
      <c r="L16" s="24" t="s">
        <v>160</v>
      </c>
      <c r="M16" s="24" t="s">
        <v>161</v>
      </c>
      <c r="N16" s="24" t="s">
        <v>162</v>
      </c>
      <c r="O16" s="24" t="s">
        <v>163</v>
      </c>
      <c r="P16" s="24" t="s">
        <v>164</v>
      </c>
      <c r="Q16" s="24" t="s">
        <v>165</v>
      </c>
      <c r="R16" s="24" t="s">
        <v>166</v>
      </c>
      <c r="S16" s="24" t="s">
        <v>167</v>
      </c>
      <c r="T16" s="24" t="s">
        <v>168</v>
      </c>
      <c r="U16" s="24" t="s">
        <v>169</v>
      </c>
      <c r="V16" s="24" t="s">
        <v>170</v>
      </c>
      <c r="W16" s="24" t="s">
        <v>171</v>
      </c>
      <c r="X16" s="24" t="s">
        <v>172</v>
      </c>
      <c r="Y16" s="24" t="s">
        <v>173</v>
      </c>
      <c r="Z16" s="24" t="s">
        <v>174</v>
      </c>
      <c r="AA16" s="24" t="s">
        <v>175</v>
      </c>
      <c r="AB16" s="24" t="s">
        <v>176</v>
      </c>
      <c r="AC16" s="24" t="s">
        <v>177</v>
      </c>
      <c r="AD16" s="24" t="s">
        <v>123</v>
      </c>
      <c r="AE16" s="25" t="s">
        <v>150</v>
      </c>
      <c r="AF16" s="24" t="s">
        <v>187</v>
      </c>
      <c r="AG16" s="24" t="s">
        <v>189</v>
      </c>
      <c r="AH16" s="24" t="s">
        <v>257</v>
      </c>
      <c r="AI16" s="24" t="s">
        <v>316</v>
      </c>
      <c r="AJ16" s="137" t="s">
        <v>337</v>
      </c>
    </row>
    <row r="17" spans="1:36" x14ac:dyDescent="0.2">
      <c r="A17" s="16" t="s">
        <v>178</v>
      </c>
      <c r="B17" s="17" t="s">
        <v>48</v>
      </c>
      <c r="C17" s="18">
        <v>45753985</v>
      </c>
      <c r="D17" s="18">
        <v>45792882</v>
      </c>
      <c r="E17" s="18">
        <v>45812977</v>
      </c>
      <c r="F17" s="18">
        <v>45858520</v>
      </c>
      <c r="G17" s="18">
        <v>45994073</v>
      </c>
      <c r="H17" s="18">
        <v>46146492</v>
      </c>
      <c r="I17" s="18">
        <v>46297016</v>
      </c>
      <c r="J17" s="18">
        <v>46462408</v>
      </c>
      <c r="K17" s="18">
        <v>46673156</v>
      </c>
      <c r="L17" s="18">
        <v>46926613</v>
      </c>
      <c r="M17" s="18">
        <v>47249883</v>
      </c>
      <c r="N17" s="18">
        <v>47566371</v>
      </c>
      <c r="O17" s="18">
        <v>47878298</v>
      </c>
      <c r="P17" s="18">
        <v>48239097</v>
      </c>
      <c r="Q17" s="18">
        <v>48726170</v>
      </c>
      <c r="R17" s="18">
        <v>49156017</v>
      </c>
      <c r="S17" s="18">
        <v>49641747</v>
      </c>
      <c r="T17" s="18">
        <v>50111868</v>
      </c>
      <c r="U17" s="18">
        <v>50499877</v>
      </c>
      <c r="V17" s="18">
        <v>50945894</v>
      </c>
      <c r="W17" s="18">
        <v>51402265</v>
      </c>
      <c r="X17" s="18">
        <v>51748142</v>
      </c>
      <c r="Y17" s="18">
        <v>52114634</v>
      </c>
      <c r="Z17" s="18">
        <v>52520918</v>
      </c>
      <c r="AA17" s="18">
        <v>52911344</v>
      </c>
      <c r="AB17" s="18">
        <v>53328777</v>
      </c>
      <c r="AC17" s="18">
        <v>53610795</v>
      </c>
      <c r="AD17" s="18">
        <v>53884028</v>
      </c>
      <c r="AE17" s="18">
        <v>54211511</v>
      </c>
      <c r="AF17" s="18">
        <v>54374351</v>
      </c>
      <c r="AG17" s="18">
        <v>54681574</v>
      </c>
      <c r="AH17" s="61">
        <v>55224918</v>
      </c>
      <c r="AI17" s="144">
        <v>55986782</v>
      </c>
      <c r="AJ17" s="122">
        <v>56685313</v>
      </c>
    </row>
    <row r="18" spans="1:36" x14ac:dyDescent="0.2">
      <c r="A18" s="16" t="s">
        <v>178</v>
      </c>
      <c r="B18" s="17" t="s">
        <v>1</v>
      </c>
      <c r="C18" s="18">
        <v>4062381</v>
      </c>
      <c r="D18" s="18">
        <v>4063432</v>
      </c>
      <c r="E18" s="18">
        <v>4064785</v>
      </c>
      <c r="F18" s="18">
        <v>4069707</v>
      </c>
      <c r="G18" s="18">
        <v>4075135</v>
      </c>
      <c r="H18" s="18">
        <v>4073206</v>
      </c>
      <c r="I18" s="18">
        <v>4073325</v>
      </c>
      <c r="J18" s="18">
        <v>4074481</v>
      </c>
      <c r="K18" s="18">
        <v>4076554</v>
      </c>
      <c r="L18" s="18">
        <v>4078177</v>
      </c>
      <c r="M18" s="18">
        <v>4093826</v>
      </c>
      <c r="N18" s="18">
        <v>4108215</v>
      </c>
      <c r="O18" s="18">
        <v>4122395</v>
      </c>
      <c r="P18" s="18">
        <v>4146555</v>
      </c>
      <c r="Q18" s="18">
        <v>4178159</v>
      </c>
      <c r="R18" s="18">
        <v>4206768</v>
      </c>
      <c r="S18" s="18">
        <v>4246353</v>
      </c>
      <c r="T18" s="18">
        <v>4281259</v>
      </c>
      <c r="U18" s="18">
        <v>4311673</v>
      </c>
      <c r="V18" s="18">
        <v>4344380</v>
      </c>
      <c r="W18" s="18">
        <v>4383797</v>
      </c>
      <c r="X18" s="18">
        <v>4396405</v>
      </c>
      <c r="Y18" s="18">
        <v>4409171</v>
      </c>
      <c r="Z18" s="18">
        <v>4424108</v>
      </c>
      <c r="AA18" s="18">
        <v>4443194</v>
      </c>
      <c r="AB18" s="18">
        <v>4463875</v>
      </c>
      <c r="AC18" s="18">
        <v>4478448</v>
      </c>
      <c r="AD18" s="18">
        <v>4484271</v>
      </c>
      <c r="AE18" s="18">
        <v>4504665</v>
      </c>
      <c r="AF18" s="18">
        <v>4509422</v>
      </c>
      <c r="AG18" s="18">
        <v>4519343</v>
      </c>
      <c r="AH18" s="61">
        <v>4555170</v>
      </c>
      <c r="AI18" s="61">
        <v>4608021</v>
      </c>
      <c r="AJ18" s="138">
        <v>4650067</v>
      </c>
    </row>
    <row r="19" spans="1:36" ht="35.450000000000003" customHeight="1" x14ac:dyDescent="0.2">
      <c r="A19" s="17" t="s">
        <v>179</v>
      </c>
      <c r="B19" s="17" t="s">
        <v>35</v>
      </c>
      <c r="C19" s="18">
        <v>343362</v>
      </c>
      <c r="D19" s="18">
        <v>348088</v>
      </c>
      <c r="E19" s="18">
        <v>352116</v>
      </c>
      <c r="F19" s="18">
        <v>354895</v>
      </c>
      <c r="G19" s="18">
        <v>356334</v>
      </c>
      <c r="H19" s="18">
        <v>357138</v>
      </c>
      <c r="I19" s="18">
        <v>356331</v>
      </c>
      <c r="J19" s="18">
        <v>356035</v>
      </c>
      <c r="K19" s="18">
        <v>356962</v>
      </c>
      <c r="L19" s="18">
        <v>356615</v>
      </c>
      <c r="M19" s="18">
        <v>356588</v>
      </c>
      <c r="N19" s="18">
        <v>358101</v>
      </c>
      <c r="O19" s="18">
        <v>360005</v>
      </c>
      <c r="P19" s="18">
        <v>362779</v>
      </c>
      <c r="Q19" s="18">
        <v>366949</v>
      </c>
      <c r="R19" s="18">
        <v>371562</v>
      </c>
      <c r="S19" s="18">
        <v>377525</v>
      </c>
      <c r="T19" s="18">
        <v>381450</v>
      </c>
      <c r="U19" s="18">
        <v>386589</v>
      </c>
      <c r="V19" s="18">
        <v>391542</v>
      </c>
      <c r="W19" s="18">
        <v>396375</v>
      </c>
      <c r="X19" s="18">
        <v>399278</v>
      </c>
      <c r="Y19" s="18">
        <v>402293</v>
      </c>
      <c r="Z19" s="18">
        <v>405210</v>
      </c>
      <c r="AA19" s="18">
        <v>407176</v>
      </c>
      <c r="AB19" s="18">
        <v>405739</v>
      </c>
      <c r="AC19" s="18">
        <v>403680</v>
      </c>
      <c r="AD19" s="18">
        <v>401134</v>
      </c>
      <c r="AE19" s="18">
        <v>401517</v>
      </c>
      <c r="AF19" s="18">
        <v>401132</v>
      </c>
      <c r="AG19" s="18">
        <v>400689</v>
      </c>
      <c r="AH19" s="61">
        <v>404061</v>
      </c>
      <c r="AI19" s="113">
        <v>408257</v>
      </c>
      <c r="AJ19" s="61">
        <v>411567</v>
      </c>
    </row>
    <row r="20" spans="1:36" x14ac:dyDescent="0.2">
      <c r="A20" s="16" t="s">
        <v>179</v>
      </c>
      <c r="B20" s="17" t="s">
        <v>36</v>
      </c>
      <c r="C20" s="18">
        <v>1447078</v>
      </c>
      <c r="D20" s="18">
        <v>1439144</v>
      </c>
      <c r="E20" s="18">
        <v>1431653</v>
      </c>
      <c r="F20" s="18">
        <v>1427859</v>
      </c>
      <c r="G20" s="18">
        <v>1422267</v>
      </c>
      <c r="H20" s="18">
        <v>1417276</v>
      </c>
      <c r="I20" s="18">
        <v>1412369</v>
      </c>
      <c r="J20" s="18">
        <v>1409108</v>
      </c>
      <c r="K20" s="18">
        <v>1406049</v>
      </c>
      <c r="L20" s="18">
        <v>1402897</v>
      </c>
      <c r="M20" s="18">
        <v>1409310</v>
      </c>
      <c r="N20" s="18">
        <v>1411769</v>
      </c>
      <c r="O20" s="18">
        <v>1412048</v>
      </c>
      <c r="P20" s="18">
        <v>1415248</v>
      </c>
      <c r="Q20" s="18">
        <v>1420109</v>
      </c>
      <c r="R20" s="18">
        <v>1424413</v>
      </c>
      <c r="S20" s="18">
        <v>1433661</v>
      </c>
      <c r="T20" s="18">
        <v>1443578</v>
      </c>
      <c r="U20" s="18">
        <v>1453607</v>
      </c>
      <c r="V20" s="18">
        <v>1463094</v>
      </c>
      <c r="W20" s="18">
        <v>1474196</v>
      </c>
      <c r="X20" s="18">
        <v>1477248</v>
      </c>
      <c r="Y20" s="18">
        <v>1478617</v>
      </c>
      <c r="Z20" s="18">
        <v>1482740</v>
      </c>
      <c r="AA20" s="18">
        <v>1488442</v>
      </c>
      <c r="AB20" s="18">
        <v>1497752</v>
      </c>
      <c r="AC20" s="18">
        <v>1504647</v>
      </c>
      <c r="AD20" s="18">
        <v>1510006</v>
      </c>
      <c r="AE20" s="18">
        <v>1519399</v>
      </c>
      <c r="AF20" s="18">
        <v>1522420</v>
      </c>
      <c r="AG20" s="18">
        <v>1524985</v>
      </c>
      <c r="AH20" s="61">
        <v>1540751</v>
      </c>
      <c r="AI20" s="113">
        <v>1565128</v>
      </c>
      <c r="AJ20" s="61">
        <v>1583599</v>
      </c>
    </row>
    <row r="21" spans="1:36" x14ac:dyDescent="0.2">
      <c r="A21" s="16" t="s">
        <v>179</v>
      </c>
      <c r="B21" s="17" t="s">
        <v>37</v>
      </c>
      <c r="C21" s="18">
        <v>966654</v>
      </c>
      <c r="D21" s="18">
        <v>966658</v>
      </c>
      <c r="E21" s="18">
        <v>969178</v>
      </c>
      <c r="F21" s="18">
        <v>972222</v>
      </c>
      <c r="G21" s="18">
        <v>977211</v>
      </c>
      <c r="H21" s="18">
        <v>978629</v>
      </c>
      <c r="I21" s="18">
        <v>982155</v>
      </c>
      <c r="J21" s="18">
        <v>986354</v>
      </c>
      <c r="K21" s="18">
        <v>990284</v>
      </c>
      <c r="L21" s="18">
        <v>996915</v>
      </c>
      <c r="M21" s="18">
        <v>1003231</v>
      </c>
      <c r="N21" s="18">
        <v>1008271</v>
      </c>
      <c r="O21" s="18">
        <v>1011797</v>
      </c>
      <c r="P21" s="18">
        <v>1019369</v>
      </c>
      <c r="Q21" s="18">
        <v>1029400</v>
      </c>
      <c r="R21" s="18">
        <v>1038238</v>
      </c>
      <c r="S21" s="18">
        <v>1049605</v>
      </c>
      <c r="T21" s="18">
        <v>1059303</v>
      </c>
      <c r="U21" s="18">
        <v>1067395</v>
      </c>
      <c r="V21" s="18">
        <v>1077028</v>
      </c>
      <c r="W21" s="18">
        <v>1089736</v>
      </c>
      <c r="X21" s="18">
        <v>1095193</v>
      </c>
      <c r="Y21" s="18">
        <v>1099131</v>
      </c>
      <c r="Z21" s="18">
        <v>1104413</v>
      </c>
      <c r="AA21" s="18">
        <v>1112951</v>
      </c>
      <c r="AB21" s="18">
        <v>1123333</v>
      </c>
      <c r="AC21" s="18">
        <v>1131469</v>
      </c>
      <c r="AD21" s="18">
        <v>1137733</v>
      </c>
      <c r="AE21" s="18">
        <v>1146610</v>
      </c>
      <c r="AF21" s="18">
        <v>1151697</v>
      </c>
      <c r="AG21" s="18">
        <v>1153853</v>
      </c>
      <c r="AH21" s="61">
        <v>1166736</v>
      </c>
      <c r="AI21" s="113">
        <v>1182365</v>
      </c>
      <c r="AJ21" s="61">
        <v>1195748</v>
      </c>
    </row>
    <row r="22" spans="1:36" x14ac:dyDescent="0.2">
      <c r="A22" s="16" t="s">
        <v>179</v>
      </c>
      <c r="B22" s="17" t="s">
        <v>236</v>
      </c>
      <c r="C22" s="18">
        <v>216872</v>
      </c>
      <c r="D22" s="18">
        <v>216929</v>
      </c>
      <c r="E22" s="18">
        <v>217103</v>
      </c>
      <c r="F22" s="18">
        <v>217664</v>
      </c>
      <c r="G22" s="18">
        <v>218413</v>
      </c>
      <c r="H22" s="18">
        <v>219602</v>
      </c>
      <c r="I22" s="18">
        <v>220846</v>
      </c>
      <c r="J22" s="18">
        <v>221799</v>
      </c>
      <c r="K22" s="18">
        <v>223027</v>
      </c>
      <c r="L22" s="18">
        <v>223783</v>
      </c>
      <c r="M22" s="18">
        <v>224657</v>
      </c>
      <c r="N22" s="18">
        <v>226430</v>
      </c>
      <c r="O22" s="18">
        <v>228111</v>
      </c>
      <c r="P22" s="18">
        <v>230050</v>
      </c>
      <c r="Q22" s="18">
        <v>232697</v>
      </c>
      <c r="R22" s="18">
        <v>234850</v>
      </c>
      <c r="S22" s="18">
        <v>237472</v>
      </c>
      <c r="T22" s="18">
        <v>239084</v>
      </c>
      <c r="U22" s="18">
        <v>240380</v>
      </c>
      <c r="V22" s="18">
        <v>241934</v>
      </c>
      <c r="W22" s="18">
        <v>244436</v>
      </c>
      <c r="X22" s="18">
        <v>245101</v>
      </c>
      <c r="Y22" s="18">
        <v>245731</v>
      </c>
      <c r="Z22" s="18">
        <v>246194</v>
      </c>
      <c r="AA22" s="18">
        <v>247758</v>
      </c>
      <c r="AB22" s="18">
        <v>249170</v>
      </c>
      <c r="AC22" s="18">
        <v>250272</v>
      </c>
      <c r="AD22" s="18">
        <v>250388</v>
      </c>
      <c r="AE22" s="18">
        <v>251423</v>
      </c>
      <c r="AF22" s="18">
        <v>251121</v>
      </c>
      <c r="AG22" s="18">
        <v>251033</v>
      </c>
      <c r="AH22" s="61">
        <v>252392</v>
      </c>
      <c r="AI22" s="113">
        <v>254328</v>
      </c>
      <c r="AJ22" s="61">
        <v>256327</v>
      </c>
    </row>
    <row r="23" spans="1:36" x14ac:dyDescent="0.2">
      <c r="A23" s="16" t="s">
        <v>179</v>
      </c>
      <c r="B23" s="17" t="s">
        <v>38</v>
      </c>
      <c r="C23" s="18">
        <v>591513</v>
      </c>
      <c r="D23" s="18">
        <v>593973</v>
      </c>
      <c r="E23" s="18">
        <v>595333</v>
      </c>
      <c r="F23" s="18">
        <v>595821</v>
      </c>
      <c r="G23" s="18">
        <v>597262</v>
      </c>
      <c r="H23" s="18">
        <v>595475</v>
      </c>
      <c r="I23" s="18">
        <v>595692</v>
      </c>
      <c r="J23" s="18">
        <v>595849</v>
      </c>
      <c r="K23" s="18">
        <v>596044</v>
      </c>
      <c r="L23" s="18">
        <v>596779</v>
      </c>
      <c r="M23" s="18">
        <v>598392</v>
      </c>
      <c r="N23" s="18">
        <v>600914</v>
      </c>
      <c r="O23" s="18">
        <v>603754</v>
      </c>
      <c r="P23" s="18">
        <v>607795</v>
      </c>
      <c r="Q23" s="18">
        <v>613311</v>
      </c>
      <c r="R23" s="18">
        <v>617849</v>
      </c>
      <c r="S23" s="18">
        <v>622884</v>
      </c>
      <c r="T23" s="18">
        <v>627701</v>
      </c>
      <c r="U23" s="18">
        <v>631559</v>
      </c>
      <c r="V23" s="18">
        <v>635695</v>
      </c>
      <c r="W23" s="18">
        <v>642035</v>
      </c>
      <c r="X23" s="18">
        <v>644408</v>
      </c>
      <c r="Y23" s="18">
        <v>645464</v>
      </c>
      <c r="Z23" s="18">
        <v>646829</v>
      </c>
      <c r="AA23" s="18">
        <v>648212</v>
      </c>
      <c r="AB23" s="18">
        <v>650355</v>
      </c>
      <c r="AC23" s="18">
        <v>651644</v>
      </c>
      <c r="AD23" s="18">
        <v>651468</v>
      </c>
      <c r="AE23" s="18">
        <v>653852</v>
      </c>
      <c r="AF23" s="18">
        <v>654033</v>
      </c>
      <c r="AG23" s="18">
        <v>655089</v>
      </c>
      <c r="AH23" s="61">
        <v>658265</v>
      </c>
      <c r="AI23" s="113">
        <v>663671</v>
      </c>
      <c r="AJ23" s="61">
        <v>666960</v>
      </c>
    </row>
    <row r="24" spans="1:36" x14ac:dyDescent="0.2">
      <c r="A24" s="16" t="s">
        <v>179</v>
      </c>
      <c r="B24" s="17" t="s">
        <v>121</v>
      </c>
      <c r="C24" s="18">
        <v>356825</v>
      </c>
      <c r="D24" s="18">
        <v>358676</v>
      </c>
      <c r="E24" s="18">
        <v>360566</v>
      </c>
      <c r="F24" s="18">
        <v>362978</v>
      </c>
      <c r="G24" s="18">
        <v>364452</v>
      </c>
      <c r="H24" s="18">
        <v>364690</v>
      </c>
      <c r="I24" s="18">
        <v>364994</v>
      </c>
      <c r="J24" s="18">
        <v>364860</v>
      </c>
      <c r="K24" s="18">
        <v>365275</v>
      </c>
      <c r="L24" s="18">
        <v>364915</v>
      </c>
      <c r="M24" s="18">
        <v>365868</v>
      </c>
      <c r="N24" s="18">
        <v>368349</v>
      </c>
      <c r="O24" s="18">
        <v>372189</v>
      </c>
      <c r="P24" s="18">
        <v>376255</v>
      </c>
      <c r="Q24" s="18">
        <v>381189</v>
      </c>
      <c r="R24" s="18">
        <v>386114</v>
      </c>
      <c r="S24" s="18">
        <v>390498</v>
      </c>
      <c r="T24" s="18">
        <v>394521</v>
      </c>
      <c r="U24" s="18">
        <v>396668</v>
      </c>
      <c r="V24" s="18">
        <v>399380</v>
      </c>
      <c r="W24" s="18">
        <v>402140</v>
      </c>
      <c r="X24" s="18">
        <v>401428</v>
      </c>
      <c r="Y24" s="18">
        <v>405134</v>
      </c>
      <c r="Z24" s="18">
        <v>406475</v>
      </c>
      <c r="AA24" s="18">
        <v>408034</v>
      </c>
      <c r="AB24" s="18">
        <v>409229</v>
      </c>
      <c r="AC24" s="18">
        <v>409442</v>
      </c>
      <c r="AD24" s="18">
        <v>408389</v>
      </c>
      <c r="AE24" s="18">
        <v>408093</v>
      </c>
      <c r="AF24" s="18">
        <v>407604</v>
      </c>
      <c r="AG24" s="18">
        <v>411661</v>
      </c>
      <c r="AH24" s="61">
        <v>412099</v>
      </c>
      <c r="AI24" s="113">
        <v>414136</v>
      </c>
      <c r="AJ24" s="61">
        <v>415686</v>
      </c>
    </row>
    <row r="25" spans="1:36" x14ac:dyDescent="0.2">
      <c r="A25" s="16" t="s">
        <v>179</v>
      </c>
      <c r="B25" s="17" t="s">
        <v>39</v>
      </c>
      <c r="C25" s="18">
        <v>297698</v>
      </c>
      <c r="D25" s="18">
        <v>297620</v>
      </c>
      <c r="E25" s="18">
        <v>297427</v>
      </c>
      <c r="F25" s="18">
        <v>297138</v>
      </c>
      <c r="G25" s="18">
        <v>297605</v>
      </c>
      <c r="H25" s="18">
        <v>297381</v>
      </c>
      <c r="I25" s="18">
        <v>297685</v>
      </c>
      <c r="J25" s="18">
        <v>297610</v>
      </c>
      <c r="K25" s="18">
        <v>297026</v>
      </c>
      <c r="L25" s="18">
        <v>296260</v>
      </c>
      <c r="M25" s="18">
        <v>296982</v>
      </c>
      <c r="N25" s="18">
        <v>297410</v>
      </c>
      <c r="O25" s="18">
        <v>298528</v>
      </c>
      <c r="P25" s="18">
        <v>300235</v>
      </c>
      <c r="Q25" s="18">
        <v>301492</v>
      </c>
      <c r="R25" s="18">
        <v>302551</v>
      </c>
      <c r="S25" s="18">
        <v>304431</v>
      </c>
      <c r="T25" s="18">
        <v>305977</v>
      </c>
      <c r="U25" s="18">
        <v>306792</v>
      </c>
      <c r="V25" s="18">
        <v>307969</v>
      </c>
      <c r="W25" s="18">
        <v>309361</v>
      </c>
      <c r="X25" s="18">
        <v>309439</v>
      </c>
      <c r="Y25" s="18">
        <v>309432</v>
      </c>
      <c r="Z25" s="18">
        <v>309133</v>
      </c>
      <c r="AA25" s="18">
        <v>308505</v>
      </c>
      <c r="AB25" s="18">
        <v>308265</v>
      </c>
      <c r="AC25" s="18">
        <v>308311</v>
      </c>
      <c r="AD25" s="18">
        <v>307149</v>
      </c>
      <c r="AE25" s="18">
        <v>307023</v>
      </c>
      <c r="AF25" s="18">
        <v>305877</v>
      </c>
      <c r="AG25" s="18">
        <v>306687</v>
      </c>
      <c r="AH25" s="61">
        <v>306959</v>
      </c>
      <c r="AI25" s="113">
        <v>308310</v>
      </c>
      <c r="AJ25" s="61">
        <v>309864</v>
      </c>
    </row>
    <row r="26" spans="1:36" x14ac:dyDescent="0.2">
      <c r="A26" s="16" t="s">
        <v>179</v>
      </c>
      <c r="B26" s="17" t="s">
        <v>40</v>
      </c>
      <c r="C26" s="18">
        <v>202647</v>
      </c>
      <c r="D26" s="18">
        <v>203683</v>
      </c>
      <c r="E26" s="18">
        <v>203988</v>
      </c>
      <c r="F26" s="18">
        <v>204305</v>
      </c>
      <c r="G26" s="18">
        <v>205071</v>
      </c>
      <c r="H26" s="18">
        <v>205169</v>
      </c>
      <c r="I26" s="18">
        <v>205380</v>
      </c>
      <c r="J26" s="18">
        <v>205697</v>
      </c>
      <c r="K26" s="18">
        <v>205280</v>
      </c>
      <c r="L26" s="18">
        <v>205435</v>
      </c>
      <c r="M26" s="18">
        <v>206795</v>
      </c>
      <c r="N26" s="18">
        <v>207847</v>
      </c>
      <c r="O26" s="18">
        <v>209379</v>
      </c>
      <c r="P26" s="18">
        <v>211687</v>
      </c>
      <c r="Q26" s="18">
        <v>213410</v>
      </c>
      <c r="R26" s="18">
        <v>214582</v>
      </c>
      <c r="S26" s="18">
        <v>216593</v>
      </c>
      <c r="T26" s="18">
        <v>218459</v>
      </c>
      <c r="U26" s="18">
        <v>219232</v>
      </c>
      <c r="V26" s="18">
        <v>219856</v>
      </c>
      <c r="W26" s="18">
        <v>220883</v>
      </c>
      <c r="X26" s="18">
        <v>221124</v>
      </c>
      <c r="Y26" s="18">
        <v>221479</v>
      </c>
      <c r="Z26" s="18">
        <v>221821</v>
      </c>
      <c r="AA26" s="18">
        <v>221766</v>
      </c>
      <c r="AB26" s="18">
        <v>222036</v>
      </c>
      <c r="AC26" s="18">
        <v>222137</v>
      </c>
      <c r="AD26" s="18">
        <v>221629</v>
      </c>
      <c r="AE26" s="18">
        <v>221835</v>
      </c>
      <c r="AF26" s="18">
        <v>221230</v>
      </c>
      <c r="AG26" s="18">
        <v>222436</v>
      </c>
      <c r="AH26" s="61">
        <v>222368</v>
      </c>
      <c r="AI26" s="113">
        <v>222936</v>
      </c>
      <c r="AJ26" s="61">
        <v>223496</v>
      </c>
    </row>
    <row r="27" spans="1:36" ht="36.6" customHeight="1" x14ac:dyDescent="0.2">
      <c r="A27" s="17" t="s">
        <v>180</v>
      </c>
      <c r="B27" s="17" t="s">
        <v>41</v>
      </c>
      <c r="C27" s="18">
        <v>130411</v>
      </c>
      <c r="D27" s="18">
        <v>129277</v>
      </c>
      <c r="E27" s="18">
        <v>129170</v>
      </c>
      <c r="F27" s="18">
        <v>129961</v>
      </c>
      <c r="G27" s="18">
        <v>130171</v>
      </c>
      <c r="H27" s="18">
        <v>130088</v>
      </c>
      <c r="I27" s="18">
        <v>129857</v>
      </c>
      <c r="J27" s="18">
        <v>129448</v>
      </c>
      <c r="K27" s="18">
        <v>129179</v>
      </c>
      <c r="L27" s="18">
        <v>128241</v>
      </c>
      <c r="M27" s="18">
        <v>128325</v>
      </c>
      <c r="N27" s="18">
        <v>128543</v>
      </c>
      <c r="O27" s="18">
        <v>129109</v>
      </c>
      <c r="P27" s="18">
        <v>129734</v>
      </c>
      <c r="Q27" s="18">
        <v>130489</v>
      </c>
      <c r="R27" s="18">
        <v>131940</v>
      </c>
      <c r="S27" s="18">
        <v>132644</v>
      </c>
      <c r="T27" s="18">
        <v>132599</v>
      </c>
      <c r="U27" s="18">
        <v>133001</v>
      </c>
      <c r="V27" s="18">
        <v>133185</v>
      </c>
      <c r="W27" s="18">
        <v>134193</v>
      </c>
      <c r="X27" s="18">
        <v>132969</v>
      </c>
      <c r="Y27" s="18">
        <v>134654</v>
      </c>
      <c r="Z27" s="18">
        <v>134937</v>
      </c>
      <c r="AA27" s="18">
        <v>134600</v>
      </c>
      <c r="AB27" s="18">
        <v>134834</v>
      </c>
      <c r="AC27" s="18">
        <v>134603</v>
      </c>
      <c r="AD27" s="18">
        <v>133993</v>
      </c>
      <c r="AE27" s="18">
        <v>133521</v>
      </c>
      <c r="AF27" s="18">
        <v>133461</v>
      </c>
      <c r="AG27" s="18">
        <v>134722</v>
      </c>
      <c r="AH27" s="61">
        <v>134978</v>
      </c>
      <c r="AI27" s="113">
        <v>135341</v>
      </c>
      <c r="AJ27" s="61">
        <v>135488</v>
      </c>
    </row>
    <row r="28" spans="1:36" x14ac:dyDescent="0.2">
      <c r="A28" s="16" t="s">
        <v>180</v>
      </c>
      <c r="B28" s="17" t="s">
        <v>42</v>
      </c>
      <c r="C28" s="18">
        <v>1080618</v>
      </c>
      <c r="D28" s="18">
        <v>1090828</v>
      </c>
      <c r="E28" s="18">
        <v>1097395</v>
      </c>
      <c r="F28" s="18">
        <v>1103730</v>
      </c>
      <c r="G28" s="18">
        <v>1108095</v>
      </c>
      <c r="H28" s="18">
        <v>1108957</v>
      </c>
      <c r="I28" s="18">
        <v>1110280</v>
      </c>
      <c r="J28" s="18">
        <v>1111966</v>
      </c>
      <c r="K28" s="18">
        <v>1113966</v>
      </c>
      <c r="L28" s="18">
        <v>1115285</v>
      </c>
      <c r="M28" s="18">
        <v>1118913</v>
      </c>
      <c r="N28" s="18">
        <v>1126640</v>
      </c>
      <c r="O28" s="18">
        <v>1136764</v>
      </c>
      <c r="P28" s="18">
        <v>1150491</v>
      </c>
      <c r="Q28" s="18">
        <v>1163122</v>
      </c>
      <c r="R28" s="18">
        <v>1175732</v>
      </c>
      <c r="S28" s="18">
        <v>1190936</v>
      </c>
      <c r="T28" s="18">
        <v>1205514</v>
      </c>
      <c r="U28" s="18">
        <v>1213597</v>
      </c>
      <c r="V28" s="18">
        <v>1223057</v>
      </c>
      <c r="W28" s="18">
        <v>1231831</v>
      </c>
      <c r="X28" s="18">
        <v>1236690</v>
      </c>
      <c r="Y28" s="18">
        <v>1242620</v>
      </c>
      <c r="Z28" s="18">
        <v>1249025</v>
      </c>
      <c r="AA28" s="18">
        <v>1254528</v>
      </c>
      <c r="AB28" s="18">
        <v>1257404</v>
      </c>
      <c r="AC28" s="18">
        <v>1258492</v>
      </c>
      <c r="AD28" s="18">
        <v>1256136</v>
      </c>
      <c r="AE28" s="18">
        <v>1257753</v>
      </c>
      <c r="AF28" s="18">
        <v>1255903</v>
      </c>
      <c r="AG28" s="18">
        <v>1265771</v>
      </c>
      <c r="AH28" s="61">
        <v>1268355</v>
      </c>
      <c r="AI28" s="113">
        <v>1276200</v>
      </c>
      <c r="AJ28" s="61">
        <v>1283749</v>
      </c>
    </row>
    <row r="29" spans="1:36" x14ac:dyDescent="0.2">
      <c r="A29" s="16" t="s">
        <v>180</v>
      </c>
      <c r="B29" s="17" t="s">
        <v>43</v>
      </c>
      <c r="C29" s="18">
        <v>1676305</v>
      </c>
      <c r="D29" s="18">
        <v>1675551</v>
      </c>
      <c r="E29" s="18">
        <v>1675639</v>
      </c>
      <c r="F29" s="18">
        <v>1678024</v>
      </c>
      <c r="G29" s="18">
        <v>1681219</v>
      </c>
      <c r="H29" s="18">
        <v>1681202</v>
      </c>
      <c r="I29" s="18">
        <v>1685630</v>
      </c>
      <c r="J29" s="18">
        <v>1688413</v>
      </c>
      <c r="K29" s="18">
        <v>1690905</v>
      </c>
      <c r="L29" s="18">
        <v>1695316</v>
      </c>
      <c r="M29" s="18">
        <v>1701436</v>
      </c>
      <c r="N29" s="18">
        <v>1710659</v>
      </c>
      <c r="O29" s="18">
        <v>1718569</v>
      </c>
      <c r="P29" s="18">
        <v>1729255</v>
      </c>
      <c r="Q29" s="18">
        <v>1739696</v>
      </c>
      <c r="R29" s="18">
        <v>1749436</v>
      </c>
      <c r="S29" s="18">
        <v>1761700</v>
      </c>
      <c r="T29" s="18">
        <v>1772606</v>
      </c>
      <c r="U29" s="18">
        <v>1780909</v>
      </c>
      <c r="V29" s="18">
        <v>1789768</v>
      </c>
      <c r="W29" s="18">
        <v>1801379</v>
      </c>
      <c r="X29" s="18">
        <v>1807920</v>
      </c>
      <c r="Y29" s="18">
        <v>1812834</v>
      </c>
      <c r="Z29" s="18">
        <v>1820191</v>
      </c>
      <c r="AA29" s="18">
        <v>1827575</v>
      </c>
      <c r="AB29" s="18">
        <v>1837547</v>
      </c>
      <c r="AC29" s="18">
        <v>1845106</v>
      </c>
      <c r="AD29" s="18">
        <v>1847583</v>
      </c>
      <c r="AE29" s="18">
        <v>1855061</v>
      </c>
      <c r="AF29" s="18">
        <v>1857429</v>
      </c>
      <c r="AG29" s="18">
        <v>1863618</v>
      </c>
      <c r="AH29" s="61">
        <v>1872966</v>
      </c>
      <c r="AI29" s="113">
        <v>1889929</v>
      </c>
      <c r="AJ29" s="61">
        <v>1905225</v>
      </c>
    </row>
    <row r="30" spans="1:36" x14ac:dyDescent="0.2">
      <c r="A30" s="16" t="s">
        <v>180</v>
      </c>
      <c r="B30" s="17" t="s">
        <v>44</v>
      </c>
      <c r="C30" s="18">
        <v>1175047</v>
      </c>
      <c r="D30" s="18">
        <v>1167776</v>
      </c>
      <c r="E30" s="18">
        <v>1162581</v>
      </c>
      <c r="F30" s="18">
        <v>1157992</v>
      </c>
      <c r="G30" s="18">
        <v>1155650</v>
      </c>
      <c r="H30" s="18">
        <v>1152959</v>
      </c>
      <c r="I30" s="18">
        <v>1147558</v>
      </c>
      <c r="J30" s="18">
        <v>1144654</v>
      </c>
      <c r="K30" s="18">
        <v>1142504</v>
      </c>
      <c r="L30" s="18">
        <v>1139335</v>
      </c>
      <c r="M30" s="18">
        <v>1145152</v>
      </c>
      <c r="N30" s="18">
        <v>1142373</v>
      </c>
      <c r="O30" s="18">
        <v>1137953</v>
      </c>
      <c r="P30" s="18">
        <v>1137075</v>
      </c>
      <c r="Q30" s="18">
        <v>1144852</v>
      </c>
      <c r="R30" s="18">
        <v>1149660</v>
      </c>
      <c r="S30" s="18">
        <v>1161073</v>
      </c>
      <c r="T30" s="18">
        <v>1170540</v>
      </c>
      <c r="U30" s="18">
        <v>1184166</v>
      </c>
      <c r="V30" s="18">
        <v>1198370</v>
      </c>
      <c r="W30" s="18">
        <v>1216394</v>
      </c>
      <c r="X30" s="18">
        <v>1218826</v>
      </c>
      <c r="Y30" s="18">
        <v>1219063</v>
      </c>
      <c r="Z30" s="18">
        <v>1219955</v>
      </c>
      <c r="AA30" s="18">
        <v>1226491</v>
      </c>
      <c r="AB30" s="18">
        <v>1234090</v>
      </c>
      <c r="AC30" s="18">
        <v>1240247</v>
      </c>
      <c r="AD30" s="18">
        <v>1246559</v>
      </c>
      <c r="AE30" s="18">
        <v>1258330</v>
      </c>
      <c r="AF30" s="18">
        <v>1262629</v>
      </c>
      <c r="AG30" s="18">
        <v>1255232</v>
      </c>
      <c r="AH30" s="61">
        <v>1278871</v>
      </c>
      <c r="AI30" s="113">
        <v>1306551</v>
      </c>
      <c r="AJ30" s="61">
        <v>1325605</v>
      </c>
    </row>
    <row r="31" spans="1:36" ht="28.5" customHeight="1" x14ac:dyDescent="0.2">
      <c r="A31" s="17" t="s">
        <v>181</v>
      </c>
      <c r="B31" s="17" t="s">
        <v>45</v>
      </c>
      <c r="C31" s="18">
        <f>C24</f>
        <v>356825</v>
      </c>
      <c r="D31" s="18">
        <f t="shared" ref="D31:V31" si="0">D24</f>
        <v>358676</v>
      </c>
      <c r="E31" s="18">
        <f t="shared" si="0"/>
        <v>360566</v>
      </c>
      <c r="F31" s="18">
        <f t="shared" si="0"/>
        <v>362978</v>
      </c>
      <c r="G31" s="18">
        <f t="shared" si="0"/>
        <v>364452</v>
      </c>
      <c r="H31" s="18">
        <f t="shared" si="0"/>
        <v>364690</v>
      </c>
      <c r="I31" s="18">
        <f t="shared" si="0"/>
        <v>364994</v>
      </c>
      <c r="J31" s="18">
        <f t="shared" si="0"/>
        <v>364860</v>
      </c>
      <c r="K31" s="18">
        <f t="shared" si="0"/>
        <v>365275</v>
      </c>
      <c r="L31" s="18">
        <f t="shared" si="0"/>
        <v>364915</v>
      </c>
      <c r="M31" s="18">
        <f t="shared" si="0"/>
        <v>365868</v>
      </c>
      <c r="N31" s="18">
        <f t="shared" si="0"/>
        <v>368349</v>
      </c>
      <c r="O31" s="18">
        <f t="shared" si="0"/>
        <v>372189</v>
      </c>
      <c r="P31" s="18">
        <f t="shared" si="0"/>
        <v>376255</v>
      </c>
      <c r="Q31" s="18">
        <f t="shared" si="0"/>
        <v>381189</v>
      </c>
      <c r="R31" s="18">
        <f t="shared" si="0"/>
        <v>386114</v>
      </c>
      <c r="S31" s="18">
        <f t="shared" si="0"/>
        <v>390498</v>
      </c>
      <c r="T31" s="18">
        <f t="shared" si="0"/>
        <v>394521</v>
      </c>
      <c r="U31" s="18">
        <f t="shared" si="0"/>
        <v>396668</v>
      </c>
      <c r="V31" s="18">
        <f t="shared" si="0"/>
        <v>399380</v>
      </c>
      <c r="W31" s="18">
        <f t="shared" ref="W31:AG31" si="1">W24</f>
        <v>402140</v>
      </c>
      <c r="X31" s="18">
        <f t="shared" si="1"/>
        <v>401428</v>
      </c>
      <c r="Y31" s="18">
        <f t="shared" si="1"/>
        <v>405134</v>
      </c>
      <c r="Z31" s="18">
        <f t="shared" si="1"/>
        <v>406475</v>
      </c>
      <c r="AA31" s="18">
        <f t="shared" si="1"/>
        <v>408034</v>
      </c>
      <c r="AB31" s="18">
        <f t="shared" si="1"/>
        <v>409229</v>
      </c>
      <c r="AC31" s="18">
        <f t="shared" si="1"/>
        <v>409442</v>
      </c>
      <c r="AD31" s="18">
        <f t="shared" si="1"/>
        <v>408389</v>
      </c>
      <c r="AE31" s="18">
        <f t="shared" si="1"/>
        <v>408093</v>
      </c>
      <c r="AF31" s="18">
        <f t="shared" si="1"/>
        <v>407604</v>
      </c>
      <c r="AG31" s="18">
        <f t="shared" si="1"/>
        <v>411661</v>
      </c>
      <c r="AH31" s="61">
        <v>412099</v>
      </c>
      <c r="AI31" s="113">
        <v>414136</v>
      </c>
      <c r="AJ31" s="61">
        <v>415686</v>
      </c>
    </row>
    <row r="32" spans="1:36" x14ac:dyDescent="0.2">
      <c r="A32" s="16" t="s">
        <v>181</v>
      </c>
      <c r="B32" s="17" t="s">
        <v>120</v>
      </c>
      <c r="C32" s="18">
        <f>C26</f>
        <v>202647</v>
      </c>
      <c r="D32" s="18">
        <f t="shared" ref="D32:V32" si="2">D26</f>
        <v>203683</v>
      </c>
      <c r="E32" s="18">
        <f t="shared" si="2"/>
        <v>203988</v>
      </c>
      <c r="F32" s="18">
        <f t="shared" si="2"/>
        <v>204305</v>
      </c>
      <c r="G32" s="18">
        <f t="shared" si="2"/>
        <v>205071</v>
      </c>
      <c r="H32" s="18">
        <f t="shared" si="2"/>
        <v>205169</v>
      </c>
      <c r="I32" s="18">
        <f t="shared" si="2"/>
        <v>205380</v>
      </c>
      <c r="J32" s="18">
        <f t="shared" si="2"/>
        <v>205697</v>
      </c>
      <c r="K32" s="18">
        <f t="shared" si="2"/>
        <v>205280</v>
      </c>
      <c r="L32" s="18">
        <f t="shared" si="2"/>
        <v>205435</v>
      </c>
      <c r="M32" s="18">
        <f t="shared" si="2"/>
        <v>206795</v>
      </c>
      <c r="N32" s="18">
        <f t="shared" si="2"/>
        <v>207847</v>
      </c>
      <c r="O32" s="18">
        <f t="shared" si="2"/>
        <v>209379</v>
      </c>
      <c r="P32" s="18">
        <f t="shared" si="2"/>
        <v>211687</v>
      </c>
      <c r="Q32" s="18">
        <f t="shared" si="2"/>
        <v>213410</v>
      </c>
      <c r="R32" s="18">
        <f t="shared" si="2"/>
        <v>214582</v>
      </c>
      <c r="S32" s="18">
        <f t="shared" si="2"/>
        <v>216593</v>
      </c>
      <c r="T32" s="18">
        <f t="shared" si="2"/>
        <v>218459</v>
      </c>
      <c r="U32" s="18">
        <f t="shared" si="2"/>
        <v>219232</v>
      </c>
      <c r="V32" s="18">
        <f t="shared" si="2"/>
        <v>219856</v>
      </c>
      <c r="W32" s="18">
        <f t="shared" ref="W32:AG32" si="3">W26</f>
        <v>220883</v>
      </c>
      <c r="X32" s="18">
        <f t="shared" si="3"/>
        <v>221124</v>
      </c>
      <c r="Y32" s="18">
        <f t="shared" si="3"/>
        <v>221479</v>
      </c>
      <c r="Z32" s="18">
        <f t="shared" si="3"/>
        <v>221821</v>
      </c>
      <c r="AA32" s="18">
        <f t="shared" si="3"/>
        <v>221766</v>
      </c>
      <c r="AB32" s="18">
        <f t="shared" si="3"/>
        <v>222036</v>
      </c>
      <c r="AC32" s="18">
        <f t="shared" si="3"/>
        <v>222137</v>
      </c>
      <c r="AD32" s="18">
        <f t="shared" si="3"/>
        <v>221629</v>
      </c>
      <c r="AE32" s="18">
        <f t="shared" si="3"/>
        <v>221835</v>
      </c>
      <c r="AF32" s="18">
        <f t="shared" si="3"/>
        <v>221230</v>
      </c>
      <c r="AG32" s="18">
        <f t="shared" si="3"/>
        <v>222436</v>
      </c>
      <c r="AH32" s="61">
        <v>222368</v>
      </c>
      <c r="AI32" s="113">
        <v>222936</v>
      </c>
      <c r="AJ32" s="61">
        <v>223496</v>
      </c>
    </row>
    <row r="33" spans="1:36" x14ac:dyDescent="0.2">
      <c r="A33" s="16" t="s">
        <v>181</v>
      </c>
      <c r="B33" s="17" t="s">
        <v>46</v>
      </c>
      <c r="C33" s="18">
        <v>3502909</v>
      </c>
      <c r="D33" s="18">
        <v>3501073</v>
      </c>
      <c r="E33" s="18">
        <v>3500231</v>
      </c>
      <c r="F33" s="18">
        <v>3502424</v>
      </c>
      <c r="G33" s="18">
        <v>3505612</v>
      </c>
      <c r="H33" s="18">
        <v>3503347</v>
      </c>
      <c r="I33" s="18">
        <v>3502951</v>
      </c>
      <c r="J33" s="18">
        <v>3503924</v>
      </c>
      <c r="K33" s="18">
        <v>3505999</v>
      </c>
      <c r="L33" s="18">
        <v>3507827</v>
      </c>
      <c r="M33" s="18">
        <v>3521163</v>
      </c>
      <c r="N33" s="18">
        <v>3532019</v>
      </c>
      <c r="O33" s="18">
        <v>3540827</v>
      </c>
      <c r="P33" s="18">
        <v>3558613</v>
      </c>
      <c r="Q33" s="18">
        <v>3583560</v>
      </c>
      <c r="R33" s="18">
        <v>3606072</v>
      </c>
      <c r="S33" s="18">
        <v>3639262</v>
      </c>
      <c r="T33" s="18">
        <v>3668279</v>
      </c>
      <c r="U33" s="18">
        <v>3695773</v>
      </c>
      <c r="V33" s="18">
        <v>3725144</v>
      </c>
      <c r="W33" s="18">
        <v>3760774</v>
      </c>
      <c r="X33" s="18">
        <v>3773853</v>
      </c>
      <c r="Y33" s="18">
        <v>3782558</v>
      </c>
      <c r="Z33" s="18">
        <v>3795812</v>
      </c>
      <c r="AA33" s="18">
        <v>3813394</v>
      </c>
      <c r="AB33" s="18">
        <v>3832610</v>
      </c>
      <c r="AC33" s="18">
        <v>3846869</v>
      </c>
      <c r="AD33" s="18">
        <v>3854253</v>
      </c>
      <c r="AE33" s="18">
        <v>3874737</v>
      </c>
      <c r="AF33" s="18">
        <v>3880588</v>
      </c>
      <c r="AG33" s="18">
        <v>3885246</v>
      </c>
      <c r="AH33" s="61">
        <v>3920703</v>
      </c>
      <c r="AI33" s="113">
        <v>3970949</v>
      </c>
      <c r="AJ33" s="61">
        <v>4010885</v>
      </c>
    </row>
    <row r="34" spans="1:36" ht="30" customHeight="1" x14ac:dyDescent="0.2">
      <c r="A34" s="17" t="s">
        <v>47</v>
      </c>
      <c r="B34" s="17" t="s">
        <v>22</v>
      </c>
      <c r="C34" s="18">
        <v>176611</v>
      </c>
      <c r="D34" s="18">
        <v>177816</v>
      </c>
      <c r="E34" s="18">
        <v>179243</v>
      </c>
      <c r="F34" s="18">
        <v>180031</v>
      </c>
      <c r="G34" s="18">
        <v>180609</v>
      </c>
      <c r="H34" s="18">
        <v>180059</v>
      </c>
      <c r="I34" s="18">
        <v>179695</v>
      </c>
      <c r="J34" s="18">
        <v>178847</v>
      </c>
      <c r="K34" s="18">
        <v>178456</v>
      </c>
      <c r="L34" s="18">
        <v>177668</v>
      </c>
      <c r="M34" s="18">
        <v>177220</v>
      </c>
      <c r="N34" s="18">
        <v>176513</v>
      </c>
      <c r="O34" s="18">
        <v>175649</v>
      </c>
      <c r="P34" s="18">
        <v>174970</v>
      </c>
      <c r="Q34" s="18">
        <v>176235</v>
      </c>
      <c r="R34" s="18">
        <v>177405</v>
      </c>
      <c r="S34" s="18">
        <v>180207</v>
      </c>
      <c r="T34" s="18">
        <v>181771</v>
      </c>
      <c r="U34" s="18">
        <v>184849</v>
      </c>
      <c r="V34" s="21">
        <v>187348</v>
      </c>
      <c r="W34" s="21">
        <v>190228</v>
      </c>
      <c r="X34" s="21">
        <v>191135</v>
      </c>
      <c r="Y34" s="21">
        <v>192004</v>
      </c>
      <c r="Z34" s="21">
        <v>192253</v>
      </c>
      <c r="AA34" s="21">
        <v>192475</v>
      </c>
      <c r="AB34" s="21">
        <v>190887</v>
      </c>
      <c r="AC34" s="21">
        <v>189337</v>
      </c>
      <c r="AD34" s="21">
        <v>187607</v>
      </c>
      <c r="AE34" s="21">
        <v>188354</v>
      </c>
      <c r="AF34" s="18">
        <v>188322</v>
      </c>
      <c r="AG34" s="18">
        <v>186151</v>
      </c>
      <c r="AH34" s="61">
        <v>188795</v>
      </c>
      <c r="AI34" s="61">
        <v>191956</v>
      </c>
      <c r="AJ34" s="138">
        <v>194067</v>
      </c>
    </row>
    <row r="35" spans="1:36" x14ac:dyDescent="0.2">
      <c r="A35" s="16" t="s">
        <v>47</v>
      </c>
      <c r="B35" s="17" t="s">
        <v>23</v>
      </c>
      <c r="C35" s="18">
        <v>166751</v>
      </c>
      <c r="D35" s="18">
        <v>170272</v>
      </c>
      <c r="E35" s="18">
        <v>172873</v>
      </c>
      <c r="F35" s="18">
        <v>174864</v>
      </c>
      <c r="G35" s="18">
        <v>175725</v>
      </c>
      <c r="H35" s="18">
        <v>177079</v>
      </c>
      <c r="I35" s="18">
        <v>176636</v>
      </c>
      <c r="J35" s="18">
        <v>177188</v>
      </c>
      <c r="K35" s="18">
        <v>178506</v>
      </c>
      <c r="L35" s="18">
        <v>178947</v>
      </c>
      <c r="M35" s="18">
        <v>179368</v>
      </c>
      <c r="N35" s="18">
        <v>181588</v>
      </c>
      <c r="O35" s="18">
        <v>184356</v>
      </c>
      <c r="P35" s="18">
        <v>187809</v>
      </c>
      <c r="Q35" s="18">
        <v>190714</v>
      </c>
      <c r="R35" s="18">
        <v>194157</v>
      </c>
      <c r="S35" s="18">
        <v>197318</v>
      </c>
      <c r="T35" s="18">
        <v>199679</v>
      </c>
      <c r="U35" s="18">
        <v>201740</v>
      </c>
      <c r="V35" s="21">
        <v>204194</v>
      </c>
      <c r="W35" s="21">
        <v>206147</v>
      </c>
      <c r="X35" s="21">
        <v>208143</v>
      </c>
      <c r="Y35" s="21">
        <v>210289</v>
      </c>
      <c r="Z35" s="21">
        <v>212957</v>
      </c>
      <c r="AA35" s="21">
        <v>214701</v>
      </c>
      <c r="AB35" s="21">
        <v>214852</v>
      </c>
      <c r="AC35" s="21">
        <v>214343</v>
      </c>
      <c r="AD35" s="21">
        <v>213527</v>
      </c>
      <c r="AE35" s="21">
        <v>213163</v>
      </c>
      <c r="AF35" s="18">
        <v>212810</v>
      </c>
      <c r="AG35" s="18">
        <v>214538</v>
      </c>
      <c r="AH35" s="61">
        <v>215266</v>
      </c>
      <c r="AI35" s="61">
        <v>216301</v>
      </c>
      <c r="AJ35" s="138">
        <v>217500</v>
      </c>
    </row>
    <row r="36" spans="1:36" x14ac:dyDescent="0.2">
      <c r="A36" s="16" t="s">
        <v>47</v>
      </c>
      <c r="B36" s="17" t="s">
        <v>29</v>
      </c>
      <c r="C36" s="18">
        <v>86886</v>
      </c>
      <c r="D36" s="18">
        <v>88105</v>
      </c>
      <c r="E36" s="18">
        <v>88829</v>
      </c>
      <c r="F36" s="18">
        <v>89351</v>
      </c>
      <c r="G36" s="18">
        <v>89471</v>
      </c>
      <c r="H36" s="18">
        <v>88729</v>
      </c>
      <c r="I36" s="18">
        <v>88430</v>
      </c>
      <c r="J36" s="18">
        <v>88447</v>
      </c>
      <c r="K36" s="18">
        <v>88363</v>
      </c>
      <c r="L36" s="18">
        <v>88095</v>
      </c>
      <c r="M36" s="18">
        <v>87993</v>
      </c>
      <c r="N36" s="18">
        <v>88433</v>
      </c>
      <c r="O36" s="18">
        <v>88402</v>
      </c>
      <c r="P36" s="18">
        <v>89701</v>
      </c>
      <c r="Q36" s="18">
        <v>90688</v>
      </c>
      <c r="R36" s="18">
        <v>91745</v>
      </c>
      <c r="S36" s="18">
        <v>92881</v>
      </c>
      <c r="T36" s="18">
        <v>93875</v>
      </c>
      <c r="U36" s="18">
        <v>94314</v>
      </c>
      <c r="V36" s="21">
        <v>95019</v>
      </c>
      <c r="W36" s="21">
        <v>95988</v>
      </c>
      <c r="X36" s="21">
        <v>96224</v>
      </c>
      <c r="Y36" s="21">
        <v>96527</v>
      </c>
      <c r="Z36" s="21">
        <v>97031</v>
      </c>
      <c r="AA36" s="21">
        <v>97383</v>
      </c>
      <c r="AB36" s="21">
        <v>97196</v>
      </c>
      <c r="AC36" s="21">
        <v>96967</v>
      </c>
      <c r="AD36" s="21">
        <v>96600</v>
      </c>
      <c r="AE36" s="21">
        <v>96601</v>
      </c>
      <c r="AF36" s="18">
        <v>96285</v>
      </c>
      <c r="AG36" s="18">
        <v>96536</v>
      </c>
      <c r="AH36" s="61">
        <v>96409</v>
      </c>
      <c r="AI36" s="61">
        <v>96772</v>
      </c>
      <c r="AJ36" s="138">
        <v>96901</v>
      </c>
    </row>
    <row r="37" spans="1:36" x14ac:dyDescent="0.2">
      <c r="A37" s="16" t="s">
        <v>47</v>
      </c>
      <c r="B37" s="17" t="s">
        <v>24</v>
      </c>
      <c r="C37" s="18">
        <v>74739</v>
      </c>
      <c r="D37" s="18">
        <v>73457</v>
      </c>
      <c r="E37" s="18">
        <v>73072</v>
      </c>
      <c r="F37" s="18">
        <v>73796</v>
      </c>
      <c r="G37" s="18">
        <v>73961</v>
      </c>
      <c r="H37" s="18">
        <v>74015</v>
      </c>
      <c r="I37" s="18">
        <v>74174</v>
      </c>
      <c r="J37" s="18">
        <v>74163</v>
      </c>
      <c r="K37" s="18">
        <v>74286</v>
      </c>
      <c r="L37" s="18">
        <v>73936</v>
      </c>
      <c r="M37" s="18">
        <v>74248</v>
      </c>
      <c r="N37" s="18">
        <v>74328</v>
      </c>
      <c r="O37" s="18">
        <v>74525</v>
      </c>
      <c r="P37" s="18">
        <v>74431</v>
      </c>
      <c r="Q37" s="18">
        <v>74471</v>
      </c>
      <c r="R37" s="18">
        <v>75330</v>
      </c>
      <c r="S37" s="18">
        <v>75431</v>
      </c>
      <c r="T37" s="18">
        <v>74899</v>
      </c>
      <c r="U37" s="18">
        <v>74692</v>
      </c>
      <c r="V37" s="21">
        <v>74105</v>
      </c>
      <c r="W37" s="21">
        <v>74570</v>
      </c>
      <c r="X37" s="21">
        <v>73225</v>
      </c>
      <c r="Y37" s="21">
        <v>74890</v>
      </c>
      <c r="Z37" s="21">
        <v>75106</v>
      </c>
      <c r="AA37" s="21">
        <v>74804</v>
      </c>
      <c r="AB37" s="21">
        <v>75206</v>
      </c>
      <c r="AC37" s="21">
        <v>75101</v>
      </c>
      <c r="AD37" s="21">
        <v>74645</v>
      </c>
      <c r="AE37" s="21">
        <v>74404</v>
      </c>
      <c r="AF37" s="18">
        <v>74382</v>
      </c>
      <c r="AG37" s="18">
        <v>75327</v>
      </c>
      <c r="AH37" s="61">
        <v>75411</v>
      </c>
      <c r="AI37" s="61">
        <v>75572</v>
      </c>
      <c r="AJ37" s="138">
        <v>75511</v>
      </c>
    </row>
    <row r="38" spans="1:36" x14ac:dyDescent="0.2">
      <c r="A38" s="16" t="s">
        <v>47</v>
      </c>
      <c r="B38" s="17" t="s">
        <v>25</v>
      </c>
      <c r="C38" s="18">
        <v>363082</v>
      </c>
      <c r="D38" s="18">
        <v>362381</v>
      </c>
      <c r="E38" s="18">
        <v>362585</v>
      </c>
      <c r="F38" s="18">
        <v>363317</v>
      </c>
      <c r="G38" s="18">
        <v>366562</v>
      </c>
      <c r="H38" s="18">
        <v>367915</v>
      </c>
      <c r="I38" s="18">
        <v>369165</v>
      </c>
      <c r="J38" s="18">
        <v>370570</v>
      </c>
      <c r="K38" s="18">
        <v>371990</v>
      </c>
      <c r="L38" s="18">
        <v>373697</v>
      </c>
      <c r="M38" s="18">
        <v>375791</v>
      </c>
      <c r="N38" s="18">
        <v>375120</v>
      </c>
      <c r="O38" s="18">
        <v>373922</v>
      </c>
      <c r="P38" s="18">
        <v>375443</v>
      </c>
      <c r="Q38" s="18">
        <v>379812</v>
      </c>
      <c r="R38" s="18">
        <v>382618</v>
      </c>
      <c r="S38" s="18">
        <v>386811</v>
      </c>
      <c r="T38" s="18">
        <v>389236</v>
      </c>
      <c r="U38" s="18">
        <v>392991</v>
      </c>
      <c r="V38" s="21">
        <v>398671</v>
      </c>
      <c r="W38" s="21">
        <v>405441</v>
      </c>
      <c r="X38" s="21">
        <v>407048</v>
      </c>
      <c r="Y38" s="21">
        <v>408084</v>
      </c>
      <c r="Z38" s="21">
        <v>409428</v>
      </c>
      <c r="AA38" s="21">
        <v>413732</v>
      </c>
      <c r="AB38" s="21">
        <v>418483</v>
      </c>
      <c r="AC38" s="21">
        <v>422715</v>
      </c>
      <c r="AD38" s="21">
        <v>426679</v>
      </c>
      <c r="AE38" s="21">
        <v>431767</v>
      </c>
      <c r="AF38" s="18">
        <v>434193</v>
      </c>
      <c r="AG38" s="18">
        <v>430811</v>
      </c>
      <c r="AH38" s="61">
        <v>439233</v>
      </c>
      <c r="AI38" s="61">
        <v>447800</v>
      </c>
      <c r="AJ38" s="138">
        <v>454400</v>
      </c>
    </row>
    <row r="39" spans="1:36" x14ac:dyDescent="0.2">
      <c r="A39" s="16" t="s">
        <v>47</v>
      </c>
      <c r="B39" s="17" t="s">
        <v>2</v>
      </c>
      <c r="C39" s="18">
        <v>37788</v>
      </c>
      <c r="D39" s="18">
        <v>37840</v>
      </c>
      <c r="E39" s="18">
        <v>37898</v>
      </c>
      <c r="F39" s="18">
        <v>38068</v>
      </c>
      <c r="G39" s="18">
        <v>38050</v>
      </c>
      <c r="H39" s="18">
        <v>38118</v>
      </c>
      <c r="I39" s="18">
        <v>38194</v>
      </c>
      <c r="J39" s="18">
        <v>38110</v>
      </c>
      <c r="K39" s="18">
        <v>38017</v>
      </c>
      <c r="L39" s="18">
        <v>38030</v>
      </c>
      <c r="M39" s="18">
        <v>38097</v>
      </c>
      <c r="N39" s="18">
        <v>38315</v>
      </c>
      <c r="O39" s="18">
        <v>38559</v>
      </c>
      <c r="P39" s="18">
        <v>39202</v>
      </c>
      <c r="Q39" s="18">
        <v>39653</v>
      </c>
      <c r="R39" s="18">
        <v>40158</v>
      </c>
      <c r="S39" s="18">
        <v>41056</v>
      </c>
      <c r="T39" s="18">
        <v>41533</v>
      </c>
      <c r="U39" s="18">
        <v>41728</v>
      </c>
      <c r="V39" s="21">
        <v>41871</v>
      </c>
      <c r="W39" s="21">
        <v>42198</v>
      </c>
      <c r="X39" s="21">
        <v>42174</v>
      </c>
      <c r="Y39" s="21">
        <v>42255</v>
      </c>
      <c r="Z39" s="21">
        <v>42339</v>
      </c>
      <c r="AA39" s="21">
        <v>42585</v>
      </c>
      <c r="AB39" s="21">
        <v>42573</v>
      </c>
      <c r="AC39" s="21">
        <v>42691</v>
      </c>
      <c r="AD39" s="21">
        <v>42638</v>
      </c>
      <c r="AE39" s="21">
        <v>42769</v>
      </c>
      <c r="AF39" s="18">
        <v>42564</v>
      </c>
      <c r="AG39" s="18">
        <v>42817</v>
      </c>
      <c r="AH39" s="61">
        <v>43053</v>
      </c>
      <c r="AI39" s="61">
        <v>43279</v>
      </c>
      <c r="AJ39" s="138">
        <v>43499</v>
      </c>
    </row>
    <row r="40" spans="1:36" x14ac:dyDescent="0.2">
      <c r="A40" s="16" t="s">
        <v>47</v>
      </c>
      <c r="B40" s="17" t="s">
        <v>3</v>
      </c>
      <c r="C40" s="18">
        <v>118391</v>
      </c>
      <c r="D40" s="18">
        <v>118854</v>
      </c>
      <c r="E40" s="18">
        <v>118837</v>
      </c>
      <c r="F40" s="18">
        <v>118930</v>
      </c>
      <c r="G40" s="18">
        <v>119320</v>
      </c>
      <c r="H40" s="18">
        <v>119469</v>
      </c>
      <c r="I40" s="18">
        <v>119586</v>
      </c>
      <c r="J40" s="18">
        <v>119818</v>
      </c>
      <c r="K40" s="18">
        <v>119563</v>
      </c>
      <c r="L40" s="18">
        <v>119308</v>
      </c>
      <c r="M40" s="18">
        <v>120030</v>
      </c>
      <c r="N40" s="18">
        <v>120424</v>
      </c>
      <c r="O40" s="18">
        <v>121086</v>
      </c>
      <c r="P40" s="18">
        <v>122302</v>
      </c>
      <c r="Q40" s="18">
        <v>123279</v>
      </c>
      <c r="R40" s="18">
        <v>123664</v>
      </c>
      <c r="S40" s="18">
        <v>124396</v>
      </c>
      <c r="T40" s="18">
        <v>125171</v>
      </c>
      <c r="U40" s="18">
        <v>125496</v>
      </c>
      <c r="V40" s="21">
        <v>125796</v>
      </c>
      <c r="W40" s="21">
        <v>126333</v>
      </c>
      <c r="X40" s="21">
        <v>126241</v>
      </c>
      <c r="Y40" s="21">
        <v>126037</v>
      </c>
      <c r="Z40" s="21">
        <v>125995</v>
      </c>
      <c r="AA40" s="21">
        <v>125694</v>
      </c>
      <c r="AB40" s="21">
        <v>125387</v>
      </c>
      <c r="AC40" s="21">
        <v>124974</v>
      </c>
      <c r="AD40" s="21">
        <v>124225</v>
      </c>
      <c r="AE40" s="21">
        <v>124126</v>
      </c>
      <c r="AF40" s="18">
        <v>123460</v>
      </c>
      <c r="AG40" s="18">
        <v>123771</v>
      </c>
      <c r="AH40" s="61">
        <v>123674</v>
      </c>
      <c r="AI40" s="61">
        <v>123994</v>
      </c>
      <c r="AJ40" s="138">
        <v>124243</v>
      </c>
    </row>
    <row r="41" spans="1:36" x14ac:dyDescent="0.2">
      <c r="A41" s="16" t="s">
        <v>47</v>
      </c>
      <c r="B41" s="17" t="s">
        <v>30</v>
      </c>
      <c r="C41" s="18">
        <v>125989</v>
      </c>
      <c r="D41" s="18">
        <v>125235</v>
      </c>
      <c r="E41" s="18">
        <v>124109</v>
      </c>
      <c r="F41" s="18">
        <v>122429</v>
      </c>
      <c r="G41" s="18">
        <v>122853</v>
      </c>
      <c r="H41" s="18">
        <v>123045</v>
      </c>
      <c r="I41" s="18">
        <v>122843</v>
      </c>
      <c r="J41" s="18">
        <v>121853</v>
      </c>
      <c r="K41" s="18">
        <v>120791</v>
      </c>
      <c r="L41" s="18">
        <v>120078</v>
      </c>
      <c r="M41" s="18">
        <v>119773</v>
      </c>
      <c r="N41" s="18">
        <v>119032</v>
      </c>
      <c r="O41" s="18">
        <v>119233</v>
      </c>
      <c r="P41" s="18">
        <v>118682</v>
      </c>
      <c r="Q41" s="18">
        <v>119278</v>
      </c>
      <c r="R41" s="18">
        <v>119381</v>
      </c>
      <c r="S41" s="18">
        <v>119944</v>
      </c>
      <c r="T41" s="18">
        <v>120435</v>
      </c>
      <c r="U41" s="18">
        <v>121268</v>
      </c>
      <c r="V41" s="21">
        <v>122131</v>
      </c>
      <c r="W41" s="21">
        <v>123489</v>
      </c>
      <c r="X41" s="21">
        <v>123803</v>
      </c>
      <c r="Y41" s="21">
        <v>123585</v>
      </c>
      <c r="Z41" s="21">
        <v>123196</v>
      </c>
      <c r="AA41" s="21">
        <v>122883</v>
      </c>
      <c r="AB41" s="21">
        <v>122638</v>
      </c>
      <c r="AC41" s="21">
        <v>123067</v>
      </c>
      <c r="AD41" s="21">
        <v>123207</v>
      </c>
      <c r="AE41" s="21">
        <v>124168</v>
      </c>
      <c r="AF41" s="18">
        <v>124312</v>
      </c>
      <c r="AG41" s="18">
        <v>123269</v>
      </c>
      <c r="AH41" s="61">
        <v>124933</v>
      </c>
      <c r="AI41" s="61">
        <v>125892</v>
      </c>
      <c r="AJ41" s="138">
        <v>125683</v>
      </c>
    </row>
    <row r="42" spans="1:36" x14ac:dyDescent="0.2">
      <c r="A42" s="16" t="s">
        <v>47</v>
      </c>
      <c r="B42" s="17" t="s">
        <v>4</v>
      </c>
      <c r="C42" s="18">
        <v>98238</v>
      </c>
      <c r="D42" s="18">
        <v>98037</v>
      </c>
      <c r="E42" s="18">
        <v>97691</v>
      </c>
      <c r="F42" s="18">
        <v>97324</v>
      </c>
      <c r="G42" s="18">
        <v>97058</v>
      </c>
      <c r="H42" s="18">
        <v>96599</v>
      </c>
      <c r="I42" s="18">
        <v>96318</v>
      </c>
      <c r="J42" s="18">
        <v>96151</v>
      </c>
      <c r="K42" s="18">
        <v>96040</v>
      </c>
      <c r="L42" s="18">
        <v>95968</v>
      </c>
      <c r="M42" s="18">
        <v>96403</v>
      </c>
      <c r="N42" s="18">
        <v>96480</v>
      </c>
      <c r="O42" s="18">
        <v>96815</v>
      </c>
      <c r="P42" s="18">
        <v>97310</v>
      </c>
      <c r="Q42" s="18">
        <v>97701</v>
      </c>
      <c r="R42" s="18">
        <v>98161</v>
      </c>
      <c r="S42" s="18">
        <v>98881</v>
      </c>
      <c r="T42" s="18">
        <v>99620</v>
      </c>
      <c r="U42" s="18">
        <v>100249</v>
      </c>
      <c r="V42" s="21">
        <v>100736</v>
      </c>
      <c r="W42" s="21">
        <v>101135</v>
      </c>
      <c r="X42" s="21">
        <v>101147</v>
      </c>
      <c r="Y42" s="21">
        <v>101024</v>
      </c>
      <c r="Z42" s="21">
        <v>100891</v>
      </c>
      <c r="AA42" s="21">
        <v>100637</v>
      </c>
      <c r="AB42" s="21">
        <v>100564</v>
      </c>
      <c r="AC42" s="21">
        <v>100243</v>
      </c>
      <c r="AD42" s="21">
        <v>99937</v>
      </c>
      <c r="AE42" s="21">
        <v>100087</v>
      </c>
      <c r="AF42" s="18">
        <v>99709</v>
      </c>
      <c r="AG42" s="18">
        <v>99986</v>
      </c>
      <c r="AH42" s="61">
        <v>100029</v>
      </c>
      <c r="AI42" s="61">
        <v>100584</v>
      </c>
      <c r="AJ42" s="138">
        <v>101196</v>
      </c>
    </row>
    <row r="43" spans="1:36" x14ac:dyDescent="0.2">
      <c r="A43" s="16" t="s">
        <v>47</v>
      </c>
      <c r="B43" s="17" t="s">
        <v>32</v>
      </c>
      <c r="C43" s="18">
        <v>86501</v>
      </c>
      <c r="D43" s="18">
        <v>86261</v>
      </c>
      <c r="E43" s="18">
        <v>86077</v>
      </c>
      <c r="F43" s="18">
        <v>86352</v>
      </c>
      <c r="G43" s="18">
        <v>86747</v>
      </c>
      <c r="H43" s="18">
        <v>86371</v>
      </c>
      <c r="I43" s="18">
        <v>86496</v>
      </c>
      <c r="J43" s="18">
        <v>86363</v>
      </c>
      <c r="K43" s="18">
        <v>86211</v>
      </c>
      <c r="L43" s="18">
        <v>86449</v>
      </c>
      <c r="M43" s="18">
        <v>86284</v>
      </c>
      <c r="N43" s="18">
        <v>85883</v>
      </c>
      <c r="O43" s="18">
        <v>85908</v>
      </c>
      <c r="P43" s="18">
        <v>85805</v>
      </c>
      <c r="Q43" s="18">
        <v>85694</v>
      </c>
      <c r="R43" s="18">
        <v>85550</v>
      </c>
      <c r="S43" s="18">
        <v>85438</v>
      </c>
      <c r="T43" s="18">
        <v>85653</v>
      </c>
      <c r="U43" s="18">
        <v>85941</v>
      </c>
      <c r="V43" s="21">
        <v>86187</v>
      </c>
      <c r="W43" s="21">
        <v>86380</v>
      </c>
      <c r="X43" s="21">
        <v>87535</v>
      </c>
      <c r="Y43" s="21">
        <v>87802</v>
      </c>
      <c r="Z43" s="21">
        <v>88771</v>
      </c>
      <c r="AA43" s="21">
        <v>89056</v>
      </c>
      <c r="AB43" s="21">
        <v>89322</v>
      </c>
      <c r="AC43" s="21">
        <v>89737</v>
      </c>
      <c r="AD43" s="21">
        <v>89686</v>
      </c>
      <c r="AE43" s="21">
        <v>89875</v>
      </c>
      <c r="AF43" s="18">
        <v>89775</v>
      </c>
      <c r="AG43" s="18">
        <v>89799</v>
      </c>
      <c r="AH43" s="61">
        <v>89771</v>
      </c>
      <c r="AI43" s="61">
        <v>90059</v>
      </c>
      <c r="AJ43" s="138">
        <v>90453</v>
      </c>
    </row>
    <row r="44" spans="1:36" x14ac:dyDescent="0.2">
      <c r="A44" s="16" t="s">
        <v>47</v>
      </c>
      <c r="B44" s="17" t="s">
        <v>5</v>
      </c>
      <c r="C44" s="18">
        <v>68024</v>
      </c>
      <c r="D44" s="18">
        <v>67992</v>
      </c>
      <c r="E44" s="18">
        <v>68183</v>
      </c>
      <c r="F44" s="18">
        <v>68758</v>
      </c>
      <c r="G44" s="18">
        <v>69131</v>
      </c>
      <c r="H44" s="18">
        <v>69251</v>
      </c>
      <c r="I44" s="18">
        <v>69704</v>
      </c>
      <c r="J44" s="18">
        <v>70100</v>
      </c>
      <c r="K44" s="18">
        <v>70581</v>
      </c>
      <c r="L44" s="18">
        <v>71159</v>
      </c>
      <c r="M44" s="18">
        <v>71415</v>
      </c>
      <c r="N44" s="18">
        <v>72354</v>
      </c>
      <c r="O44" s="18">
        <v>73185</v>
      </c>
      <c r="P44" s="18">
        <v>73758</v>
      </c>
      <c r="Q44" s="18">
        <v>74338</v>
      </c>
      <c r="R44" s="18">
        <v>75349</v>
      </c>
      <c r="S44" s="18">
        <v>76952</v>
      </c>
      <c r="T44" s="18">
        <v>78859</v>
      </c>
      <c r="U44" s="18">
        <v>79718</v>
      </c>
      <c r="V44" s="21">
        <v>80589</v>
      </c>
      <c r="W44" s="21">
        <v>81244</v>
      </c>
      <c r="X44" s="21">
        <v>82277</v>
      </c>
      <c r="Y44" s="21">
        <v>83101</v>
      </c>
      <c r="Z44" s="21">
        <v>83988</v>
      </c>
      <c r="AA44" s="21">
        <v>85032</v>
      </c>
      <c r="AB44" s="21">
        <v>85994</v>
      </c>
      <c r="AC44" s="21">
        <v>86773</v>
      </c>
      <c r="AD44" s="21">
        <v>87451</v>
      </c>
      <c r="AE44" s="21">
        <v>88513</v>
      </c>
      <c r="AF44" s="18">
        <v>89532</v>
      </c>
      <c r="AG44" s="18">
        <v>91246</v>
      </c>
      <c r="AH44" s="61">
        <v>92299</v>
      </c>
      <c r="AI44" s="61">
        <v>93571</v>
      </c>
      <c r="AJ44" s="138">
        <v>94955</v>
      </c>
    </row>
    <row r="45" spans="1:36" x14ac:dyDescent="0.2">
      <c r="A45" s="16" t="s">
        <v>47</v>
      </c>
      <c r="B45" s="17" t="s">
        <v>6</v>
      </c>
      <c r="C45" s="18">
        <v>67263</v>
      </c>
      <c r="D45" s="18">
        <v>67496</v>
      </c>
      <c r="E45" s="18">
        <v>67810</v>
      </c>
      <c r="F45" s="18">
        <v>67948</v>
      </c>
      <c r="G45" s="18">
        <v>68658</v>
      </c>
      <c r="H45" s="18">
        <v>68564</v>
      </c>
      <c r="I45" s="18">
        <v>68954</v>
      </c>
      <c r="J45" s="18">
        <v>69185</v>
      </c>
      <c r="K45" s="18">
        <v>69363</v>
      </c>
      <c r="L45" s="18">
        <v>69916</v>
      </c>
      <c r="M45" s="18">
        <v>70244</v>
      </c>
      <c r="N45" s="18">
        <v>70869</v>
      </c>
      <c r="O45" s="18">
        <v>71100</v>
      </c>
      <c r="P45" s="18">
        <v>71127</v>
      </c>
      <c r="Q45" s="18">
        <v>71369</v>
      </c>
      <c r="R45" s="18">
        <v>71426</v>
      </c>
      <c r="S45" s="18">
        <v>71673</v>
      </c>
      <c r="T45" s="18">
        <v>71843</v>
      </c>
      <c r="U45" s="18">
        <v>72076</v>
      </c>
      <c r="V45" s="21">
        <v>72589</v>
      </c>
      <c r="W45" s="21">
        <v>72885</v>
      </c>
      <c r="X45" s="21">
        <v>73334</v>
      </c>
      <c r="Y45" s="21">
        <v>73885</v>
      </c>
      <c r="Z45" s="21">
        <v>74635</v>
      </c>
      <c r="AA45" s="21">
        <v>75092</v>
      </c>
      <c r="AB45" s="21">
        <v>75611</v>
      </c>
      <c r="AC45" s="21">
        <v>76191</v>
      </c>
      <c r="AD45" s="21">
        <v>76217</v>
      </c>
      <c r="AE45" s="21">
        <v>76402</v>
      </c>
      <c r="AF45" s="18">
        <v>76653</v>
      </c>
      <c r="AG45" s="18">
        <v>76990</v>
      </c>
      <c r="AH45" s="61">
        <v>77731</v>
      </c>
      <c r="AI45" s="61">
        <v>78963</v>
      </c>
      <c r="AJ45" s="138">
        <v>79848</v>
      </c>
    </row>
    <row r="46" spans="1:36" x14ac:dyDescent="0.2">
      <c r="A46" s="16" t="s">
        <v>47</v>
      </c>
      <c r="B46" s="17" t="s">
        <v>8</v>
      </c>
      <c r="C46" s="18">
        <v>114165</v>
      </c>
      <c r="D46" s="18">
        <v>114001</v>
      </c>
      <c r="E46" s="18">
        <v>113687</v>
      </c>
      <c r="F46" s="18">
        <v>113651</v>
      </c>
      <c r="G46" s="18">
        <v>113977</v>
      </c>
      <c r="H46" s="18">
        <v>114460</v>
      </c>
      <c r="I46" s="18">
        <v>114836</v>
      </c>
      <c r="J46" s="18">
        <v>115387</v>
      </c>
      <c r="K46" s="18">
        <v>116001</v>
      </c>
      <c r="L46" s="18">
        <v>116101</v>
      </c>
      <c r="M46" s="18">
        <v>116962</v>
      </c>
      <c r="N46" s="18">
        <v>117946</v>
      </c>
      <c r="O46" s="18">
        <v>118812</v>
      </c>
      <c r="P46" s="18">
        <v>120337</v>
      </c>
      <c r="Q46" s="18">
        <v>121990</v>
      </c>
      <c r="R46" s="18">
        <v>122977</v>
      </c>
      <c r="S46" s="18">
        <v>124240</v>
      </c>
      <c r="T46" s="18">
        <v>125066</v>
      </c>
      <c r="U46" s="18">
        <v>125964</v>
      </c>
      <c r="V46" s="21">
        <v>126678</v>
      </c>
      <c r="W46" s="21">
        <v>127852</v>
      </c>
      <c r="X46" s="21">
        <v>128303</v>
      </c>
      <c r="Y46" s="21">
        <v>128791</v>
      </c>
      <c r="Z46" s="21">
        <v>129304</v>
      </c>
      <c r="AA46" s="21">
        <v>129940</v>
      </c>
      <c r="AB46" s="21">
        <v>130693</v>
      </c>
      <c r="AC46" s="21">
        <v>131365</v>
      </c>
      <c r="AD46" s="21">
        <v>131327</v>
      </c>
      <c r="AE46" s="21">
        <v>131810</v>
      </c>
      <c r="AF46" s="18">
        <v>131460</v>
      </c>
      <c r="AG46" s="18">
        <v>131547</v>
      </c>
      <c r="AH46" s="61">
        <v>131491</v>
      </c>
      <c r="AI46" s="61">
        <v>132196</v>
      </c>
      <c r="AJ46" s="138">
        <v>133315</v>
      </c>
    </row>
    <row r="47" spans="1:36" x14ac:dyDescent="0.2">
      <c r="A47" s="16" t="s">
        <v>47</v>
      </c>
      <c r="B47" s="17" t="s">
        <v>9</v>
      </c>
      <c r="C47" s="18">
        <v>276012</v>
      </c>
      <c r="D47" s="18">
        <v>276510</v>
      </c>
      <c r="E47" s="18">
        <v>277428</v>
      </c>
      <c r="F47" s="18">
        <v>277800</v>
      </c>
      <c r="G47" s="18">
        <v>277729</v>
      </c>
      <c r="H47" s="18">
        <v>276454</v>
      </c>
      <c r="I47" s="18">
        <v>276333</v>
      </c>
      <c r="J47" s="18">
        <v>276952</v>
      </c>
      <c r="K47" s="18">
        <v>277676</v>
      </c>
      <c r="L47" s="18">
        <v>279295</v>
      </c>
      <c r="M47" s="18">
        <v>281232</v>
      </c>
      <c r="N47" s="18">
        <v>283453</v>
      </c>
      <c r="O47" s="18">
        <v>285123</v>
      </c>
      <c r="P47" s="18">
        <v>287478</v>
      </c>
      <c r="Q47" s="18">
        <v>290267</v>
      </c>
      <c r="R47" s="18">
        <v>292473</v>
      </c>
      <c r="S47" s="18">
        <v>294119</v>
      </c>
      <c r="T47" s="18">
        <v>295526</v>
      </c>
      <c r="U47" s="18">
        <v>296813</v>
      </c>
      <c r="V47" s="21">
        <v>298058</v>
      </c>
      <c r="W47" s="21">
        <v>300815</v>
      </c>
      <c r="X47" s="21">
        <v>301931</v>
      </c>
      <c r="Y47" s="21">
        <v>302668</v>
      </c>
      <c r="Z47" s="21">
        <v>302881</v>
      </c>
      <c r="AA47" s="21">
        <v>303578</v>
      </c>
      <c r="AB47" s="21">
        <v>305355</v>
      </c>
      <c r="AC47" s="21">
        <v>305991</v>
      </c>
      <c r="AD47" s="21">
        <v>306221</v>
      </c>
      <c r="AE47" s="21">
        <v>307378</v>
      </c>
      <c r="AF47" s="18">
        <v>307922</v>
      </c>
      <c r="AG47" s="18">
        <v>308425</v>
      </c>
      <c r="AH47" s="61">
        <v>309767</v>
      </c>
      <c r="AI47" s="61">
        <v>312168</v>
      </c>
      <c r="AJ47" s="138">
        <v>313927</v>
      </c>
    </row>
    <row r="48" spans="1:36" x14ac:dyDescent="0.2">
      <c r="A48" s="16" t="s">
        <v>47</v>
      </c>
      <c r="B48" s="17" t="s">
        <v>33</v>
      </c>
      <c r="C48" s="18">
        <v>509365</v>
      </c>
      <c r="D48" s="18">
        <v>502344</v>
      </c>
      <c r="E48" s="18">
        <v>496644</v>
      </c>
      <c r="F48" s="18">
        <v>492215</v>
      </c>
      <c r="G48" s="18">
        <v>485626</v>
      </c>
      <c r="H48" s="18">
        <v>481940</v>
      </c>
      <c r="I48" s="18">
        <v>475855</v>
      </c>
      <c r="J48" s="18">
        <v>473384</v>
      </c>
      <c r="K48" s="18">
        <v>471267</v>
      </c>
      <c r="L48" s="18">
        <v>467892</v>
      </c>
      <c r="M48" s="18">
        <v>472368</v>
      </c>
      <c r="N48" s="18">
        <v>471708</v>
      </c>
      <c r="O48" s="18">
        <v>469149</v>
      </c>
      <c r="P48" s="18">
        <v>467980</v>
      </c>
      <c r="Q48" s="18">
        <v>469527</v>
      </c>
      <c r="R48" s="18">
        <v>470256</v>
      </c>
      <c r="S48" s="18">
        <v>474111</v>
      </c>
      <c r="T48" s="18">
        <v>479098</v>
      </c>
      <c r="U48" s="18">
        <v>485058</v>
      </c>
      <c r="V48" s="21">
        <v>490220</v>
      </c>
      <c r="W48" s="21">
        <v>497236</v>
      </c>
      <c r="X48" s="21">
        <v>496840</v>
      </c>
      <c r="Y48" s="21">
        <v>495390</v>
      </c>
      <c r="Z48" s="21">
        <v>495078</v>
      </c>
      <c r="AA48" s="21">
        <v>497401</v>
      </c>
      <c r="AB48" s="21">
        <v>502082</v>
      </c>
      <c r="AC48" s="21">
        <v>505128</v>
      </c>
      <c r="AD48" s="21">
        <v>509066</v>
      </c>
      <c r="AE48" s="21">
        <v>514041</v>
      </c>
      <c r="AF48" s="18">
        <v>515802</v>
      </c>
      <c r="AG48" s="18">
        <v>515001</v>
      </c>
      <c r="AH48" s="61">
        <v>525910</v>
      </c>
      <c r="AI48" s="61">
        <v>540903</v>
      </c>
      <c r="AJ48" s="138">
        <v>551455</v>
      </c>
    </row>
    <row r="49" spans="1:36" x14ac:dyDescent="0.2">
      <c r="A49" s="16" t="s">
        <v>47</v>
      </c>
      <c r="B49" s="17" t="s">
        <v>10</v>
      </c>
      <c r="C49" s="18">
        <v>160085</v>
      </c>
      <c r="D49" s="18">
        <v>161814</v>
      </c>
      <c r="E49" s="18">
        <v>162889</v>
      </c>
      <c r="F49" s="18">
        <v>163469</v>
      </c>
      <c r="G49" s="18">
        <v>164665</v>
      </c>
      <c r="H49" s="18">
        <v>165328</v>
      </c>
      <c r="I49" s="18">
        <v>166048</v>
      </c>
      <c r="J49" s="18">
        <v>166583</v>
      </c>
      <c r="K49" s="18">
        <v>167093</v>
      </c>
      <c r="L49" s="18">
        <v>167590</v>
      </c>
      <c r="M49" s="18">
        <v>168031</v>
      </c>
      <c r="N49" s="18">
        <v>169349</v>
      </c>
      <c r="O49" s="18">
        <v>171539</v>
      </c>
      <c r="P49" s="18">
        <v>174298</v>
      </c>
      <c r="Q49" s="18">
        <v>177573</v>
      </c>
      <c r="R49" s="18">
        <v>180170</v>
      </c>
      <c r="S49" s="18">
        <v>183224</v>
      </c>
      <c r="T49" s="18">
        <v>185886</v>
      </c>
      <c r="U49" s="18">
        <v>187433</v>
      </c>
      <c r="V49" s="21">
        <v>189444</v>
      </c>
      <c r="W49" s="21">
        <v>191396</v>
      </c>
      <c r="X49" s="21">
        <v>192295</v>
      </c>
      <c r="Y49" s="21">
        <v>192920</v>
      </c>
      <c r="Z49" s="21">
        <v>193563</v>
      </c>
      <c r="AA49" s="21">
        <v>194682</v>
      </c>
      <c r="AB49" s="21">
        <v>195284</v>
      </c>
      <c r="AC49" s="21">
        <v>195972</v>
      </c>
      <c r="AD49" s="21">
        <v>195936</v>
      </c>
      <c r="AE49" s="21">
        <v>196064</v>
      </c>
      <c r="AF49" s="18">
        <v>195924</v>
      </c>
      <c r="AG49" s="18">
        <v>198249</v>
      </c>
      <c r="AH49" s="61">
        <v>198467</v>
      </c>
      <c r="AI49" s="61">
        <v>199503</v>
      </c>
      <c r="AJ49" s="138">
        <v>200550</v>
      </c>
    </row>
    <row r="50" spans="1:36" x14ac:dyDescent="0.2">
      <c r="A50" s="16" t="s">
        <v>47</v>
      </c>
      <c r="B50" s="17" t="s">
        <v>11</v>
      </c>
      <c r="C50" s="18">
        <v>72433</v>
      </c>
      <c r="D50" s="18">
        <v>72014</v>
      </c>
      <c r="E50" s="18">
        <v>71199</v>
      </c>
      <c r="F50" s="18">
        <v>70695</v>
      </c>
      <c r="G50" s="18">
        <v>70199</v>
      </c>
      <c r="H50" s="18">
        <v>69130</v>
      </c>
      <c r="I50" s="18">
        <v>68850</v>
      </c>
      <c r="J50" s="18">
        <v>68537</v>
      </c>
      <c r="K50" s="18">
        <v>68217</v>
      </c>
      <c r="L50" s="18">
        <v>67892</v>
      </c>
      <c r="M50" s="18">
        <v>67844</v>
      </c>
      <c r="N50" s="18">
        <v>67812</v>
      </c>
      <c r="O50" s="18">
        <v>67702</v>
      </c>
      <c r="P50" s="18">
        <v>67427</v>
      </c>
      <c r="Q50" s="18">
        <v>67537</v>
      </c>
      <c r="R50" s="18">
        <v>67495</v>
      </c>
      <c r="S50" s="18">
        <v>67573</v>
      </c>
      <c r="T50" s="18">
        <v>67729</v>
      </c>
      <c r="U50" s="18">
        <v>67617</v>
      </c>
      <c r="V50" s="21">
        <v>67641</v>
      </c>
      <c r="W50" s="21">
        <v>67546</v>
      </c>
      <c r="X50" s="21">
        <v>67590</v>
      </c>
      <c r="Y50" s="21">
        <v>67652</v>
      </c>
      <c r="Z50" s="21">
        <v>67458</v>
      </c>
      <c r="AA50" s="21">
        <v>67460</v>
      </c>
      <c r="AB50" s="21">
        <v>67380</v>
      </c>
      <c r="AC50" s="21">
        <v>67256</v>
      </c>
      <c r="AD50" s="21">
        <v>66896</v>
      </c>
      <c r="AE50" s="21">
        <v>66715</v>
      </c>
      <c r="AF50" s="18">
        <v>66342</v>
      </c>
      <c r="AG50" s="18">
        <v>66356</v>
      </c>
      <c r="AH50" s="61">
        <v>66354</v>
      </c>
      <c r="AI50" s="61">
        <v>66630</v>
      </c>
      <c r="AJ50" s="138">
        <v>66725</v>
      </c>
    </row>
    <row r="51" spans="1:36" x14ac:dyDescent="0.2">
      <c r="A51" s="16" t="s">
        <v>47</v>
      </c>
      <c r="B51" s="17" t="s">
        <v>12</v>
      </c>
      <c r="C51" s="18">
        <v>62661</v>
      </c>
      <c r="D51" s="18">
        <v>62400</v>
      </c>
      <c r="E51" s="18">
        <v>62485</v>
      </c>
      <c r="F51" s="18">
        <v>62460</v>
      </c>
      <c r="G51" s="18">
        <v>62330</v>
      </c>
      <c r="H51" s="18">
        <v>62492</v>
      </c>
      <c r="I51" s="18">
        <v>62911</v>
      </c>
      <c r="J51" s="18">
        <v>63393</v>
      </c>
      <c r="K51" s="18">
        <v>63719</v>
      </c>
      <c r="L51" s="18">
        <v>64080</v>
      </c>
      <c r="M51" s="18">
        <v>63957</v>
      </c>
      <c r="N51" s="18">
        <v>64260</v>
      </c>
      <c r="O51" s="18">
        <v>64006</v>
      </c>
      <c r="P51" s="18">
        <v>64297</v>
      </c>
      <c r="Q51" s="18">
        <v>64347</v>
      </c>
      <c r="R51" s="18">
        <v>64490</v>
      </c>
      <c r="S51" s="18">
        <v>64994</v>
      </c>
      <c r="T51" s="18">
        <v>66164</v>
      </c>
      <c r="U51" s="18">
        <v>66384</v>
      </c>
      <c r="V51" s="21">
        <v>66832</v>
      </c>
      <c r="W51" s="21">
        <v>67797</v>
      </c>
      <c r="X51" s="21">
        <v>68494</v>
      </c>
      <c r="Y51" s="21">
        <v>69100</v>
      </c>
      <c r="Z51" s="21">
        <v>70599</v>
      </c>
      <c r="AA51" s="21">
        <v>71722</v>
      </c>
      <c r="AB51" s="21">
        <v>72783</v>
      </c>
      <c r="AC51" s="21">
        <v>74056</v>
      </c>
      <c r="AD51" s="21">
        <v>74908</v>
      </c>
      <c r="AE51" s="21">
        <v>75746</v>
      </c>
      <c r="AF51" s="18">
        <v>76399</v>
      </c>
      <c r="AG51" s="18">
        <v>77700</v>
      </c>
      <c r="AH51" s="61">
        <v>78754</v>
      </c>
      <c r="AI51" s="61">
        <v>79797</v>
      </c>
      <c r="AJ51" s="138">
        <v>81149</v>
      </c>
    </row>
    <row r="52" spans="1:36" x14ac:dyDescent="0.2">
      <c r="A52" s="16" t="s">
        <v>47</v>
      </c>
      <c r="B52" s="17" t="s">
        <v>13</v>
      </c>
      <c r="C52" s="18">
        <v>66329</v>
      </c>
      <c r="D52" s="18">
        <v>67585</v>
      </c>
      <c r="E52" s="18">
        <v>68507</v>
      </c>
      <c r="F52" s="18">
        <v>69548</v>
      </c>
      <c r="G52" s="18">
        <v>69616</v>
      </c>
      <c r="H52" s="18">
        <v>69274</v>
      </c>
      <c r="I52" s="18">
        <v>69089</v>
      </c>
      <c r="J52" s="18">
        <v>68829</v>
      </c>
      <c r="K52" s="18">
        <v>69003</v>
      </c>
      <c r="L52" s="18">
        <v>69084</v>
      </c>
      <c r="M52" s="18">
        <v>69512</v>
      </c>
      <c r="N52" s="18">
        <v>70457</v>
      </c>
      <c r="O52" s="18">
        <v>71541</v>
      </c>
      <c r="P52" s="18">
        <v>72223</v>
      </c>
      <c r="Q52" s="18">
        <v>73127</v>
      </c>
      <c r="R52" s="18">
        <v>74004</v>
      </c>
      <c r="S52" s="18">
        <v>74630</v>
      </c>
      <c r="T52" s="18">
        <v>76036</v>
      </c>
      <c r="U52" s="18">
        <v>76234</v>
      </c>
      <c r="V52" s="21">
        <v>76751</v>
      </c>
      <c r="W52" s="21">
        <v>76551</v>
      </c>
      <c r="X52" s="21">
        <v>76164</v>
      </c>
      <c r="Y52" s="21">
        <v>77560</v>
      </c>
      <c r="Z52" s="21">
        <v>77975</v>
      </c>
      <c r="AA52" s="21">
        <v>78752</v>
      </c>
      <c r="AB52" s="21">
        <v>79111</v>
      </c>
      <c r="AC52" s="21">
        <v>78867</v>
      </c>
      <c r="AD52" s="21">
        <v>78460</v>
      </c>
      <c r="AE52" s="21">
        <v>78508</v>
      </c>
      <c r="AF52" s="18">
        <v>78219</v>
      </c>
      <c r="AG52" s="18">
        <v>78690</v>
      </c>
      <c r="AH52" s="61">
        <v>78654</v>
      </c>
      <c r="AI52" s="61">
        <v>79292</v>
      </c>
      <c r="AJ52" s="138">
        <v>79648</v>
      </c>
    </row>
    <row r="53" spans="1:36" x14ac:dyDescent="0.2">
      <c r="A53" s="16" t="s">
        <v>47</v>
      </c>
      <c r="B53" s="17" t="s">
        <v>7</v>
      </c>
      <c r="C53" s="18">
        <v>23071</v>
      </c>
      <c r="D53" s="18">
        <v>23058</v>
      </c>
      <c r="E53" s="18">
        <v>23127</v>
      </c>
      <c r="F53" s="18">
        <v>23085</v>
      </c>
      <c r="G53" s="18">
        <v>22939</v>
      </c>
      <c r="H53" s="18">
        <v>22826</v>
      </c>
      <c r="I53" s="18">
        <v>22389</v>
      </c>
      <c r="J53" s="18">
        <v>22157</v>
      </c>
      <c r="K53" s="18">
        <v>21946</v>
      </c>
      <c r="L53" s="18">
        <v>21651</v>
      </c>
      <c r="M53" s="18">
        <v>21496</v>
      </c>
      <c r="N53" s="18">
        <v>21450</v>
      </c>
      <c r="O53" s="18">
        <v>21528</v>
      </c>
      <c r="P53" s="18">
        <v>21772</v>
      </c>
      <c r="Q53" s="18">
        <v>22090</v>
      </c>
      <c r="R53" s="18">
        <v>22282</v>
      </c>
      <c r="S53" s="18">
        <v>22445</v>
      </c>
      <c r="T53" s="18">
        <v>22563</v>
      </c>
      <c r="U53" s="18">
        <v>22668</v>
      </c>
      <c r="V53" s="21">
        <v>22925</v>
      </c>
      <c r="W53" s="21">
        <v>23035</v>
      </c>
      <c r="X53" s="21">
        <v>23006</v>
      </c>
      <c r="Y53" s="21">
        <v>22945</v>
      </c>
      <c r="Z53" s="21">
        <v>22813</v>
      </c>
      <c r="AA53" s="21">
        <v>22655</v>
      </c>
      <c r="AB53" s="21">
        <v>22478</v>
      </c>
      <c r="AC53" s="21">
        <v>22431</v>
      </c>
      <c r="AD53" s="21">
        <v>22266</v>
      </c>
      <c r="AE53" s="21">
        <v>22166</v>
      </c>
      <c r="AF53" s="18">
        <v>22020</v>
      </c>
      <c r="AG53" s="18">
        <v>22176</v>
      </c>
      <c r="AH53" s="61">
        <v>22164</v>
      </c>
      <c r="AI53" s="61">
        <v>22181</v>
      </c>
      <c r="AJ53" s="138">
        <v>22222</v>
      </c>
    </row>
    <row r="54" spans="1:36" x14ac:dyDescent="0.2">
      <c r="A54" s="16" t="s">
        <v>47</v>
      </c>
      <c r="B54" s="17" t="s">
        <v>14</v>
      </c>
      <c r="C54" s="18">
        <v>108216</v>
      </c>
      <c r="D54" s="18">
        <v>108206</v>
      </c>
      <c r="E54" s="18">
        <v>108166</v>
      </c>
      <c r="F54" s="18">
        <v>108012</v>
      </c>
      <c r="G54" s="18">
        <v>108448</v>
      </c>
      <c r="H54" s="18">
        <v>108619</v>
      </c>
      <c r="I54" s="18">
        <v>108972</v>
      </c>
      <c r="J54" s="18">
        <v>109195</v>
      </c>
      <c r="K54" s="18">
        <v>109117</v>
      </c>
      <c r="L54" s="18">
        <v>108626</v>
      </c>
      <c r="M54" s="18">
        <v>108674</v>
      </c>
      <c r="N54" s="18">
        <v>109109</v>
      </c>
      <c r="O54" s="18">
        <v>109721</v>
      </c>
      <c r="P54" s="18">
        <v>110356</v>
      </c>
      <c r="Q54" s="18">
        <v>110951</v>
      </c>
      <c r="R54" s="18">
        <v>111234</v>
      </c>
      <c r="S54" s="18">
        <v>112089</v>
      </c>
      <c r="T54" s="18">
        <v>112655</v>
      </c>
      <c r="U54" s="18">
        <v>112758</v>
      </c>
      <c r="V54" s="21">
        <v>113123</v>
      </c>
      <c r="W54" s="21">
        <v>113680</v>
      </c>
      <c r="X54" s="21">
        <v>113600</v>
      </c>
      <c r="Y54" s="21">
        <v>113627</v>
      </c>
      <c r="Z54" s="21">
        <v>113503</v>
      </c>
      <c r="AA54" s="21">
        <v>113246</v>
      </c>
      <c r="AB54" s="21">
        <v>113073</v>
      </c>
      <c r="AC54" s="21">
        <v>113188</v>
      </c>
      <c r="AD54" s="21">
        <v>112694</v>
      </c>
      <c r="AE54" s="21">
        <v>112428</v>
      </c>
      <c r="AF54" s="18">
        <v>112052</v>
      </c>
      <c r="AG54" s="18">
        <v>112287</v>
      </c>
      <c r="AH54" s="61">
        <v>112276</v>
      </c>
      <c r="AI54" s="61">
        <v>112603</v>
      </c>
      <c r="AJ54" s="138">
        <v>113113</v>
      </c>
    </row>
    <row r="55" spans="1:36" x14ac:dyDescent="0.2">
      <c r="A55" s="16" t="s">
        <v>47</v>
      </c>
      <c r="B55" s="17" t="s">
        <v>31</v>
      </c>
      <c r="C55" s="18">
        <v>255439</v>
      </c>
      <c r="D55" s="18">
        <v>254957</v>
      </c>
      <c r="E55" s="18">
        <v>253681</v>
      </c>
      <c r="F55" s="18">
        <v>253511</v>
      </c>
      <c r="G55" s="18">
        <v>253745</v>
      </c>
      <c r="H55" s="18">
        <v>253572</v>
      </c>
      <c r="I55" s="18">
        <v>254288</v>
      </c>
      <c r="J55" s="18">
        <v>254592</v>
      </c>
      <c r="K55" s="18">
        <v>254967</v>
      </c>
      <c r="L55" s="18">
        <v>254910</v>
      </c>
      <c r="M55" s="18">
        <v>255714</v>
      </c>
      <c r="N55" s="18">
        <v>257322</v>
      </c>
      <c r="O55" s="18">
        <v>258779</v>
      </c>
      <c r="P55" s="18">
        <v>260757</v>
      </c>
      <c r="Q55" s="18">
        <v>262516</v>
      </c>
      <c r="R55" s="18">
        <v>264266</v>
      </c>
      <c r="S55" s="18">
        <v>266479</v>
      </c>
      <c r="T55" s="18">
        <v>268608</v>
      </c>
      <c r="U55" s="18">
        <v>270310</v>
      </c>
      <c r="V55" s="21">
        <v>271516</v>
      </c>
      <c r="W55" s="21">
        <v>272973</v>
      </c>
      <c r="X55" s="21">
        <v>273686</v>
      </c>
      <c r="Y55" s="21">
        <v>274287</v>
      </c>
      <c r="Z55" s="21">
        <v>275162</v>
      </c>
      <c r="AA55" s="21">
        <v>275920</v>
      </c>
      <c r="AB55" s="21">
        <v>277023</v>
      </c>
      <c r="AC55" s="21">
        <v>277884</v>
      </c>
      <c r="AD55" s="21">
        <v>278232</v>
      </c>
      <c r="AE55" s="21">
        <v>279502</v>
      </c>
      <c r="AF55" s="18">
        <v>280112</v>
      </c>
      <c r="AG55" s="18">
        <v>280440</v>
      </c>
      <c r="AH55" s="61">
        <v>280839</v>
      </c>
      <c r="AI55" s="61">
        <v>282776</v>
      </c>
      <c r="AJ55" s="138">
        <v>284593</v>
      </c>
    </row>
    <row r="56" spans="1:36" x14ac:dyDescent="0.2">
      <c r="A56" s="16" t="s">
        <v>47</v>
      </c>
      <c r="B56" s="17" t="s">
        <v>15</v>
      </c>
      <c r="C56" s="18">
        <v>15338</v>
      </c>
      <c r="D56" s="18">
        <v>15432</v>
      </c>
      <c r="E56" s="18">
        <v>15466</v>
      </c>
      <c r="F56" s="18">
        <v>15530</v>
      </c>
      <c r="G56" s="18">
        <v>15558</v>
      </c>
      <c r="H56" s="18">
        <v>15556</v>
      </c>
      <c r="I56" s="18">
        <v>15601</v>
      </c>
      <c r="J56" s="18">
        <v>15527</v>
      </c>
      <c r="K56" s="18">
        <v>15456</v>
      </c>
      <c r="L56" s="18">
        <v>15396</v>
      </c>
      <c r="M56" s="18">
        <v>15405</v>
      </c>
      <c r="N56" s="18">
        <v>15512</v>
      </c>
      <c r="O56" s="18">
        <v>15760</v>
      </c>
      <c r="P56" s="18">
        <v>16070</v>
      </c>
      <c r="Q56" s="18">
        <v>16305</v>
      </c>
      <c r="R56" s="18">
        <v>16630</v>
      </c>
      <c r="S56" s="18">
        <v>16907</v>
      </c>
      <c r="T56" s="18">
        <v>17083</v>
      </c>
      <c r="U56" s="18">
        <v>17290</v>
      </c>
      <c r="V56" s="21">
        <v>17580</v>
      </c>
      <c r="W56" s="21">
        <v>17823</v>
      </c>
      <c r="X56" s="21">
        <v>17945</v>
      </c>
      <c r="Y56" s="21">
        <v>18003</v>
      </c>
      <c r="Z56" s="21">
        <v>18025</v>
      </c>
      <c r="AA56" s="21">
        <v>18066</v>
      </c>
      <c r="AB56" s="21">
        <v>18186</v>
      </c>
      <c r="AC56" s="21">
        <v>18255</v>
      </c>
      <c r="AD56" s="21">
        <v>18353</v>
      </c>
      <c r="AE56" s="21">
        <v>18337</v>
      </c>
      <c r="AF56" s="18">
        <v>18436</v>
      </c>
      <c r="AG56" s="18">
        <v>18496</v>
      </c>
      <c r="AH56" s="61">
        <v>18541</v>
      </c>
      <c r="AI56" s="61">
        <v>18554</v>
      </c>
      <c r="AJ56" s="138">
        <v>18578</v>
      </c>
    </row>
    <row r="57" spans="1:36" x14ac:dyDescent="0.2">
      <c r="A57" s="16" t="s">
        <v>47</v>
      </c>
      <c r="B57" s="17" t="s">
        <v>16</v>
      </c>
      <c r="C57" s="18">
        <v>102626</v>
      </c>
      <c r="D57" s="18">
        <v>104123</v>
      </c>
      <c r="E57" s="18">
        <v>104967</v>
      </c>
      <c r="F57" s="18">
        <v>106241</v>
      </c>
      <c r="G57" s="18">
        <v>107209</v>
      </c>
      <c r="H57" s="18">
        <v>107247</v>
      </c>
      <c r="I57" s="18">
        <v>108086</v>
      </c>
      <c r="J57" s="18">
        <v>108597</v>
      </c>
      <c r="K57" s="18">
        <v>109214</v>
      </c>
      <c r="L57" s="18">
        <v>109311</v>
      </c>
      <c r="M57" s="18">
        <v>109394</v>
      </c>
      <c r="N57" s="18">
        <v>109996</v>
      </c>
      <c r="O57" s="18">
        <v>110996</v>
      </c>
      <c r="P57" s="18">
        <v>111934</v>
      </c>
      <c r="Q57" s="18">
        <v>113078</v>
      </c>
      <c r="R57" s="18">
        <v>114250</v>
      </c>
      <c r="S57" s="18">
        <v>115940</v>
      </c>
      <c r="T57" s="18">
        <v>117865</v>
      </c>
      <c r="U57" s="18">
        <v>119164</v>
      </c>
      <c r="V57" s="21">
        <v>120487</v>
      </c>
      <c r="W57" s="21">
        <v>121743</v>
      </c>
      <c r="X57" s="21">
        <v>122450</v>
      </c>
      <c r="Y57" s="21">
        <v>122684</v>
      </c>
      <c r="Z57" s="21">
        <v>123721</v>
      </c>
      <c r="AA57" s="21">
        <v>124368</v>
      </c>
      <c r="AB57" s="21">
        <v>125166</v>
      </c>
      <c r="AC57" s="21">
        <v>125619</v>
      </c>
      <c r="AD57" s="21">
        <v>125440</v>
      </c>
      <c r="AE57" s="21">
        <v>125705</v>
      </c>
      <c r="AF57" s="18">
        <v>125514</v>
      </c>
      <c r="AG57" s="18">
        <v>126859</v>
      </c>
      <c r="AH57" s="61">
        <v>127156</v>
      </c>
      <c r="AI57" s="61">
        <v>128839</v>
      </c>
      <c r="AJ57" s="138">
        <v>130449</v>
      </c>
    </row>
    <row r="58" spans="1:36" x14ac:dyDescent="0.2">
      <c r="A58" s="16" t="s">
        <v>47</v>
      </c>
      <c r="B58" s="17" t="s">
        <v>26</v>
      </c>
      <c r="C58" s="18">
        <v>140380</v>
      </c>
      <c r="D58" s="18">
        <v>139903</v>
      </c>
      <c r="E58" s="18">
        <v>139624</v>
      </c>
      <c r="F58" s="18">
        <v>139726</v>
      </c>
      <c r="G58" s="18">
        <v>140549</v>
      </c>
      <c r="H58" s="18">
        <v>140815</v>
      </c>
      <c r="I58" s="18">
        <v>140633</v>
      </c>
      <c r="J58" s="18">
        <v>140319</v>
      </c>
      <c r="K58" s="18">
        <v>139779</v>
      </c>
      <c r="L58" s="18">
        <v>139428</v>
      </c>
      <c r="M58" s="18">
        <v>139333</v>
      </c>
      <c r="N58" s="18">
        <v>139311</v>
      </c>
      <c r="O58" s="18">
        <v>139358</v>
      </c>
      <c r="P58" s="18">
        <v>139604</v>
      </c>
      <c r="Q58" s="18">
        <v>139582</v>
      </c>
      <c r="R58" s="18">
        <v>139742</v>
      </c>
      <c r="S58" s="18">
        <v>140529</v>
      </c>
      <c r="T58" s="18">
        <v>141435</v>
      </c>
      <c r="U58" s="18">
        <v>142211</v>
      </c>
      <c r="V58" s="21">
        <v>143059</v>
      </c>
      <c r="W58" s="21">
        <v>144105</v>
      </c>
      <c r="X58" s="21">
        <v>144313</v>
      </c>
      <c r="Y58" s="21">
        <v>144567</v>
      </c>
      <c r="Z58" s="21">
        <v>145354</v>
      </c>
      <c r="AA58" s="21">
        <v>146108</v>
      </c>
      <c r="AB58" s="21">
        <v>147547</v>
      </c>
      <c r="AC58" s="21">
        <v>148607</v>
      </c>
      <c r="AD58" s="21">
        <v>149527</v>
      </c>
      <c r="AE58" s="21">
        <v>151097</v>
      </c>
      <c r="AF58" s="18">
        <v>151771</v>
      </c>
      <c r="AG58" s="18">
        <v>152906</v>
      </c>
      <c r="AH58" s="61">
        <v>154642</v>
      </c>
      <c r="AI58" s="61">
        <v>156768</v>
      </c>
      <c r="AJ58" s="138">
        <v>158468</v>
      </c>
    </row>
    <row r="59" spans="1:36" x14ac:dyDescent="0.2">
      <c r="A59" s="16" t="s">
        <v>47</v>
      </c>
      <c r="B59" s="17" t="s">
        <v>17</v>
      </c>
      <c r="C59" s="18">
        <v>84256</v>
      </c>
      <c r="D59" s="18">
        <v>84829</v>
      </c>
      <c r="E59" s="18">
        <v>85151</v>
      </c>
      <c r="F59" s="18">
        <v>85375</v>
      </c>
      <c r="G59" s="18">
        <v>85751</v>
      </c>
      <c r="H59" s="18">
        <v>85700</v>
      </c>
      <c r="I59" s="18">
        <v>85794</v>
      </c>
      <c r="J59" s="18">
        <v>85879</v>
      </c>
      <c r="K59" s="18">
        <v>85717</v>
      </c>
      <c r="L59" s="18">
        <v>86127</v>
      </c>
      <c r="M59" s="18">
        <v>86765</v>
      </c>
      <c r="N59" s="18">
        <v>87423</v>
      </c>
      <c r="O59" s="18">
        <v>88293</v>
      </c>
      <c r="P59" s="18">
        <v>89385</v>
      </c>
      <c r="Q59" s="18">
        <v>90131</v>
      </c>
      <c r="R59" s="18">
        <v>90918</v>
      </c>
      <c r="S59" s="18">
        <v>92197</v>
      </c>
      <c r="T59" s="18">
        <v>93288</v>
      </c>
      <c r="U59" s="18">
        <v>93736</v>
      </c>
      <c r="V59" s="21">
        <v>94060</v>
      </c>
      <c r="W59" s="21">
        <v>94550</v>
      </c>
      <c r="X59" s="21">
        <v>94883</v>
      </c>
      <c r="Y59" s="21">
        <v>95442</v>
      </c>
      <c r="Z59" s="21">
        <v>95826</v>
      </c>
      <c r="AA59" s="21">
        <v>96072</v>
      </c>
      <c r="AB59" s="21">
        <v>96649</v>
      </c>
      <c r="AC59" s="21">
        <v>97163</v>
      </c>
      <c r="AD59" s="21">
        <v>97404</v>
      </c>
      <c r="AE59" s="21">
        <v>97709</v>
      </c>
      <c r="AF59" s="18">
        <v>97770</v>
      </c>
      <c r="AG59" s="18">
        <v>98665</v>
      </c>
      <c r="AH59" s="61">
        <v>98694</v>
      </c>
      <c r="AI59" s="61">
        <v>98942</v>
      </c>
      <c r="AJ59" s="138">
        <v>99253</v>
      </c>
    </row>
    <row r="60" spans="1:36" x14ac:dyDescent="0.2">
      <c r="A60" s="16" t="s">
        <v>47</v>
      </c>
      <c r="B60" s="17" t="s">
        <v>18</v>
      </c>
      <c r="C60" s="18">
        <v>17263</v>
      </c>
      <c r="D60" s="18">
        <v>17330</v>
      </c>
      <c r="E60" s="18">
        <v>17505</v>
      </c>
      <c r="F60" s="18">
        <v>17550</v>
      </c>
      <c r="G60" s="18">
        <v>17713</v>
      </c>
      <c r="H60" s="18">
        <v>17691</v>
      </c>
      <c r="I60" s="18">
        <v>17693</v>
      </c>
      <c r="J60" s="18">
        <v>17601</v>
      </c>
      <c r="K60" s="18">
        <v>17491</v>
      </c>
      <c r="L60" s="18">
        <v>17258</v>
      </c>
      <c r="M60" s="18">
        <v>17176</v>
      </c>
      <c r="N60" s="18">
        <v>17253</v>
      </c>
      <c r="O60" s="18">
        <v>17296</v>
      </c>
      <c r="P60" s="18">
        <v>17461</v>
      </c>
      <c r="Q60" s="18">
        <v>17623</v>
      </c>
      <c r="R60" s="18">
        <v>17698</v>
      </c>
      <c r="S60" s="18">
        <v>17861</v>
      </c>
      <c r="T60" s="18">
        <v>18054</v>
      </c>
      <c r="U60" s="18">
        <v>18351</v>
      </c>
      <c r="V60" s="21">
        <v>18575</v>
      </c>
      <c r="W60" s="21">
        <v>18765</v>
      </c>
      <c r="X60" s="21">
        <v>18793</v>
      </c>
      <c r="Y60" s="21">
        <v>18816</v>
      </c>
      <c r="Z60" s="21">
        <v>18993</v>
      </c>
      <c r="AA60" s="21">
        <v>19075</v>
      </c>
      <c r="AB60" s="21">
        <v>18964</v>
      </c>
      <c r="AC60" s="21">
        <v>18816</v>
      </c>
      <c r="AD60" s="21">
        <v>18729</v>
      </c>
      <c r="AE60" s="21">
        <v>18614</v>
      </c>
      <c r="AF60" s="18">
        <v>18623</v>
      </c>
      <c r="AG60" s="18">
        <v>18723</v>
      </c>
      <c r="AH60" s="61">
        <v>18862</v>
      </c>
      <c r="AI60" s="61">
        <v>19034</v>
      </c>
      <c r="AJ60" s="138">
        <v>19177</v>
      </c>
    </row>
    <row r="61" spans="1:36" x14ac:dyDescent="0.2">
      <c r="A61" s="16" t="s">
        <v>47</v>
      </c>
      <c r="B61" s="17" t="s">
        <v>19</v>
      </c>
      <c r="C61" s="18">
        <v>91244</v>
      </c>
      <c r="D61" s="18">
        <v>91377</v>
      </c>
      <c r="E61" s="18">
        <v>91570</v>
      </c>
      <c r="F61" s="18">
        <v>91802</v>
      </c>
      <c r="G61" s="18">
        <v>92099</v>
      </c>
      <c r="H61" s="18">
        <v>92163</v>
      </c>
      <c r="I61" s="18">
        <v>92395</v>
      </c>
      <c r="J61" s="18">
        <v>92264</v>
      </c>
      <c r="K61" s="18">
        <v>91869</v>
      </c>
      <c r="L61" s="18">
        <v>91666</v>
      </c>
      <c r="M61" s="18">
        <v>91905</v>
      </c>
      <c r="N61" s="18">
        <v>91821</v>
      </c>
      <c r="O61" s="18">
        <v>91992</v>
      </c>
      <c r="P61" s="18">
        <v>92569</v>
      </c>
      <c r="Q61" s="18">
        <v>92840</v>
      </c>
      <c r="R61" s="18">
        <v>93156</v>
      </c>
      <c r="S61" s="18">
        <v>93461</v>
      </c>
      <c r="T61" s="18">
        <v>93702</v>
      </c>
      <c r="U61" s="18">
        <v>93785</v>
      </c>
      <c r="V61" s="21">
        <v>94110</v>
      </c>
      <c r="W61" s="21">
        <v>94546</v>
      </c>
      <c r="X61" s="21">
        <v>94692</v>
      </c>
      <c r="Y61" s="21">
        <v>94781</v>
      </c>
      <c r="Z61" s="21">
        <v>94739</v>
      </c>
      <c r="AA61" s="21">
        <v>94622</v>
      </c>
      <c r="AB61" s="21">
        <v>94628</v>
      </c>
      <c r="AC61" s="21">
        <v>94880</v>
      </c>
      <c r="AD61" s="21">
        <v>94518</v>
      </c>
      <c r="AE61" s="21">
        <v>94508</v>
      </c>
      <c r="AF61" s="18">
        <v>94116</v>
      </c>
      <c r="AG61" s="18">
        <v>94414</v>
      </c>
      <c r="AH61" s="61">
        <v>94654</v>
      </c>
      <c r="AI61" s="61">
        <v>95123</v>
      </c>
      <c r="AJ61" s="138">
        <v>95555</v>
      </c>
    </row>
    <row r="62" spans="1:36" x14ac:dyDescent="0.2">
      <c r="A62" s="16" t="s">
        <v>47</v>
      </c>
      <c r="B62" s="17" t="s">
        <v>20</v>
      </c>
      <c r="C62" s="18">
        <v>239273</v>
      </c>
      <c r="D62" s="18">
        <v>239890</v>
      </c>
      <c r="E62" s="18">
        <v>240317</v>
      </c>
      <c r="F62" s="18">
        <v>241294</v>
      </c>
      <c r="G62" s="18">
        <v>241352</v>
      </c>
      <c r="H62" s="18">
        <v>241804</v>
      </c>
      <c r="I62" s="18">
        <v>242081</v>
      </c>
      <c r="J62" s="18">
        <v>241611</v>
      </c>
      <c r="K62" s="18">
        <v>241325</v>
      </c>
      <c r="L62" s="18">
        <v>241620</v>
      </c>
      <c r="M62" s="18">
        <v>242788</v>
      </c>
      <c r="N62" s="18">
        <v>243987</v>
      </c>
      <c r="O62" s="18">
        <v>245354</v>
      </c>
      <c r="P62" s="18">
        <v>247877</v>
      </c>
      <c r="Q62" s="18">
        <v>249277</v>
      </c>
      <c r="R62" s="18">
        <v>250974</v>
      </c>
      <c r="S62" s="18">
        <v>253089</v>
      </c>
      <c r="T62" s="18">
        <v>254489</v>
      </c>
      <c r="U62" s="18">
        <v>255681</v>
      </c>
      <c r="V62" s="21">
        <v>257240</v>
      </c>
      <c r="W62" s="21">
        <v>258455</v>
      </c>
      <c r="X62" s="21">
        <v>259415</v>
      </c>
      <c r="Y62" s="21">
        <v>260817</v>
      </c>
      <c r="Z62" s="21">
        <v>261948</v>
      </c>
      <c r="AA62" s="21">
        <v>263075</v>
      </c>
      <c r="AB62" s="21">
        <v>264194</v>
      </c>
      <c r="AC62" s="21">
        <v>265379</v>
      </c>
      <c r="AD62" s="21">
        <v>266230</v>
      </c>
      <c r="AE62" s="21">
        <v>267704</v>
      </c>
      <c r="AF62" s="18">
        <v>268336</v>
      </c>
      <c r="AG62" s="18">
        <v>270114</v>
      </c>
      <c r="AH62" s="61">
        <v>272185</v>
      </c>
      <c r="AI62" s="61">
        <v>275099</v>
      </c>
      <c r="AJ62" s="138">
        <v>277832</v>
      </c>
    </row>
    <row r="63" spans="1:36" x14ac:dyDescent="0.2">
      <c r="A63" s="16" t="s">
        <v>47</v>
      </c>
      <c r="B63" s="17" t="s">
        <v>21</v>
      </c>
      <c r="C63" s="18">
        <v>64919</v>
      </c>
      <c r="D63" s="18">
        <v>65088</v>
      </c>
      <c r="E63" s="18">
        <v>65518</v>
      </c>
      <c r="F63" s="18">
        <v>65945</v>
      </c>
      <c r="G63" s="18">
        <v>66386</v>
      </c>
      <c r="H63" s="18">
        <v>67024</v>
      </c>
      <c r="I63" s="18">
        <v>67816</v>
      </c>
      <c r="J63" s="18">
        <v>68302</v>
      </c>
      <c r="K63" s="18">
        <v>69009</v>
      </c>
      <c r="L63" s="18">
        <v>69652</v>
      </c>
      <c r="M63" s="18">
        <v>69598</v>
      </c>
      <c r="N63" s="18">
        <v>70169</v>
      </c>
      <c r="O63" s="18">
        <v>70740</v>
      </c>
      <c r="P63" s="18">
        <v>70511</v>
      </c>
      <c r="Q63" s="18">
        <v>71054</v>
      </c>
      <c r="R63" s="18">
        <v>71715</v>
      </c>
      <c r="S63" s="18">
        <v>72176</v>
      </c>
      <c r="T63" s="18">
        <v>72485</v>
      </c>
      <c r="U63" s="18">
        <v>72688</v>
      </c>
      <c r="V63" s="21">
        <v>73385</v>
      </c>
      <c r="W63" s="21">
        <v>74386</v>
      </c>
      <c r="X63" s="21">
        <v>74624</v>
      </c>
      <c r="Y63" s="21">
        <v>74685</v>
      </c>
      <c r="Z63" s="21">
        <v>74551</v>
      </c>
      <c r="AA63" s="21">
        <v>75233</v>
      </c>
      <c r="AB63" s="21">
        <v>75904</v>
      </c>
      <c r="AC63" s="21">
        <v>76216</v>
      </c>
      <c r="AD63" s="21">
        <v>76423</v>
      </c>
      <c r="AE63" s="21">
        <v>76844</v>
      </c>
      <c r="AF63" s="18">
        <v>77097</v>
      </c>
      <c r="AG63" s="18">
        <v>76669</v>
      </c>
      <c r="AH63" s="61">
        <v>77848</v>
      </c>
      <c r="AI63" s="61">
        <v>78853</v>
      </c>
      <c r="AJ63" s="138">
        <v>79513</v>
      </c>
    </row>
    <row r="64" spans="1:36" x14ac:dyDescent="0.2">
      <c r="A64" s="16" t="s">
        <v>47</v>
      </c>
      <c r="B64" s="17" t="s">
        <v>27</v>
      </c>
      <c r="C64" s="18">
        <v>76424</v>
      </c>
      <c r="D64" s="18">
        <v>76279</v>
      </c>
      <c r="E64" s="18">
        <v>76301</v>
      </c>
      <c r="F64" s="18">
        <v>76118</v>
      </c>
      <c r="G64" s="18">
        <v>75391</v>
      </c>
      <c r="H64" s="18">
        <v>75080</v>
      </c>
      <c r="I64" s="18">
        <v>75212</v>
      </c>
      <c r="J64" s="18">
        <v>75117</v>
      </c>
      <c r="K64" s="18">
        <v>74920</v>
      </c>
      <c r="L64" s="18">
        <v>74790</v>
      </c>
      <c r="M64" s="18">
        <v>74735</v>
      </c>
      <c r="N64" s="18">
        <v>74877</v>
      </c>
      <c r="O64" s="18">
        <v>74698</v>
      </c>
      <c r="P64" s="18">
        <v>74671</v>
      </c>
      <c r="Q64" s="18">
        <v>74607</v>
      </c>
      <c r="R64" s="18">
        <v>74704</v>
      </c>
      <c r="S64" s="18">
        <v>74769</v>
      </c>
      <c r="T64" s="18">
        <v>74723</v>
      </c>
      <c r="U64" s="18">
        <v>74713</v>
      </c>
      <c r="V64" s="21">
        <v>74642</v>
      </c>
      <c r="W64" s="21">
        <v>74616</v>
      </c>
      <c r="X64" s="21">
        <v>74535</v>
      </c>
      <c r="Y64" s="21">
        <v>74217</v>
      </c>
      <c r="Z64" s="21">
        <v>74334</v>
      </c>
      <c r="AA64" s="21">
        <v>74330</v>
      </c>
      <c r="AB64" s="21">
        <v>74593</v>
      </c>
      <c r="AC64" s="21">
        <v>74465</v>
      </c>
      <c r="AD64" s="21">
        <v>74152</v>
      </c>
      <c r="AE64" s="21">
        <v>74063</v>
      </c>
      <c r="AF64" s="18">
        <v>73629</v>
      </c>
      <c r="AG64" s="18">
        <v>73379</v>
      </c>
      <c r="AH64" s="61">
        <v>73319</v>
      </c>
      <c r="AI64" s="61">
        <v>73930</v>
      </c>
      <c r="AJ64" s="138">
        <v>74225</v>
      </c>
    </row>
    <row r="65" spans="1:36" x14ac:dyDescent="0.2">
      <c r="A65" s="16" t="s">
        <v>47</v>
      </c>
      <c r="B65" s="17" t="s">
        <v>28</v>
      </c>
      <c r="C65" s="18">
        <v>112619</v>
      </c>
      <c r="D65" s="18">
        <v>112546</v>
      </c>
      <c r="E65" s="18">
        <v>113346</v>
      </c>
      <c r="F65" s="18">
        <v>114512</v>
      </c>
      <c r="G65" s="18">
        <v>115708</v>
      </c>
      <c r="H65" s="18">
        <v>116817</v>
      </c>
      <c r="I65" s="18">
        <v>118248</v>
      </c>
      <c r="J65" s="18">
        <v>119460</v>
      </c>
      <c r="K65" s="18">
        <v>120601</v>
      </c>
      <c r="L65" s="18">
        <v>122557</v>
      </c>
      <c r="M65" s="18">
        <v>124071</v>
      </c>
      <c r="N65" s="18">
        <v>125661</v>
      </c>
      <c r="O65" s="18">
        <v>127268</v>
      </c>
      <c r="P65" s="18">
        <v>129008</v>
      </c>
      <c r="Q65" s="18">
        <v>130505</v>
      </c>
      <c r="R65" s="18">
        <v>132390</v>
      </c>
      <c r="S65" s="18">
        <v>134532</v>
      </c>
      <c r="T65" s="18">
        <v>136230</v>
      </c>
      <c r="U65" s="18">
        <v>137753</v>
      </c>
      <c r="V65" s="21">
        <v>138818</v>
      </c>
      <c r="W65" s="21">
        <v>139889</v>
      </c>
      <c r="X65" s="21">
        <v>140560</v>
      </c>
      <c r="Y65" s="21">
        <v>140736</v>
      </c>
      <c r="Z65" s="21">
        <v>141691</v>
      </c>
      <c r="AA65" s="21">
        <v>142815</v>
      </c>
      <c r="AB65" s="21">
        <v>144069</v>
      </c>
      <c r="AC65" s="21">
        <v>144771</v>
      </c>
      <c r="AD65" s="21">
        <v>145070</v>
      </c>
      <c r="AE65" s="21">
        <v>145497</v>
      </c>
      <c r="AF65" s="18">
        <v>145881</v>
      </c>
      <c r="AG65" s="18">
        <v>147006</v>
      </c>
      <c r="AH65" s="61">
        <v>147989</v>
      </c>
      <c r="AI65" s="61">
        <v>150087</v>
      </c>
      <c r="AJ65" s="138">
        <v>152064</v>
      </c>
    </row>
    <row r="66" spans="1:36" ht="29.1" customHeight="1" x14ac:dyDescent="0.2">
      <c r="A66" s="17" t="s">
        <v>182</v>
      </c>
      <c r="B66" s="17" t="s">
        <v>54</v>
      </c>
      <c r="C66" s="18" t="s">
        <v>190</v>
      </c>
      <c r="D66" s="18" t="s">
        <v>190</v>
      </c>
      <c r="E66" s="18" t="s">
        <v>190</v>
      </c>
      <c r="F66" s="18" t="s">
        <v>190</v>
      </c>
      <c r="G66" s="18" t="s">
        <v>190</v>
      </c>
      <c r="H66" s="18" t="s">
        <v>190</v>
      </c>
      <c r="I66" s="18" t="s">
        <v>190</v>
      </c>
      <c r="J66" s="18" t="s">
        <v>190</v>
      </c>
      <c r="K66" s="18" t="s">
        <v>190</v>
      </c>
      <c r="L66" s="18" t="s">
        <v>190</v>
      </c>
      <c r="M66" s="18">
        <v>286653</v>
      </c>
      <c r="N66" s="18">
        <v>288084</v>
      </c>
      <c r="O66" s="18">
        <v>289552</v>
      </c>
      <c r="P66" s="18">
        <v>291234</v>
      </c>
      <c r="Q66" s="18">
        <v>295006</v>
      </c>
      <c r="R66" s="18">
        <v>298713</v>
      </c>
      <c r="S66" s="18">
        <v>303877</v>
      </c>
      <c r="T66" s="18">
        <v>307225</v>
      </c>
      <c r="U66" s="18">
        <v>311851</v>
      </c>
      <c r="V66" s="21">
        <v>316118</v>
      </c>
      <c r="W66" s="21">
        <v>320738</v>
      </c>
      <c r="X66" s="21">
        <v>323576</v>
      </c>
      <c r="Y66" s="21">
        <v>326447</v>
      </c>
      <c r="Z66" s="21">
        <v>328710</v>
      </c>
      <c r="AA66" s="21">
        <v>329892</v>
      </c>
      <c r="AB66" s="21">
        <v>328322</v>
      </c>
      <c r="AC66" s="21">
        <v>326682</v>
      </c>
      <c r="AD66" s="21">
        <v>324528</v>
      </c>
      <c r="AE66" s="21">
        <v>325270</v>
      </c>
      <c r="AF66" s="18">
        <v>325364</v>
      </c>
      <c r="AG66" s="18">
        <v>324232</v>
      </c>
      <c r="AH66" s="61">
        <v>327336</v>
      </c>
      <c r="AI66" s="61" t="s">
        <v>190</v>
      </c>
      <c r="AJ66" s="61" t="s">
        <v>190</v>
      </c>
    </row>
    <row r="67" spans="1:36" x14ac:dyDescent="0.2">
      <c r="A67" s="16" t="s">
        <v>182</v>
      </c>
      <c r="B67" s="16" t="s">
        <v>55</v>
      </c>
      <c r="C67" s="18" t="s">
        <v>190</v>
      </c>
      <c r="D67" s="18" t="s">
        <v>190</v>
      </c>
      <c r="E67" s="18" t="s">
        <v>190</v>
      </c>
      <c r="F67" s="18" t="s">
        <v>190</v>
      </c>
      <c r="G67" s="18" t="s">
        <v>190</v>
      </c>
      <c r="H67" s="18" t="s">
        <v>190</v>
      </c>
      <c r="I67" s="18" t="s">
        <v>190</v>
      </c>
      <c r="J67" s="18" t="s">
        <v>190</v>
      </c>
      <c r="K67" s="18" t="s">
        <v>190</v>
      </c>
      <c r="L67" s="18" t="s">
        <v>190</v>
      </c>
      <c r="M67" s="31">
        <v>16376</v>
      </c>
      <c r="N67" s="31">
        <v>16524</v>
      </c>
      <c r="O67" s="31">
        <v>16658</v>
      </c>
      <c r="P67" s="31">
        <v>16828</v>
      </c>
      <c r="Q67" s="31">
        <v>17109</v>
      </c>
      <c r="R67" s="31">
        <v>17298</v>
      </c>
      <c r="S67" s="31">
        <v>17484</v>
      </c>
      <c r="T67" s="31">
        <v>17793</v>
      </c>
      <c r="U67" s="31">
        <v>17862</v>
      </c>
      <c r="V67" s="21">
        <v>17989</v>
      </c>
      <c r="W67" s="21">
        <v>18109</v>
      </c>
      <c r="X67" s="21">
        <v>18157</v>
      </c>
      <c r="Y67" s="21">
        <v>18192</v>
      </c>
      <c r="Z67" s="21">
        <v>18086</v>
      </c>
      <c r="AA67" s="21">
        <v>18098</v>
      </c>
      <c r="AB67" s="21">
        <v>18129</v>
      </c>
      <c r="AC67" s="21">
        <v>18207</v>
      </c>
      <c r="AD67" s="21">
        <v>18222</v>
      </c>
      <c r="AE67" s="21">
        <v>18158</v>
      </c>
      <c r="AF67" s="18">
        <v>18026</v>
      </c>
      <c r="AG67" s="18">
        <v>18046</v>
      </c>
      <c r="AH67" s="61">
        <v>18003</v>
      </c>
      <c r="AI67" s="61" t="s">
        <v>190</v>
      </c>
      <c r="AJ67" s="61" t="s">
        <v>190</v>
      </c>
    </row>
    <row r="68" spans="1:36" x14ac:dyDescent="0.2">
      <c r="A68" s="16" t="s">
        <v>182</v>
      </c>
      <c r="B68" s="16" t="s">
        <v>56</v>
      </c>
      <c r="C68" s="18" t="s">
        <v>190</v>
      </c>
      <c r="D68" s="18" t="s">
        <v>190</v>
      </c>
      <c r="E68" s="18" t="s">
        <v>190</v>
      </c>
      <c r="F68" s="18" t="s">
        <v>190</v>
      </c>
      <c r="G68" s="18" t="s">
        <v>190</v>
      </c>
      <c r="H68" s="18" t="s">
        <v>190</v>
      </c>
      <c r="I68" s="18" t="s">
        <v>190</v>
      </c>
      <c r="J68" s="18" t="s">
        <v>190</v>
      </c>
      <c r="K68" s="18" t="s">
        <v>190</v>
      </c>
      <c r="L68" s="18" t="s">
        <v>190</v>
      </c>
      <c r="M68" s="31">
        <v>33679</v>
      </c>
      <c r="N68" s="31">
        <v>33816</v>
      </c>
      <c r="O68" s="31">
        <v>33597</v>
      </c>
      <c r="P68" s="31">
        <v>33970</v>
      </c>
      <c r="Q68" s="31">
        <v>34260</v>
      </c>
      <c r="R68" s="31">
        <v>34652</v>
      </c>
      <c r="S68" s="31">
        <v>35061</v>
      </c>
      <c r="T68" s="31">
        <v>35567</v>
      </c>
      <c r="U68" s="31">
        <v>35908</v>
      </c>
      <c r="V68" s="21">
        <v>36104</v>
      </c>
      <c r="W68" s="21">
        <v>36716</v>
      </c>
      <c r="X68" s="21">
        <v>36774</v>
      </c>
      <c r="Y68" s="21">
        <v>36981</v>
      </c>
      <c r="Z68" s="21">
        <v>37137</v>
      </c>
      <c r="AA68" s="21">
        <v>37284</v>
      </c>
      <c r="AB68" s="21">
        <v>37136</v>
      </c>
      <c r="AC68" s="21">
        <v>36899</v>
      </c>
      <c r="AD68" s="21">
        <v>36592</v>
      </c>
      <c r="AE68" s="21">
        <v>36445</v>
      </c>
      <c r="AF68" s="18">
        <v>36037</v>
      </c>
      <c r="AG68" s="18">
        <v>35963</v>
      </c>
      <c r="AH68" s="61">
        <v>35890</v>
      </c>
      <c r="AI68" s="61" t="s">
        <v>190</v>
      </c>
      <c r="AJ68" s="61" t="s">
        <v>190</v>
      </c>
    </row>
    <row r="69" spans="1:36" x14ac:dyDescent="0.2">
      <c r="A69" s="16" t="s">
        <v>182</v>
      </c>
      <c r="B69" s="16" t="s">
        <v>57</v>
      </c>
      <c r="C69" s="18" t="s">
        <v>190</v>
      </c>
      <c r="D69" s="18" t="s">
        <v>190</v>
      </c>
      <c r="E69" s="18" t="s">
        <v>190</v>
      </c>
      <c r="F69" s="18" t="s">
        <v>190</v>
      </c>
      <c r="G69" s="18" t="s">
        <v>190</v>
      </c>
      <c r="H69" s="18" t="s">
        <v>190</v>
      </c>
      <c r="I69" s="18" t="s">
        <v>190</v>
      </c>
      <c r="J69" s="18" t="s">
        <v>190</v>
      </c>
      <c r="K69" s="18" t="s">
        <v>190</v>
      </c>
      <c r="L69" s="18" t="s">
        <v>190</v>
      </c>
      <c r="M69" s="31">
        <v>9522</v>
      </c>
      <c r="N69" s="31">
        <v>9629</v>
      </c>
      <c r="O69" s="31">
        <v>9842</v>
      </c>
      <c r="P69" s="31">
        <v>10048</v>
      </c>
      <c r="Q69" s="31">
        <v>10318</v>
      </c>
      <c r="R69" s="31">
        <v>10452</v>
      </c>
      <c r="S69" s="31">
        <v>10652</v>
      </c>
      <c r="T69" s="31">
        <v>10779</v>
      </c>
      <c r="U69" s="31">
        <v>10846</v>
      </c>
      <c r="V69" s="21">
        <v>11104</v>
      </c>
      <c r="W69" s="21">
        <v>11242</v>
      </c>
      <c r="X69" s="21">
        <v>11350</v>
      </c>
      <c r="Y69" s="21">
        <v>11339</v>
      </c>
      <c r="Z69" s="21">
        <v>11447</v>
      </c>
      <c r="AA69" s="21">
        <v>11397</v>
      </c>
      <c r="AB69" s="21">
        <v>11462</v>
      </c>
      <c r="AC69" s="21">
        <v>11461</v>
      </c>
      <c r="AD69" s="21">
        <v>11436</v>
      </c>
      <c r="AE69" s="21">
        <v>11361</v>
      </c>
      <c r="AF69" s="18">
        <v>11197</v>
      </c>
      <c r="AG69" s="18">
        <v>11124</v>
      </c>
      <c r="AH69" s="61">
        <v>10869</v>
      </c>
      <c r="AI69" s="61" t="s">
        <v>190</v>
      </c>
      <c r="AJ69" s="61" t="s">
        <v>190</v>
      </c>
    </row>
    <row r="70" spans="1:36" x14ac:dyDescent="0.2">
      <c r="A70" s="16" t="s">
        <v>182</v>
      </c>
      <c r="B70" s="16" t="s">
        <v>58</v>
      </c>
      <c r="C70" s="18" t="s">
        <v>190</v>
      </c>
      <c r="D70" s="18" t="s">
        <v>190</v>
      </c>
      <c r="E70" s="18" t="s">
        <v>190</v>
      </c>
      <c r="F70" s="18" t="s">
        <v>190</v>
      </c>
      <c r="G70" s="18" t="s">
        <v>190</v>
      </c>
      <c r="H70" s="18" t="s">
        <v>190</v>
      </c>
      <c r="I70" s="18" t="s">
        <v>190</v>
      </c>
      <c r="J70" s="18" t="s">
        <v>190</v>
      </c>
      <c r="K70" s="18" t="s">
        <v>190</v>
      </c>
      <c r="L70" s="18" t="s">
        <v>190</v>
      </c>
      <c r="M70" s="31">
        <v>114660</v>
      </c>
      <c r="N70" s="31">
        <v>114420</v>
      </c>
      <c r="O70" s="31">
        <v>114549</v>
      </c>
      <c r="P70" s="31">
        <v>115319</v>
      </c>
      <c r="Q70" s="31">
        <v>115862</v>
      </c>
      <c r="R70" s="31">
        <v>116343</v>
      </c>
      <c r="S70" s="31">
        <v>117049</v>
      </c>
      <c r="T70" s="31">
        <v>117345</v>
      </c>
      <c r="U70" s="31">
        <v>117616</v>
      </c>
      <c r="V70" s="21">
        <v>118074</v>
      </c>
      <c r="W70" s="21">
        <v>118555</v>
      </c>
      <c r="X70" s="21">
        <v>118659</v>
      </c>
      <c r="Y70" s="21">
        <v>118593</v>
      </c>
      <c r="Z70" s="21">
        <v>118435</v>
      </c>
      <c r="AA70" s="21">
        <v>118111</v>
      </c>
      <c r="AB70" s="21">
        <v>117950</v>
      </c>
      <c r="AC70" s="21">
        <v>117906</v>
      </c>
      <c r="AD70" s="21">
        <v>117324</v>
      </c>
      <c r="AE70" s="21">
        <v>117221</v>
      </c>
      <c r="AF70" s="18">
        <v>116721</v>
      </c>
      <c r="AG70" s="18">
        <v>117066</v>
      </c>
      <c r="AH70" s="61">
        <v>117313</v>
      </c>
      <c r="AI70" s="61" t="s">
        <v>190</v>
      </c>
      <c r="AJ70" s="61" t="s">
        <v>190</v>
      </c>
    </row>
    <row r="71" spans="1:36" x14ac:dyDescent="0.2">
      <c r="A71" s="16" t="s">
        <v>182</v>
      </c>
      <c r="B71" s="16" t="s">
        <v>96</v>
      </c>
      <c r="C71" s="18" t="s">
        <v>190</v>
      </c>
      <c r="D71" s="18" t="s">
        <v>190</v>
      </c>
      <c r="E71" s="18" t="s">
        <v>190</v>
      </c>
      <c r="F71" s="18" t="s">
        <v>190</v>
      </c>
      <c r="G71" s="18" t="s">
        <v>190</v>
      </c>
      <c r="H71" s="18" t="s">
        <v>190</v>
      </c>
      <c r="I71" s="18" t="s">
        <v>190</v>
      </c>
      <c r="J71" s="18" t="s">
        <v>190</v>
      </c>
      <c r="K71" s="18" t="s">
        <v>190</v>
      </c>
      <c r="L71" s="18" t="s">
        <v>190</v>
      </c>
      <c r="M71" s="31">
        <v>14568</v>
      </c>
      <c r="N71" s="31">
        <v>14639</v>
      </c>
      <c r="O71" s="31">
        <v>14813</v>
      </c>
      <c r="P71" s="31">
        <v>15093</v>
      </c>
      <c r="Q71" s="31">
        <v>15281</v>
      </c>
      <c r="R71" s="31">
        <v>15340</v>
      </c>
      <c r="S71" s="31">
        <v>15676</v>
      </c>
      <c r="T71" s="31">
        <v>15952</v>
      </c>
      <c r="U71" s="31">
        <v>16039</v>
      </c>
      <c r="V71" s="21">
        <v>15936</v>
      </c>
      <c r="W71" s="21">
        <v>16024</v>
      </c>
      <c r="X71" s="21">
        <v>16006</v>
      </c>
      <c r="Y71" s="21">
        <v>16037</v>
      </c>
      <c r="Z71" s="21">
        <v>15992</v>
      </c>
      <c r="AA71" s="21">
        <v>16123</v>
      </c>
      <c r="AB71" s="21">
        <v>16184</v>
      </c>
      <c r="AC71" s="21">
        <v>16209</v>
      </c>
      <c r="AD71" s="21">
        <v>16264</v>
      </c>
      <c r="AE71" s="21">
        <v>16299</v>
      </c>
      <c r="AF71" s="18">
        <v>16434</v>
      </c>
      <c r="AG71" s="18">
        <v>16826</v>
      </c>
      <c r="AH71" s="61">
        <v>16932</v>
      </c>
      <c r="AI71" s="61" t="s">
        <v>190</v>
      </c>
      <c r="AJ71" s="61" t="s">
        <v>190</v>
      </c>
    </row>
    <row r="72" spans="1:36" x14ac:dyDescent="0.2">
      <c r="A72" s="16" t="s">
        <v>182</v>
      </c>
      <c r="B72" s="16" t="s">
        <v>59</v>
      </c>
      <c r="C72" s="18" t="s">
        <v>190</v>
      </c>
      <c r="D72" s="18" t="s">
        <v>190</v>
      </c>
      <c r="E72" s="18" t="s">
        <v>190</v>
      </c>
      <c r="F72" s="18" t="s">
        <v>190</v>
      </c>
      <c r="G72" s="18" t="s">
        <v>190</v>
      </c>
      <c r="H72" s="18" t="s">
        <v>190</v>
      </c>
      <c r="I72" s="18" t="s">
        <v>190</v>
      </c>
      <c r="J72" s="18" t="s">
        <v>190</v>
      </c>
      <c r="K72" s="18" t="s">
        <v>190</v>
      </c>
      <c r="L72" s="18" t="s">
        <v>190</v>
      </c>
      <c r="M72" s="31">
        <v>5431</v>
      </c>
      <c r="N72" s="31">
        <v>5497</v>
      </c>
      <c r="O72" s="31">
        <v>5582</v>
      </c>
      <c r="P72" s="31">
        <v>5624</v>
      </c>
      <c r="Q72" s="31">
        <v>5699</v>
      </c>
      <c r="R72" s="31">
        <v>5780</v>
      </c>
      <c r="S72" s="31">
        <v>5779</v>
      </c>
      <c r="T72" s="31">
        <v>5804</v>
      </c>
      <c r="U72" s="31">
        <v>5798</v>
      </c>
      <c r="V72" s="21">
        <v>5815</v>
      </c>
      <c r="W72" s="21">
        <v>5817</v>
      </c>
      <c r="X72" s="21">
        <v>5854</v>
      </c>
      <c r="Y72" s="21">
        <v>5927</v>
      </c>
      <c r="Z72" s="21">
        <v>5907</v>
      </c>
      <c r="AA72" s="21">
        <v>5930</v>
      </c>
      <c r="AB72" s="21">
        <v>5952</v>
      </c>
      <c r="AC72" s="21">
        <v>6035</v>
      </c>
      <c r="AD72" s="21">
        <v>6075</v>
      </c>
      <c r="AE72" s="21">
        <v>6096</v>
      </c>
      <c r="AF72" s="18">
        <v>6100</v>
      </c>
      <c r="AG72" s="18">
        <v>6276</v>
      </c>
      <c r="AH72" s="61">
        <v>6308</v>
      </c>
      <c r="AI72" s="61" t="s">
        <v>190</v>
      </c>
      <c r="AJ72" s="61" t="s">
        <v>190</v>
      </c>
    </row>
    <row r="73" spans="1:36" x14ac:dyDescent="0.2">
      <c r="A73" s="16" t="s">
        <v>182</v>
      </c>
      <c r="B73" s="16" t="s">
        <v>60</v>
      </c>
      <c r="C73" s="18" t="s">
        <v>190</v>
      </c>
      <c r="D73" s="18" t="s">
        <v>190</v>
      </c>
      <c r="E73" s="18" t="s">
        <v>190</v>
      </c>
      <c r="F73" s="18" t="s">
        <v>190</v>
      </c>
      <c r="G73" s="18" t="s">
        <v>190</v>
      </c>
      <c r="H73" s="18" t="s">
        <v>190</v>
      </c>
      <c r="I73" s="18" t="s">
        <v>190</v>
      </c>
      <c r="J73" s="18" t="s">
        <v>190</v>
      </c>
      <c r="K73" s="18" t="s">
        <v>190</v>
      </c>
      <c r="L73" s="18" t="s">
        <v>190</v>
      </c>
      <c r="M73" s="31">
        <v>6632</v>
      </c>
      <c r="N73" s="31">
        <v>6608</v>
      </c>
      <c r="O73" s="31">
        <v>6620</v>
      </c>
      <c r="P73" s="31">
        <v>6725</v>
      </c>
      <c r="Q73" s="31">
        <v>6691</v>
      </c>
      <c r="R73" s="31">
        <v>6744</v>
      </c>
      <c r="S73" s="31">
        <v>6747</v>
      </c>
      <c r="T73" s="31">
        <v>6703</v>
      </c>
      <c r="U73" s="31">
        <v>6641</v>
      </c>
      <c r="V73" s="21">
        <v>6657</v>
      </c>
      <c r="W73" s="21">
        <v>6618</v>
      </c>
      <c r="X73" s="21">
        <v>6542</v>
      </c>
      <c r="Y73" s="21">
        <v>6612</v>
      </c>
      <c r="Z73" s="21">
        <v>6626</v>
      </c>
      <c r="AA73" s="21">
        <v>6592</v>
      </c>
      <c r="AB73" s="21">
        <v>6526</v>
      </c>
      <c r="AC73" s="21">
        <v>6406</v>
      </c>
      <c r="AD73" s="21">
        <v>6385</v>
      </c>
      <c r="AE73" s="21">
        <v>6348</v>
      </c>
      <c r="AF73" s="18">
        <v>6372</v>
      </c>
      <c r="AG73" s="18">
        <v>6398</v>
      </c>
      <c r="AH73" s="61">
        <v>6385</v>
      </c>
      <c r="AI73" s="61" t="s">
        <v>190</v>
      </c>
      <c r="AJ73" s="61" t="s">
        <v>190</v>
      </c>
    </row>
    <row r="74" spans="1:36" x14ac:dyDescent="0.2">
      <c r="A74" s="16" t="s">
        <v>182</v>
      </c>
      <c r="B74" s="16" t="s">
        <v>97</v>
      </c>
      <c r="C74" s="18" t="s">
        <v>190</v>
      </c>
      <c r="D74" s="18" t="s">
        <v>190</v>
      </c>
      <c r="E74" s="18" t="s">
        <v>190</v>
      </c>
      <c r="F74" s="18" t="s">
        <v>190</v>
      </c>
      <c r="G74" s="18" t="s">
        <v>190</v>
      </c>
      <c r="H74" s="18" t="s">
        <v>190</v>
      </c>
      <c r="I74" s="18" t="s">
        <v>190</v>
      </c>
      <c r="J74" s="18" t="s">
        <v>190</v>
      </c>
      <c r="K74" s="18" t="s">
        <v>190</v>
      </c>
      <c r="L74" s="18" t="s">
        <v>190</v>
      </c>
      <c r="M74" s="31">
        <v>8126</v>
      </c>
      <c r="N74" s="31">
        <v>8164</v>
      </c>
      <c r="O74" s="31">
        <v>8257</v>
      </c>
      <c r="P74" s="31">
        <v>8393</v>
      </c>
      <c r="Q74" s="31">
        <v>8439</v>
      </c>
      <c r="R74" s="31">
        <v>8467</v>
      </c>
      <c r="S74" s="31">
        <v>8519</v>
      </c>
      <c r="T74" s="31">
        <v>8517</v>
      </c>
      <c r="U74" s="31">
        <v>8436</v>
      </c>
      <c r="V74" s="21">
        <v>8467</v>
      </c>
      <c r="W74" s="21">
        <v>8511</v>
      </c>
      <c r="X74" s="21">
        <v>8499</v>
      </c>
      <c r="Y74" s="21">
        <v>8455</v>
      </c>
      <c r="Z74" s="21">
        <v>8430</v>
      </c>
      <c r="AA74" s="21">
        <v>8396</v>
      </c>
      <c r="AB74" s="21">
        <v>8372</v>
      </c>
      <c r="AC74" s="21">
        <v>8298</v>
      </c>
      <c r="AD74" s="21">
        <v>8259</v>
      </c>
      <c r="AE74" s="21">
        <v>8203</v>
      </c>
      <c r="AF74" s="18">
        <v>8176</v>
      </c>
      <c r="AG74" s="18">
        <v>8170</v>
      </c>
      <c r="AH74" s="61">
        <v>8130</v>
      </c>
      <c r="AI74" s="61" t="s">
        <v>190</v>
      </c>
      <c r="AJ74" s="61" t="s">
        <v>190</v>
      </c>
    </row>
    <row r="75" spans="1:36" x14ac:dyDescent="0.2">
      <c r="A75" s="16" t="s">
        <v>182</v>
      </c>
      <c r="B75" s="16" t="s">
        <v>61</v>
      </c>
      <c r="C75" s="18" t="s">
        <v>190</v>
      </c>
      <c r="D75" s="18" t="s">
        <v>190</v>
      </c>
      <c r="E75" s="18" t="s">
        <v>190</v>
      </c>
      <c r="F75" s="18" t="s">
        <v>190</v>
      </c>
      <c r="G75" s="18" t="s">
        <v>190</v>
      </c>
      <c r="H75" s="18" t="s">
        <v>190</v>
      </c>
      <c r="I75" s="18" t="s">
        <v>190</v>
      </c>
      <c r="J75" s="18" t="s">
        <v>190</v>
      </c>
      <c r="K75" s="18" t="s">
        <v>190</v>
      </c>
      <c r="L75" s="18" t="s">
        <v>190</v>
      </c>
      <c r="M75" s="31">
        <v>15550</v>
      </c>
      <c r="N75" s="31">
        <v>15590</v>
      </c>
      <c r="O75" s="31">
        <v>15637</v>
      </c>
      <c r="P75" s="31">
        <v>15889</v>
      </c>
      <c r="Q75" s="31">
        <v>15889</v>
      </c>
      <c r="R75" s="31">
        <v>15865</v>
      </c>
      <c r="S75" s="31">
        <v>15908</v>
      </c>
      <c r="T75" s="31">
        <v>16072</v>
      </c>
      <c r="U75" s="31">
        <v>16118</v>
      </c>
      <c r="V75" s="21">
        <v>16101</v>
      </c>
      <c r="W75" s="21">
        <v>16103</v>
      </c>
      <c r="X75" s="21">
        <v>16114</v>
      </c>
      <c r="Y75" s="21">
        <v>16066</v>
      </c>
      <c r="Z75" s="21">
        <v>15979</v>
      </c>
      <c r="AA75" s="21">
        <v>16016</v>
      </c>
      <c r="AB75" s="21">
        <v>15988</v>
      </c>
      <c r="AC75" s="21">
        <v>16022</v>
      </c>
      <c r="AD75" s="21">
        <v>15893</v>
      </c>
      <c r="AE75" s="21">
        <v>15935</v>
      </c>
      <c r="AF75" s="18">
        <v>15792</v>
      </c>
      <c r="AG75" s="18">
        <v>15810</v>
      </c>
      <c r="AH75" s="61">
        <v>15839</v>
      </c>
      <c r="AI75" s="61" t="s">
        <v>190</v>
      </c>
      <c r="AJ75" s="61" t="s">
        <v>190</v>
      </c>
    </row>
    <row r="76" spans="1:36" x14ac:dyDescent="0.2">
      <c r="A76" s="16" t="s">
        <v>182</v>
      </c>
      <c r="B76" s="16" t="s">
        <v>62</v>
      </c>
      <c r="C76" s="18" t="s">
        <v>190</v>
      </c>
      <c r="D76" s="18" t="s">
        <v>190</v>
      </c>
      <c r="E76" s="18" t="s">
        <v>190</v>
      </c>
      <c r="F76" s="18" t="s">
        <v>190</v>
      </c>
      <c r="G76" s="18" t="s">
        <v>190</v>
      </c>
      <c r="H76" s="18" t="s">
        <v>190</v>
      </c>
      <c r="I76" s="18" t="s">
        <v>190</v>
      </c>
      <c r="J76" s="18" t="s">
        <v>190</v>
      </c>
      <c r="K76" s="18" t="s">
        <v>190</v>
      </c>
      <c r="L76" s="18" t="s">
        <v>190</v>
      </c>
      <c r="M76" s="31">
        <v>60707</v>
      </c>
      <c r="N76" s="31">
        <v>60986</v>
      </c>
      <c r="O76" s="31">
        <v>60761</v>
      </c>
      <c r="P76" s="31">
        <v>60106</v>
      </c>
      <c r="Q76" s="31">
        <v>59911</v>
      </c>
      <c r="R76" s="31">
        <v>60753</v>
      </c>
      <c r="S76" s="31">
        <v>60789</v>
      </c>
      <c r="T76" s="31">
        <v>60346</v>
      </c>
      <c r="U76" s="31">
        <v>60158</v>
      </c>
      <c r="V76" s="21">
        <v>59630</v>
      </c>
      <c r="W76" s="21">
        <v>60237</v>
      </c>
      <c r="X76" s="21">
        <v>58793</v>
      </c>
      <c r="Y76" s="21">
        <v>60103</v>
      </c>
      <c r="Z76" s="21">
        <v>60459</v>
      </c>
      <c r="AA76" s="21">
        <v>60517</v>
      </c>
      <c r="AB76" s="21">
        <v>61230</v>
      </c>
      <c r="AC76" s="21">
        <v>61005</v>
      </c>
      <c r="AD76" s="21">
        <v>60696</v>
      </c>
      <c r="AE76" s="21">
        <v>60605</v>
      </c>
      <c r="AF76" s="18">
        <v>60656</v>
      </c>
      <c r="AG76" s="18">
        <v>60957</v>
      </c>
      <c r="AH76" s="61">
        <v>60850</v>
      </c>
      <c r="AI76" s="61" t="s">
        <v>190</v>
      </c>
      <c r="AJ76" s="61" t="s">
        <v>190</v>
      </c>
    </row>
    <row r="77" spans="1:36" x14ac:dyDescent="0.2">
      <c r="A77" s="16" t="s">
        <v>182</v>
      </c>
      <c r="B77" s="16" t="s">
        <v>63</v>
      </c>
      <c r="C77" s="18" t="s">
        <v>190</v>
      </c>
      <c r="D77" s="18" t="s">
        <v>190</v>
      </c>
      <c r="E77" s="18" t="s">
        <v>190</v>
      </c>
      <c r="F77" s="18" t="s">
        <v>190</v>
      </c>
      <c r="G77" s="18" t="s">
        <v>190</v>
      </c>
      <c r="H77" s="18" t="s">
        <v>190</v>
      </c>
      <c r="I77" s="18" t="s">
        <v>190</v>
      </c>
      <c r="J77" s="18" t="s">
        <v>190</v>
      </c>
      <c r="K77" s="18" t="s">
        <v>190</v>
      </c>
      <c r="L77" s="18" t="s">
        <v>190</v>
      </c>
      <c r="M77" s="31">
        <v>71997</v>
      </c>
      <c r="N77" s="31">
        <v>72359</v>
      </c>
      <c r="O77" s="31">
        <v>72816</v>
      </c>
      <c r="P77" s="31">
        <v>73525</v>
      </c>
      <c r="Q77" s="31">
        <v>74177</v>
      </c>
      <c r="R77" s="31">
        <v>74560</v>
      </c>
      <c r="S77" s="31">
        <v>75240</v>
      </c>
      <c r="T77" s="31">
        <v>75762</v>
      </c>
      <c r="U77" s="31">
        <v>76018</v>
      </c>
      <c r="V77" s="21">
        <v>76411</v>
      </c>
      <c r="W77" s="21">
        <v>76825</v>
      </c>
      <c r="X77" s="21">
        <v>76877</v>
      </c>
      <c r="Y77" s="21">
        <v>76867</v>
      </c>
      <c r="Z77" s="21">
        <v>76946</v>
      </c>
      <c r="AA77" s="21">
        <v>76783</v>
      </c>
      <c r="AB77" s="21">
        <v>76570</v>
      </c>
      <c r="AC77" s="21">
        <v>76392</v>
      </c>
      <c r="AD77" s="21">
        <v>76120</v>
      </c>
      <c r="AE77" s="21">
        <v>76031</v>
      </c>
      <c r="AF77" s="18">
        <v>75684</v>
      </c>
      <c r="AG77" s="18">
        <v>76038</v>
      </c>
      <c r="AH77" s="61">
        <v>76046</v>
      </c>
      <c r="AI77" s="61" t="s">
        <v>190</v>
      </c>
      <c r="AJ77" s="61" t="s">
        <v>190</v>
      </c>
    </row>
    <row r="78" spans="1:36" x14ac:dyDescent="0.2">
      <c r="A78" s="16" t="s">
        <v>182</v>
      </c>
      <c r="B78" s="16" t="s">
        <v>64</v>
      </c>
      <c r="C78" s="18" t="s">
        <v>190</v>
      </c>
      <c r="D78" s="18" t="s">
        <v>190</v>
      </c>
      <c r="E78" s="18" t="s">
        <v>190</v>
      </c>
      <c r="F78" s="18" t="s">
        <v>190</v>
      </c>
      <c r="G78" s="18" t="s">
        <v>190</v>
      </c>
      <c r="H78" s="18" t="s">
        <v>190</v>
      </c>
      <c r="I78" s="18" t="s">
        <v>190</v>
      </c>
      <c r="J78" s="18" t="s">
        <v>190</v>
      </c>
      <c r="K78" s="18" t="s">
        <v>190</v>
      </c>
      <c r="L78" s="18" t="s">
        <v>190</v>
      </c>
      <c r="M78" s="31">
        <v>189721</v>
      </c>
      <c r="N78" s="31">
        <v>189404</v>
      </c>
      <c r="O78" s="31">
        <v>189993</v>
      </c>
      <c r="P78" s="31">
        <v>190423</v>
      </c>
      <c r="Q78" s="31">
        <v>191829</v>
      </c>
      <c r="R78" s="31">
        <v>192824</v>
      </c>
      <c r="S78" s="31">
        <v>194316</v>
      </c>
      <c r="T78" s="31">
        <v>195223</v>
      </c>
      <c r="U78" s="31">
        <v>196314</v>
      </c>
      <c r="V78" s="21">
        <v>197820</v>
      </c>
      <c r="W78" s="21">
        <v>199676</v>
      </c>
      <c r="X78" s="21">
        <v>200301</v>
      </c>
      <c r="Y78" s="21">
        <v>200249</v>
      </c>
      <c r="Z78" s="21">
        <v>200415</v>
      </c>
      <c r="AA78" s="21">
        <v>200433</v>
      </c>
      <c r="AB78" s="21">
        <v>200107</v>
      </c>
      <c r="AC78" s="21">
        <v>200501</v>
      </c>
      <c r="AD78" s="21">
        <v>200529</v>
      </c>
      <c r="AE78" s="21">
        <v>201557</v>
      </c>
      <c r="AF78" s="18">
        <v>201658</v>
      </c>
      <c r="AG78" s="18">
        <v>201192</v>
      </c>
      <c r="AH78" s="61">
        <v>202775</v>
      </c>
      <c r="AI78" s="61" t="s">
        <v>190</v>
      </c>
      <c r="AJ78" s="61" t="s">
        <v>190</v>
      </c>
    </row>
    <row r="79" spans="1:36" x14ac:dyDescent="0.2">
      <c r="A79" s="16" t="s">
        <v>182</v>
      </c>
      <c r="B79" s="16" t="s">
        <v>65</v>
      </c>
      <c r="C79" s="18" t="s">
        <v>190</v>
      </c>
      <c r="D79" s="18" t="s">
        <v>190</v>
      </c>
      <c r="E79" s="18" t="s">
        <v>190</v>
      </c>
      <c r="F79" s="18" t="s">
        <v>190</v>
      </c>
      <c r="G79" s="18" t="s">
        <v>190</v>
      </c>
      <c r="H79" s="18" t="s">
        <v>190</v>
      </c>
      <c r="I79" s="18" t="s">
        <v>190</v>
      </c>
      <c r="J79" s="18" t="s">
        <v>190</v>
      </c>
      <c r="K79" s="18" t="s">
        <v>190</v>
      </c>
      <c r="L79" s="18" t="s">
        <v>190</v>
      </c>
      <c r="M79" s="31">
        <v>223879</v>
      </c>
      <c r="N79" s="31">
        <v>224983</v>
      </c>
      <c r="O79" s="31">
        <v>225710</v>
      </c>
      <c r="P79" s="31">
        <v>227758</v>
      </c>
      <c r="Q79" s="31">
        <v>229490</v>
      </c>
      <c r="R79" s="31">
        <v>231167</v>
      </c>
      <c r="S79" s="31">
        <v>232934</v>
      </c>
      <c r="T79" s="31">
        <v>234838</v>
      </c>
      <c r="U79" s="31">
        <v>236087</v>
      </c>
      <c r="V79" s="21">
        <v>237852</v>
      </c>
      <c r="W79" s="21">
        <v>240422</v>
      </c>
      <c r="X79" s="21">
        <v>241184</v>
      </c>
      <c r="Y79" s="21">
        <v>241461</v>
      </c>
      <c r="Z79" s="21">
        <v>242075</v>
      </c>
      <c r="AA79" s="21">
        <v>242795</v>
      </c>
      <c r="AB79" s="21">
        <v>243760</v>
      </c>
      <c r="AC79" s="21">
        <v>244107</v>
      </c>
      <c r="AD79" s="21">
        <v>244423</v>
      </c>
      <c r="AE79" s="21">
        <v>245393</v>
      </c>
      <c r="AF79" s="18">
        <v>246192</v>
      </c>
      <c r="AG79" s="18">
        <v>247765</v>
      </c>
      <c r="AH79" s="61">
        <v>248417</v>
      </c>
      <c r="AI79" s="61" t="s">
        <v>190</v>
      </c>
      <c r="AJ79" s="61" t="s">
        <v>190</v>
      </c>
    </row>
    <row r="80" spans="1:36" x14ac:dyDescent="0.2">
      <c r="A80" s="16" t="s">
        <v>182</v>
      </c>
      <c r="B80" s="16" t="s">
        <v>66</v>
      </c>
      <c r="C80" s="18" t="s">
        <v>190</v>
      </c>
      <c r="D80" s="18" t="s">
        <v>190</v>
      </c>
      <c r="E80" s="18" t="s">
        <v>190</v>
      </c>
      <c r="F80" s="18" t="s">
        <v>190</v>
      </c>
      <c r="G80" s="18" t="s">
        <v>190</v>
      </c>
      <c r="H80" s="18" t="s">
        <v>190</v>
      </c>
      <c r="I80" s="18" t="s">
        <v>190</v>
      </c>
      <c r="J80" s="18" t="s">
        <v>190</v>
      </c>
      <c r="K80" s="18" t="s">
        <v>190</v>
      </c>
      <c r="L80" s="18" t="s">
        <v>190</v>
      </c>
      <c r="M80" s="31">
        <v>18532</v>
      </c>
      <c r="N80" s="31">
        <v>18395</v>
      </c>
      <c r="O80" s="31">
        <v>18523</v>
      </c>
      <c r="P80" s="31">
        <v>18672</v>
      </c>
      <c r="Q80" s="31">
        <v>18686</v>
      </c>
      <c r="R80" s="31">
        <v>18719</v>
      </c>
      <c r="S80" s="31">
        <v>18703</v>
      </c>
      <c r="T80" s="31">
        <v>18597</v>
      </c>
      <c r="U80" s="31">
        <v>18556</v>
      </c>
      <c r="V80" s="21">
        <v>18392</v>
      </c>
      <c r="W80" s="21">
        <v>18282</v>
      </c>
      <c r="X80" s="21">
        <v>18243</v>
      </c>
      <c r="Y80" s="21">
        <v>18184</v>
      </c>
      <c r="Z80" s="21">
        <v>18025</v>
      </c>
      <c r="AA80" s="21">
        <v>17864</v>
      </c>
      <c r="AB80" s="21">
        <v>17858</v>
      </c>
      <c r="AC80" s="21">
        <v>17958</v>
      </c>
      <c r="AD80" s="21">
        <v>17740</v>
      </c>
      <c r="AE80" s="21">
        <v>17634</v>
      </c>
      <c r="AF80" s="18">
        <v>17449</v>
      </c>
      <c r="AG80" s="18">
        <v>17767</v>
      </c>
      <c r="AH80" s="61">
        <v>17679</v>
      </c>
      <c r="AI80" s="61" t="s">
        <v>190</v>
      </c>
      <c r="AJ80" s="61" t="s">
        <v>190</v>
      </c>
    </row>
    <row r="81" spans="1:36" x14ac:dyDescent="0.2">
      <c r="A81" s="16" t="s">
        <v>182</v>
      </c>
      <c r="B81" s="16" t="s">
        <v>67</v>
      </c>
      <c r="C81" s="18" t="s">
        <v>190</v>
      </c>
      <c r="D81" s="18" t="s">
        <v>190</v>
      </c>
      <c r="E81" s="18" t="s">
        <v>190</v>
      </c>
      <c r="F81" s="18" t="s">
        <v>190</v>
      </c>
      <c r="G81" s="18" t="s">
        <v>190</v>
      </c>
      <c r="H81" s="18" t="s">
        <v>190</v>
      </c>
      <c r="I81" s="18" t="s">
        <v>190</v>
      </c>
      <c r="J81" s="18" t="s">
        <v>190</v>
      </c>
      <c r="K81" s="18" t="s">
        <v>190</v>
      </c>
      <c r="L81" s="18" t="s">
        <v>190</v>
      </c>
      <c r="M81" s="31">
        <v>514167</v>
      </c>
      <c r="N81" s="31">
        <v>514747</v>
      </c>
      <c r="O81" s="31">
        <v>514148</v>
      </c>
      <c r="P81" s="31">
        <v>516552</v>
      </c>
      <c r="Q81" s="31">
        <v>521574</v>
      </c>
      <c r="R81" s="31">
        <v>525595</v>
      </c>
      <c r="S81" s="31">
        <v>531970</v>
      </c>
      <c r="T81" s="31">
        <v>537415</v>
      </c>
      <c r="U81" s="31">
        <v>542273</v>
      </c>
      <c r="V81" s="21">
        <v>549256</v>
      </c>
      <c r="W81" s="21">
        <v>557664</v>
      </c>
      <c r="X81" s="21">
        <v>561034</v>
      </c>
      <c r="Y81" s="21">
        <v>563572</v>
      </c>
      <c r="Z81" s="21">
        <v>567342</v>
      </c>
      <c r="AA81" s="21">
        <v>573871</v>
      </c>
      <c r="AB81" s="21">
        <v>580707</v>
      </c>
      <c r="AC81" s="21">
        <v>587087</v>
      </c>
      <c r="AD81" s="21">
        <v>592538</v>
      </c>
      <c r="AE81" s="21">
        <v>599532</v>
      </c>
      <c r="AF81" s="18">
        <v>603635</v>
      </c>
      <c r="AG81" s="18">
        <v>603284</v>
      </c>
      <c r="AH81" s="61">
        <v>613797</v>
      </c>
      <c r="AI81" s="61" t="s">
        <v>190</v>
      </c>
      <c r="AJ81" s="61" t="s">
        <v>190</v>
      </c>
    </row>
    <row r="82" spans="1:36" x14ac:dyDescent="0.2">
      <c r="A82" s="16" t="s">
        <v>182</v>
      </c>
      <c r="B82" s="16" t="s">
        <v>68</v>
      </c>
      <c r="C82" s="18" t="s">
        <v>190</v>
      </c>
      <c r="D82" s="18" t="s">
        <v>190</v>
      </c>
      <c r="E82" s="18" t="s">
        <v>190</v>
      </c>
      <c r="F82" s="18" t="s">
        <v>190</v>
      </c>
      <c r="G82" s="18" t="s">
        <v>190</v>
      </c>
      <c r="H82" s="18" t="s">
        <v>190</v>
      </c>
      <c r="I82" s="18" t="s">
        <v>190</v>
      </c>
      <c r="J82" s="18" t="s">
        <v>190</v>
      </c>
      <c r="K82" s="18" t="s">
        <v>190</v>
      </c>
      <c r="L82" s="18" t="s">
        <v>190</v>
      </c>
      <c r="M82" s="31">
        <v>74403</v>
      </c>
      <c r="N82" s="31">
        <v>75361</v>
      </c>
      <c r="O82" s="31">
        <v>76493</v>
      </c>
      <c r="P82" s="31">
        <v>77244</v>
      </c>
      <c r="Q82" s="31">
        <v>78201</v>
      </c>
      <c r="R82" s="31">
        <v>79090</v>
      </c>
      <c r="S82" s="31">
        <v>79780</v>
      </c>
      <c r="T82" s="31">
        <v>81182</v>
      </c>
      <c r="U82" s="31">
        <v>81431</v>
      </c>
      <c r="V82" s="21">
        <v>81998</v>
      </c>
      <c r="W82" s="21">
        <v>81881</v>
      </c>
      <c r="X82" s="21">
        <v>81451</v>
      </c>
      <c r="Y82" s="21">
        <v>82889</v>
      </c>
      <c r="Z82" s="21">
        <v>83349</v>
      </c>
      <c r="AA82" s="21">
        <v>84207</v>
      </c>
      <c r="AB82" s="21">
        <v>84566</v>
      </c>
      <c r="AC82" s="21">
        <v>84222</v>
      </c>
      <c r="AD82" s="21">
        <v>83770</v>
      </c>
      <c r="AE82" s="21">
        <v>83756</v>
      </c>
      <c r="AF82" s="18">
        <v>83372</v>
      </c>
      <c r="AG82" s="18">
        <v>83920</v>
      </c>
      <c r="AH82" s="61">
        <v>83851</v>
      </c>
      <c r="AI82" s="61" t="s">
        <v>190</v>
      </c>
      <c r="AJ82" s="61" t="s">
        <v>190</v>
      </c>
    </row>
    <row r="83" spans="1:36" x14ac:dyDescent="0.2">
      <c r="A83" s="16" t="s">
        <v>182</v>
      </c>
      <c r="B83" s="16" t="s">
        <v>69</v>
      </c>
      <c r="C83" s="18" t="s">
        <v>190</v>
      </c>
      <c r="D83" s="18" t="s">
        <v>190</v>
      </c>
      <c r="E83" s="18" t="s">
        <v>190</v>
      </c>
      <c r="F83" s="18" t="s">
        <v>190</v>
      </c>
      <c r="G83" s="18" t="s">
        <v>190</v>
      </c>
      <c r="H83" s="18" t="s">
        <v>190</v>
      </c>
      <c r="I83" s="18" t="s">
        <v>190</v>
      </c>
      <c r="J83" s="18" t="s">
        <v>190</v>
      </c>
      <c r="K83" s="18" t="s">
        <v>190</v>
      </c>
      <c r="L83" s="18" t="s">
        <v>190</v>
      </c>
      <c r="M83" s="31">
        <v>211563</v>
      </c>
      <c r="N83" s="31">
        <v>213493</v>
      </c>
      <c r="O83" s="31">
        <v>215030</v>
      </c>
      <c r="P83" s="31">
        <v>216757</v>
      </c>
      <c r="Q83" s="31">
        <v>219227</v>
      </c>
      <c r="R83" s="31">
        <v>221390</v>
      </c>
      <c r="S83" s="31">
        <v>223807</v>
      </c>
      <c r="T83" s="31">
        <v>225392</v>
      </c>
      <c r="U83" s="31">
        <v>226659</v>
      </c>
      <c r="V83" s="21">
        <v>228285</v>
      </c>
      <c r="W83" s="21">
        <v>230730</v>
      </c>
      <c r="X83" s="21">
        <v>231467</v>
      </c>
      <c r="Y83" s="21">
        <v>232185</v>
      </c>
      <c r="Z83" s="21">
        <v>232626</v>
      </c>
      <c r="AA83" s="21">
        <v>234158</v>
      </c>
      <c r="AB83" s="21">
        <v>235703</v>
      </c>
      <c r="AC83" s="21">
        <v>236595</v>
      </c>
      <c r="AD83" s="21">
        <v>236868</v>
      </c>
      <c r="AE83" s="21">
        <v>237865</v>
      </c>
      <c r="AF83" s="18">
        <v>237529</v>
      </c>
      <c r="AG83" s="18">
        <v>237418</v>
      </c>
      <c r="AH83" s="61">
        <v>238844</v>
      </c>
      <c r="AI83" s="61" t="s">
        <v>190</v>
      </c>
      <c r="AJ83" s="61" t="s">
        <v>190</v>
      </c>
    </row>
    <row r="84" spans="1:36" x14ac:dyDescent="0.2">
      <c r="A84" s="16" t="s">
        <v>182</v>
      </c>
      <c r="B84" s="16" t="s">
        <v>70</v>
      </c>
      <c r="C84" s="18" t="s">
        <v>190</v>
      </c>
      <c r="D84" s="18" t="s">
        <v>190</v>
      </c>
      <c r="E84" s="18" t="s">
        <v>190</v>
      </c>
      <c r="F84" s="18" t="s">
        <v>190</v>
      </c>
      <c r="G84" s="18" t="s">
        <v>190</v>
      </c>
      <c r="H84" s="18" t="s">
        <v>190</v>
      </c>
      <c r="I84" s="18" t="s">
        <v>190</v>
      </c>
      <c r="J84" s="18" t="s">
        <v>190</v>
      </c>
      <c r="K84" s="18" t="s">
        <v>190</v>
      </c>
      <c r="L84" s="18" t="s">
        <v>190</v>
      </c>
      <c r="M84" s="31">
        <v>15840</v>
      </c>
      <c r="N84" s="31">
        <v>15827</v>
      </c>
      <c r="O84" s="31">
        <v>16030</v>
      </c>
      <c r="P84" s="31">
        <v>16247</v>
      </c>
      <c r="Q84" s="31">
        <v>16500</v>
      </c>
      <c r="R84" s="31">
        <v>16664</v>
      </c>
      <c r="S84" s="31">
        <v>16908</v>
      </c>
      <c r="T84" s="31">
        <v>17027</v>
      </c>
      <c r="U84" s="31">
        <v>17031</v>
      </c>
      <c r="V84" s="21">
        <v>17182</v>
      </c>
      <c r="W84" s="21">
        <v>17229</v>
      </c>
      <c r="X84" s="21">
        <v>17336</v>
      </c>
      <c r="Y84" s="21">
        <v>17451</v>
      </c>
      <c r="Z84" s="21">
        <v>17346</v>
      </c>
      <c r="AA84" s="21">
        <v>17442</v>
      </c>
      <c r="AB84" s="21">
        <v>17465</v>
      </c>
      <c r="AC84" s="21">
        <v>17581</v>
      </c>
      <c r="AD84" s="21">
        <v>17637</v>
      </c>
      <c r="AE84" s="21">
        <v>17622</v>
      </c>
      <c r="AF84" s="18">
        <v>17636</v>
      </c>
      <c r="AG84" s="18">
        <v>18087</v>
      </c>
      <c r="AH84" s="61">
        <v>18083</v>
      </c>
      <c r="AI84" s="61" t="s">
        <v>190</v>
      </c>
      <c r="AJ84" s="61" t="s">
        <v>190</v>
      </c>
    </row>
    <row r="85" spans="1:36" x14ac:dyDescent="0.2">
      <c r="A85" s="16" t="s">
        <v>182</v>
      </c>
      <c r="B85" s="16" t="s">
        <v>71</v>
      </c>
      <c r="C85" s="18" t="s">
        <v>190</v>
      </c>
      <c r="D85" s="18" t="s">
        <v>190</v>
      </c>
      <c r="E85" s="18" t="s">
        <v>190</v>
      </c>
      <c r="F85" s="18" t="s">
        <v>190</v>
      </c>
      <c r="G85" s="18" t="s">
        <v>190</v>
      </c>
      <c r="H85" s="18" t="s">
        <v>190</v>
      </c>
      <c r="I85" s="18" t="s">
        <v>190</v>
      </c>
      <c r="J85" s="18" t="s">
        <v>190</v>
      </c>
      <c r="K85" s="18" t="s">
        <v>190</v>
      </c>
      <c r="L85" s="18" t="s">
        <v>190</v>
      </c>
      <c r="M85" s="31">
        <v>17242</v>
      </c>
      <c r="N85" s="31">
        <v>17141</v>
      </c>
      <c r="O85" s="31">
        <v>17224</v>
      </c>
      <c r="P85" s="31">
        <v>17438</v>
      </c>
      <c r="Q85" s="31">
        <v>17717</v>
      </c>
      <c r="R85" s="31">
        <v>18017</v>
      </c>
      <c r="S85" s="31">
        <v>18180</v>
      </c>
      <c r="T85" s="31">
        <v>18173</v>
      </c>
      <c r="U85" s="31">
        <v>18293</v>
      </c>
      <c r="V85" s="21">
        <v>18484</v>
      </c>
      <c r="W85" s="21">
        <v>18657</v>
      </c>
      <c r="X85" s="21">
        <v>18727</v>
      </c>
      <c r="Y85" s="21">
        <v>18723</v>
      </c>
      <c r="Z85" s="21">
        <v>18801</v>
      </c>
      <c r="AA85" s="21">
        <v>19037</v>
      </c>
      <c r="AB85" s="21">
        <v>18976</v>
      </c>
      <c r="AC85" s="21">
        <v>18854</v>
      </c>
      <c r="AD85" s="21">
        <v>18720</v>
      </c>
      <c r="AE85" s="21">
        <v>18593</v>
      </c>
      <c r="AF85" s="18">
        <v>18439</v>
      </c>
      <c r="AG85" s="18">
        <v>18473</v>
      </c>
      <c r="AH85" s="61">
        <v>18567</v>
      </c>
      <c r="AI85" s="61" t="s">
        <v>190</v>
      </c>
      <c r="AJ85" s="61" t="s">
        <v>190</v>
      </c>
    </row>
    <row r="86" spans="1:36" x14ac:dyDescent="0.2">
      <c r="A86" s="16" t="s">
        <v>182</v>
      </c>
      <c r="B86" s="16" t="s">
        <v>72</v>
      </c>
      <c r="C86" s="18" t="s">
        <v>190</v>
      </c>
      <c r="D86" s="18" t="s">
        <v>190</v>
      </c>
      <c r="E86" s="18" t="s">
        <v>190</v>
      </c>
      <c r="F86" s="18" t="s">
        <v>190</v>
      </c>
      <c r="G86" s="18" t="s">
        <v>190</v>
      </c>
      <c r="H86" s="18" t="s">
        <v>190</v>
      </c>
      <c r="I86" s="18" t="s">
        <v>190</v>
      </c>
      <c r="J86" s="18" t="s">
        <v>190</v>
      </c>
      <c r="K86" s="18" t="s">
        <v>190</v>
      </c>
      <c r="L86" s="18" t="s">
        <v>190</v>
      </c>
      <c r="M86" s="31">
        <v>42051</v>
      </c>
      <c r="N86" s="31">
        <v>42547</v>
      </c>
      <c r="O86" s="31">
        <v>43228</v>
      </c>
      <c r="P86" s="31">
        <v>43953</v>
      </c>
      <c r="Q86" s="31">
        <v>44313</v>
      </c>
      <c r="R86" s="31">
        <v>44891</v>
      </c>
      <c r="S86" s="31">
        <v>45566</v>
      </c>
      <c r="T86" s="31">
        <v>46041</v>
      </c>
      <c r="U86" s="31">
        <v>46345</v>
      </c>
      <c r="V86" s="21">
        <v>46698</v>
      </c>
      <c r="W86" s="21">
        <v>46999</v>
      </c>
      <c r="X86" s="21">
        <v>47303</v>
      </c>
      <c r="Y86" s="21">
        <v>47658</v>
      </c>
      <c r="Z86" s="21">
        <v>48064</v>
      </c>
      <c r="AA86" s="21">
        <v>48255</v>
      </c>
      <c r="AB86" s="21">
        <v>48785</v>
      </c>
      <c r="AC86" s="21">
        <v>48911</v>
      </c>
      <c r="AD86" s="21">
        <v>49214</v>
      </c>
      <c r="AE86" s="21">
        <v>49554</v>
      </c>
      <c r="AF86" s="18">
        <v>49565</v>
      </c>
      <c r="AG86" s="18">
        <v>49820</v>
      </c>
      <c r="AH86" s="61">
        <v>49878</v>
      </c>
      <c r="AI86" s="61" t="s">
        <v>190</v>
      </c>
      <c r="AJ86" s="61" t="s">
        <v>190</v>
      </c>
    </row>
    <row r="87" spans="1:36" x14ac:dyDescent="0.2">
      <c r="A87" s="16" t="s">
        <v>182</v>
      </c>
      <c r="B87" s="16" t="s">
        <v>73</v>
      </c>
      <c r="C87" s="18" t="s">
        <v>190</v>
      </c>
      <c r="D87" s="18" t="s">
        <v>190</v>
      </c>
      <c r="E87" s="18" t="s">
        <v>190</v>
      </c>
      <c r="F87" s="18" t="s">
        <v>190</v>
      </c>
      <c r="G87" s="18" t="s">
        <v>190</v>
      </c>
      <c r="H87" s="18" t="s">
        <v>190</v>
      </c>
      <c r="I87" s="18" t="s">
        <v>190</v>
      </c>
      <c r="J87" s="18" t="s">
        <v>190</v>
      </c>
      <c r="K87" s="18" t="s">
        <v>190</v>
      </c>
      <c r="L87" s="18" t="s">
        <v>190</v>
      </c>
      <c r="M87" s="31">
        <v>9626</v>
      </c>
      <c r="N87" s="31">
        <v>9654</v>
      </c>
      <c r="O87" s="31">
        <v>9675</v>
      </c>
      <c r="P87" s="31">
        <v>9715</v>
      </c>
      <c r="Q87" s="31">
        <v>9716</v>
      </c>
      <c r="R87" s="31">
        <v>9727</v>
      </c>
      <c r="S87" s="31">
        <v>9679</v>
      </c>
      <c r="T87" s="31">
        <v>9646</v>
      </c>
      <c r="U87" s="31">
        <v>9607</v>
      </c>
      <c r="V87" s="21">
        <v>9520</v>
      </c>
      <c r="W87" s="21">
        <v>9437</v>
      </c>
      <c r="X87" s="21">
        <v>9388</v>
      </c>
      <c r="Y87" s="21">
        <v>9417</v>
      </c>
      <c r="Z87" s="21">
        <v>9373</v>
      </c>
      <c r="AA87" s="21">
        <v>9381</v>
      </c>
      <c r="AB87" s="21">
        <v>9351</v>
      </c>
      <c r="AC87" s="21">
        <v>9386</v>
      </c>
      <c r="AD87" s="21">
        <v>9283</v>
      </c>
      <c r="AE87" s="21">
        <v>9266</v>
      </c>
      <c r="AF87" s="18">
        <v>9166</v>
      </c>
      <c r="AG87" s="18">
        <v>9190</v>
      </c>
      <c r="AH87" s="61">
        <v>9207</v>
      </c>
      <c r="AI87" s="61" t="s">
        <v>190</v>
      </c>
      <c r="AJ87" s="61" t="s">
        <v>190</v>
      </c>
    </row>
    <row r="88" spans="1:36" x14ac:dyDescent="0.2">
      <c r="A88" s="16" t="s">
        <v>182</v>
      </c>
      <c r="B88" s="16" t="s">
        <v>53</v>
      </c>
      <c r="C88" s="18" t="s">
        <v>190</v>
      </c>
      <c r="D88" s="18" t="s">
        <v>190</v>
      </c>
      <c r="E88" s="18" t="s">
        <v>190</v>
      </c>
      <c r="F88" s="18" t="s">
        <v>190</v>
      </c>
      <c r="G88" s="18" t="s">
        <v>190</v>
      </c>
      <c r="H88" s="18" t="s">
        <v>190</v>
      </c>
      <c r="I88" s="18" t="s">
        <v>190</v>
      </c>
      <c r="J88" s="18" t="s">
        <v>190</v>
      </c>
      <c r="K88" s="18" t="s">
        <v>190</v>
      </c>
      <c r="L88" s="18" t="s">
        <v>190</v>
      </c>
      <c r="M88" s="31">
        <v>987658</v>
      </c>
      <c r="N88" s="31">
        <v>988172</v>
      </c>
      <c r="O88" s="31">
        <v>987244</v>
      </c>
      <c r="P88" s="31">
        <v>987757</v>
      </c>
      <c r="Q88" s="31">
        <v>990129</v>
      </c>
      <c r="R88" s="31">
        <v>991731</v>
      </c>
      <c r="S88" s="31">
        <v>997788</v>
      </c>
      <c r="T88" s="31">
        <v>1005270</v>
      </c>
      <c r="U88" s="31">
        <v>1013743</v>
      </c>
      <c r="V88" s="21">
        <v>1021741</v>
      </c>
      <c r="W88" s="21">
        <v>1031317</v>
      </c>
      <c r="X88" s="21">
        <v>1033443</v>
      </c>
      <c r="Y88" s="21">
        <v>1033927</v>
      </c>
      <c r="Z88" s="21">
        <v>1037257</v>
      </c>
      <c r="AA88" s="21">
        <v>1041925</v>
      </c>
      <c r="AB88" s="21">
        <v>1049752</v>
      </c>
      <c r="AC88" s="21">
        <v>1056133</v>
      </c>
      <c r="AD88" s="21">
        <v>1061906</v>
      </c>
      <c r="AE88" s="21">
        <v>1070159</v>
      </c>
      <c r="AF88" s="18">
        <v>1073534</v>
      </c>
      <c r="AG88" s="18">
        <v>1075654</v>
      </c>
      <c r="AH88" s="61">
        <v>1091130</v>
      </c>
      <c r="AI88" s="61" t="s">
        <v>190</v>
      </c>
      <c r="AJ88" s="61" t="s">
        <v>190</v>
      </c>
    </row>
    <row r="89" spans="1:36" x14ac:dyDescent="0.2">
      <c r="A89" s="16" t="s">
        <v>182</v>
      </c>
      <c r="B89" s="16" t="s">
        <v>74</v>
      </c>
      <c r="C89" s="18" t="s">
        <v>190</v>
      </c>
      <c r="D89" s="18" t="s">
        <v>190</v>
      </c>
      <c r="E89" s="18" t="s">
        <v>190</v>
      </c>
      <c r="F89" s="18" t="s">
        <v>190</v>
      </c>
      <c r="G89" s="18" t="s">
        <v>190</v>
      </c>
      <c r="H89" s="18" t="s">
        <v>190</v>
      </c>
      <c r="I89" s="18" t="s">
        <v>190</v>
      </c>
      <c r="J89" s="18" t="s">
        <v>190</v>
      </c>
      <c r="K89" s="18" t="s">
        <v>190</v>
      </c>
      <c r="L89" s="18" t="s">
        <v>190</v>
      </c>
      <c r="M89" s="31">
        <v>7711</v>
      </c>
      <c r="N89" s="31">
        <v>7766</v>
      </c>
      <c r="O89" s="31">
        <v>7787</v>
      </c>
      <c r="P89" s="31">
        <v>7929</v>
      </c>
      <c r="Q89" s="31">
        <v>8007</v>
      </c>
      <c r="R89" s="31">
        <v>8052</v>
      </c>
      <c r="S89" s="31">
        <v>8095</v>
      </c>
      <c r="T89" s="31">
        <v>8127</v>
      </c>
      <c r="U89" s="31">
        <v>8174</v>
      </c>
      <c r="V89" s="21">
        <v>8276</v>
      </c>
      <c r="W89" s="21">
        <v>8293</v>
      </c>
      <c r="X89" s="21">
        <v>8353</v>
      </c>
      <c r="Y89" s="21">
        <v>8362</v>
      </c>
      <c r="Z89" s="21">
        <v>8429</v>
      </c>
      <c r="AA89" s="21">
        <v>8352</v>
      </c>
      <c r="AB89" s="21">
        <v>8345</v>
      </c>
      <c r="AC89" s="21">
        <v>8327</v>
      </c>
      <c r="AD89" s="21">
        <v>8302</v>
      </c>
      <c r="AE89" s="21">
        <v>8284</v>
      </c>
      <c r="AF89" s="18">
        <v>8334</v>
      </c>
      <c r="AG89" s="18">
        <v>8441</v>
      </c>
      <c r="AH89" s="61">
        <v>8410</v>
      </c>
      <c r="AI89" s="61" t="s">
        <v>190</v>
      </c>
      <c r="AJ89" s="61" t="s">
        <v>190</v>
      </c>
    </row>
    <row r="90" spans="1:36" x14ac:dyDescent="0.2">
      <c r="A90" s="16" t="s">
        <v>182</v>
      </c>
      <c r="B90" s="16" t="s">
        <v>75</v>
      </c>
      <c r="C90" s="18" t="s">
        <v>190</v>
      </c>
      <c r="D90" s="18" t="s">
        <v>190</v>
      </c>
      <c r="E90" s="18" t="s">
        <v>190</v>
      </c>
      <c r="F90" s="18" t="s">
        <v>190</v>
      </c>
      <c r="G90" s="18" t="s">
        <v>190</v>
      </c>
      <c r="H90" s="18" t="s">
        <v>190</v>
      </c>
      <c r="I90" s="18" t="s">
        <v>190</v>
      </c>
      <c r="J90" s="18" t="s">
        <v>190</v>
      </c>
      <c r="K90" s="18" t="s">
        <v>190</v>
      </c>
      <c r="L90" s="18" t="s">
        <v>190</v>
      </c>
      <c r="M90" s="31">
        <v>69531</v>
      </c>
      <c r="N90" s="31">
        <v>69491</v>
      </c>
      <c r="O90" s="31">
        <v>69394</v>
      </c>
      <c r="P90" s="31">
        <v>69159</v>
      </c>
      <c r="Q90" s="31">
        <v>69221</v>
      </c>
      <c r="R90" s="31">
        <v>69193</v>
      </c>
      <c r="S90" s="31">
        <v>69349</v>
      </c>
      <c r="T90" s="31">
        <v>69543</v>
      </c>
      <c r="U90" s="31">
        <v>69463</v>
      </c>
      <c r="V90" s="21">
        <v>69517</v>
      </c>
      <c r="W90" s="21">
        <v>69443</v>
      </c>
      <c r="X90" s="21">
        <v>69477</v>
      </c>
      <c r="Y90" s="21">
        <v>69538</v>
      </c>
      <c r="Z90" s="21">
        <v>69381</v>
      </c>
      <c r="AA90" s="21">
        <v>69393</v>
      </c>
      <c r="AB90" s="21">
        <v>69297</v>
      </c>
      <c r="AC90" s="21">
        <v>69174</v>
      </c>
      <c r="AD90" s="21">
        <v>68819</v>
      </c>
      <c r="AE90" s="21">
        <v>68673</v>
      </c>
      <c r="AF90" s="18">
        <v>68299</v>
      </c>
      <c r="AG90" s="18">
        <v>68390</v>
      </c>
      <c r="AH90" s="61">
        <v>68362</v>
      </c>
      <c r="AI90" s="61" t="s">
        <v>190</v>
      </c>
      <c r="AJ90" s="61" t="s">
        <v>190</v>
      </c>
    </row>
    <row r="91" spans="1:36" x14ac:dyDescent="0.2">
      <c r="A91" s="16" t="s">
        <v>182</v>
      </c>
      <c r="B91" s="16" t="s">
        <v>76</v>
      </c>
      <c r="C91" s="18" t="s">
        <v>190</v>
      </c>
      <c r="D91" s="18" t="s">
        <v>190</v>
      </c>
      <c r="E91" s="18" t="s">
        <v>190</v>
      </c>
      <c r="F91" s="18" t="s">
        <v>190</v>
      </c>
      <c r="G91" s="18" t="s">
        <v>190</v>
      </c>
      <c r="H91" s="18" t="s">
        <v>190</v>
      </c>
      <c r="I91" s="18" t="s">
        <v>190</v>
      </c>
      <c r="J91" s="18" t="s">
        <v>190</v>
      </c>
      <c r="K91" s="18" t="s">
        <v>190</v>
      </c>
      <c r="L91" s="18" t="s">
        <v>190</v>
      </c>
      <c r="M91" s="31">
        <v>27731</v>
      </c>
      <c r="N91" s="31">
        <v>27808</v>
      </c>
      <c r="O91" s="31">
        <v>27787</v>
      </c>
      <c r="P91" s="31">
        <v>27865</v>
      </c>
      <c r="Q91" s="31">
        <v>28033</v>
      </c>
      <c r="R91" s="31">
        <v>28162</v>
      </c>
      <c r="S91" s="31">
        <v>28390</v>
      </c>
      <c r="T91" s="31">
        <v>28767</v>
      </c>
      <c r="U91" s="31">
        <v>28813</v>
      </c>
      <c r="V91" s="21">
        <v>28890</v>
      </c>
      <c r="W91" s="21">
        <v>28966</v>
      </c>
      <c r="X91" s="21">
        <v>28992</v>
      </c>
      <c r="Y91" s="21">
        <v>29090</v>
      </c>
      <c r="Z91" s="21">
        <v>29088</v>
      </c>
      <c r="AA91" s="21">
        <v>28962</v>
      </c>
      <c r="AB91" s="21">
        <v>28898</v>
      </c>
      <c r="AC91" s="21">
        <v>29185</v>
      </c>
      <c r="AD91" s="21">
        <v>29105</v>
      </c>
      <c r="AE91" s="21">
        <v>29029</v>
      </c>
      <c r="AF91" s="18">
        <v>28965</v>
      </c>
      <c r="AG91" s="18">
        <v>29214</v>
      </c>
      <c r="AH91" s="61">
        <v>29118</v>
      </c>
      <c r="AI91" s="61" t="s">
        <v>190</v>
      </c>
      <c r="AJ91" s="61" t="s">
        <v>190</v>
      </c>
    </row>
    <row r="92" spans="1:36" x14ac:dyDescent="0.2">
      <c r="A92" s="16" t="s">
        <v>182</v>
      </c>
      <c r="B92" s="16" t="s">
        <v>77</v>
      </c>
      <c r="C92" s="18" t="s">
        <v>190</v>
      </c>
      <c r="D92" s="18" t="s">
        <v>190</v>
      </c>
      <c r="E92" s="18" t="s">
        <v>190</v>
      </c>
      <c r="F92" s="18" t="s">
        <v>190</v>
      </c>
      <c r="G92" s="18" t="s">
        <v>190</v>
      </c>
      <c r="H92" s="18" t="s">
        <v>190</v>
      </c>
      <c r="I92" s="18" t="s">
        <v>190</v>
      </c>
      <c r="J92" s="18" t="s">
        <v>190</v>
      </c>
      <c r="K92" s="18" t="s">
        <v>190</v>
      </c>
      <c r="L92" s="18" t="s">
        <v>190</v>
      </c>
      <c r="M92" s="31">
        <v>80572</v>
      </c>
      <c r="N92" s="31">
        <v>81422</v>
      </c>
      <c r="O92" s="31">
        <v>82612</v>
      </c>
      <c r="P92" s="31">
        <v>84137</v>
      </c>
      <c r="Q92" s="31">
        <v>86126</v>
      </c>
      <c r="R92" s="31">
        <v>87918</v>
      </c>
      <c r="S92" s="31">
        <v>89949</v>
      </c>
      <c r="T92" s="31">
        <v>91607</v>
      </c>
      <c r="U92" s="31">
        <v>92761</v>
      </c>
      <c r="V92" s="21">
        <v>94009</v>
      </c>
      <c r="W92" s="21">
        <v>95532</v>
      </c>
      <c r="X92" s="21">
        <v>96062</v>
      </c>
      <c r="Y92" s="21">
        <v>96538</v>
      </c>
      <c r="Z92" s="21">
        <v>97167</v>
      </c>
      <c r="AA92" s="21">
        <v>98310</v>
      </c>
      <c r="AB92" s="21">
        <v>98798</v>
      </c>
      <c r="AC92" s="21">
        <v>99385</v>
      </c>
      <c r="AD92" s="21">
        <v>99500</v>
      </c>
      <c r="AE92" s="21">
        <v>99735</v>
      </c>
      <c r="AF92" s="18">
        <v>100014</v>
      </c>
      <c r="AG92" s="18">
        <v>101108</v>
      </c>
      <c r="AH92" s="61">
        <v>101943</v>
      </c>
      <c r="AI92" s="61" t="s">
        <v>190</v>
      </c>
      <c r="AJ92" s="61" t="s">
        <v>190</v>
      </c>
    </row>
    <row r="93" spans="1:36" x14ac:dyDescent="0.2">
      <c r="A93" s="16" t="s">
        <v>182</v>
      </c>
      <c r="B93" s="16" t="s">
        <v>78</v>
      </c>
      <c r="C93" s="18" t="s">
        <v>190</v>
      </c>
      <c r="D93" s="18" t="s">
        <v>190</v>
      </c>
      <c r="E93" s="18" t="s">
        <v>190</v>
      </c>
      <c r="F93" s="18" t="s">
        <v>190</v>
      </c>
      <c r="G93" s="18" t="s">
        <v>190</v>
      </c>
      <c r="H93" s="18" t="s">
        <v>190</v>
      </c>
      <c r="I93" s="18" t="s">
        <v>190</v>
      </c>
      <c r="J93" s="18" t="s">
        <v>190</v>
      </c>
      <c r="K93" s="18" t="s">
        <v>190</v>
      </c>
      <c r="L93" s="18" t="s">
        <v>190</v>
      </c>
      <c r="M93" s="31">
        <v>164152</v>
      </c>
      <c r="N93" s="31">
        <v>164842</v>
      </c>
      <c r="O93" s="31">
        <v>165696</v>
      </c>
      <c r="P93" s="31">
        <v>166511</v>
      </c>
      <c r="Q93" s="31">
        <v>167205</v>
      </c>
      <c r="R93" s="31">
        <v>167709</v>
      </c>
      <c r="S93" s="31">
        <v>168781</v>
      </c>
      <c r="T93" s="31">
        <v>169865</v>
      </c>
      <c r="U93" s="31">
        <v>170260</v>
      </c>
      <c r="V93" s="21">
        <v>170975</v>
      </c>
      <c r="W93" s="21">
        <v>171859</v>
      </c>
      <c r="X93" s="21">
        <v>171818</v>
      </c>
      <c r="Y93" s="21">
        <v>171817</v>
      </c>
      <c r="Z93" s="21">
        <v>171648</v>
      </c>
      <c r="AA93" s="21">
        <v>171254</v>
      </c>
      <c r="AB93" s="21">
        <v>171153</v>
      </c>
      <c r="AC93" s="21">
        <v>171125</v>
      </c>
      <c r="AD93" s="21">
        <v>170592</v>
      </c>
      <c r="AE93" s="21">
        <v>170467</v>
      </c>
      <c r="AF93" s="18">
        <v>169920</v>
      </c>
      <c r="AG93" s="18">
        <v>170210</v>
      </c>
      <c r="AH93" s="61">
        <v>170171</v>
      </c>
      <c r="AI93" s="61" t="s">
        <v>190</v>
      </c>
      <c r="AJ93" s="61" t="s">
        <v>190</v>
      </c>
    </row>
    <row r="94" spans="1:36" x14ac:dyDescent="0.2">
      <c r="A94" s="16" t="s">
        <v>182</v>
      </c>
      <c r="B94" s="16" t="s">
        <v>79</v>
      </c>
      <c r="C94" s="18" t="s">
        <v>190</v>
      </c>
      <c r="D94" s="18" t="s">
        <v>190</v>
      </c>
      <c r="E94" s="18" t="s">
        <v>190</v>
      </c>
      <c r="F94" s="18" t="s">
        <v>190</v>
      </c>
      <c r="G94" s="18" t="s">
        <v>190</v>
      </c>
      <c r="H94" s="18" t="s">
        <v>190</v>
      </c>
      <c r="I94" s="18" t="s">
        <v>190</v>
      </c>
      <c r="J94" s="18" t="s">
        <v>190</v>
      </c>
      <c r="K94" s="18" t="s">
        <v>190</v>
      </c>
      <c r="L94" s="18" t="s">
        <v>190</v>
      </c>
      <c r="M94" s="31">
        <v>139418</v>
      </c>
      <c r="N94" s="31">
        <v>141062</v>
      </c>
      <c r="O94" s="31">
        <v>142808</v>
      </c>
      <c r="P94" s="31">
        <v>144774</v>
      </c>
      <c r="Q94" s="31">
        <v>146391</v>
      </c>
      <c r="R94" s="31">
        <v>148339</v>
      </c>
      <c r="S94" s="31">
        <v>150615</v>
      </c>
      <c r="T94" s="31">
        <v>152456</v>
      </c>
      <c r="U94" s="31">
        <v>153958</v>
      </c>
      <c r="V94" s="21">
        <v>155003</v>
      </c>
      <c r="W94" s="21">
        <v>156192</v>
      </c>
      <c r="X94" s="21">
        <v>156841</v>
      </c>
      <c r="Y94" s="21">
        <v>156866</v>
      </c>
      <c r="Z94" s="21">
        <v>157817</v>
      </c>
      <c r="AA94" s="21">
        <v>158981</v>
      </c>
      <c r="AB94" s="21">
        <v>160161</v>
      </c>
      <c r="AC94" s="21">
        <v>160985</v>
      </c>
      <c r="AD94" s="21">
        <v>161143</v>
      </c>
      <c r="AE94" s="21">
        <v>161640</v>
      </c>
      <c r="AF94" s="18">
        <v>162038</v>
      </c>
      <c r="AG94" s="18">
        <v>163293</v>
      </c>
      <c r="AH94" s="61">
        <v>164324</v>
      </c>
      <c r="AI94" s="61" t="s">
        <v>190</v>
      </c>
      <c r="AJ94" s="61" t="s">
        <v>190</v>
      </c>
    </row>
    <row r="95" spans="1:36" x14ac:dyDescent="0.2">
      <c r="A95" s="16" t="s">
        <v>182</v>
      </c>
      <c r="B95" s="16" t="s">
        <v>80</v>
      </c>
      <c r="C95" s="18" t="s">
        <v>190</v>
      </c>
      <c r="D95" s="18" t="s">
        <v>190</v>
      </c>
      <c r="E95" s="18" t="s">
        <v>190</v>
      </c>
      <c r="F95" s="18" t="s">
        <v>190</v>
      </c>
      <c r="G95" s="18" t="s">
        <v>190</v>
      </c>
      <c r="H95" s="18" t="s">
        <v>190</v>
      </c>
      <c r="I95" s="18" t="s">
        <v>190</v>
      </c>
      <c r="J95" s="18" t="s">
        <v>190</v>
      </c>
      <c r="K95" s="18" t="s">
        <v>190</v>
      </c>
      <c r="L95" s="18" t="s">
        <v>190</v>
      </c>
      <c r="M95" s="31">
        <v>7890</v>
      </c>
      <c r="N95" s="31">
        <v>7863</v>
      </c>
      <c r="O95" s="31">
        <v>7944</v>
      </c>
      <c r="P95" s="31">
        <v>7957</v>
      </c>
      <c r="Q95" s="31">
        <v>8100</v>
      </c>
      <c r="R95" s="31">
        <v>8149</v>
      </c>
      <c r="S95" s="31">
        <v>8174</v>
      </c>
      <c r="T95" s="31">
        <v>8139</v>
      </c>
      <c r="U95" s="31">
        <v>8133</v>
      </c>
      <c r="V95" s="21">
        <v>8044</v>
      </c>
      <c r="W95" s="21">
        <v>7974</v>
      </c>
      <c r="X95" s="21">
        <v>8006</v>
      </c>
      <c r="Y95" s="21">
        <v>8006</v>
      </c>
      <c r="Z95" s="21">
        <v>8048</v>
      </c>
      <c r="AA95" s="21">
        <v>7993</v>
      </c>
      <c r="AB95" s="21">
        <v>7885</v>
      </c>
      <c r="AC95" s="21">
        <v>7933</v>
      </c>
      <c r="AD95" s="21">
        <v>7928</v>
      </c>
      <c r="AE95" s="21">
        <v>7878</v>
      </c>
      <c r="AF95" s="18">
        <v>7841</v>
      </c>
      <c r="AG95" s="18">
        <v>7988</v>
      </c>
      <c r="AH95" s="61">
        <v>8009</v>
      </c>
      <c r="AI95" s="61" t="s">
        <v>190</v>
      </c>
      <c r="AJ95" s="61" t="s">
        <v>190</v>
      </c>
    </row>
    <row r="96" spans="1:36" x14ac:dyDescent="0.2">
      <c r="A96" s="16" t="s">
        <v>182</v>
      </c>
      <c r="B96" s="16" t="s">
        <v>81</v>
      </c>
      <c r="C96" s="18" t="s">
        <v>190</v>
      </c>
      <c r="D96" s="18" t="s">
        <v>190</v>
      </c>
      <c r="E96" s="18" t="s">
        <v>190</v>
      </c>
      <c r="F96" s="18" t="s">
        <v>190</v>
      </c>
      <c r="G96" s="18" t="s">
        <v>190</v>
      </c>
      <c r="H96" s="18" t="s">
        <v>190</v>
      </c>
      <c r="I96" s="18" t="s">
        <v>190</v>
      </c>
      <c r="J96" s="18" t="s">
        <v>190</v>
      </c>
      <c r="K96" s="18" t="s">
        <v>190</v>
      </c>
      <c r="L96" s="18" t="s">
        <v>190</v>
      </c>
      <c r="M96" s="31">
        <v>323842</v>
      </c>
      <c r="N96" s="31">
        <v>325707</v>
      </c>
      <c r="O96" s="31">
        <v>327209</v>
      </c>
      <c r="P96" s="31">
        <v>330213</v>
      </c>
      <c r="Q96" s="31">
        <v>332659</v>
      </c>
      <c r="R96" s="31">
        <v>335270</v>
      </c>
      <c r="S96" s="31">
        <v>338275</v>
      </c>
      <c r="T96" s="31">
        <v>340649</v>
      </c>
      <c r="U96" s="31">
        <v>342574</v>
      </c>
      <c r="V96" s="21">
        <v>344119</v>
      </c>
      <c r="W96" s="21">
        <v>345811</v>
      </c>
      <c r="X96" s="21">
        <v>346696</v>
      </c>
      <c r="Y96" s="21">
        <v>347795</v>
      </c>
      <c r="Z96" s="21">
        <v>348734</v>
      </c>
      <c r="AA96" s="21">
        <v>349738</v>
      </c>
      <c r="AB96" s="21">
        <v>351113</v>
      </c>
      <c r="AC96" s="21">
        <v>351966</v>
      </c>
      <c r="AD96" s="21">
        <v>352186</v>
      </c>
      <c r="AE96" s="21">
        <v>353685</v>
      </c>
      <c r="AF96" s="18">
        <v>353893</v>
      </c>
      <c r="AG96" s="18">
        <v>354240</v>
      </c>
      <c r="AH96" s="61">
        <v>354671</v>
      </c>
      <c r="AI96" s="61" t="s">
        <v>190</v>
      </c>
      <c r="AJ96" s="61" t="s">
        <v>190</v>
      </c>
    </row>
    <row r="97" spans="1:36" x14ac:dyDescent="0.2">
      <c r="A97" s="16" t="s">
        <v>182</v>
      </c>
      <c r="B97" s="16" t="s">
        <v>82</v>
      </c>
      <c r="C97" s="18" t="s">
        <v>190</v>
      </c>
      <c r="D97" s="18" t="s">
        <v>190</v>
      </c>
      <c r="E97" s="18" t="s">
        <v>190</v>
      </c>
      <c r="F97" s="18" t="s">
        <v>190</v>
      </c>
      <c r="G97" s="18" t="s">
        <v>190</v>
      </c>
      <c r="H97" s="18" t="s">
        <v>190</v>
      </c>
      <c r="I97" s="18" t="s">
        <v>190</v>
      </c>
      <c r="J97" s="18" t="s">
        <v>190</v>
      </c>
      <c r="K97" s="18" t="s">
        <v>190</v>
      </c>
      <c r="L97" s="18" t="s">
        <v>190</v>
      </c>
      <c r="M97" s="31">
        <v>6107</v>
      </c>
      <c r="N97" s="31">
        <v>6178</v>
      </c>
      <c r="O97" s="31">
        <v>6196</v>
      </c>
      <c r="P97" s="31">
        <v>6269</v>
      </c>
      <c r="Q97" s="31">
        <v>6368</v>
      </c>
      <c r="R97" s="31">
        <v>6301</v>
      </c>
      <c r="S97" s="31">
        <v>6294</v>
      </c>
      <c r="T97" s="31">
        <v>6300</v>
      </c>
      <c r="U97" s="31">
        <v>6292</v>
      </c>
      <c r="V97" s="21">
        <v>6225</v>
      </c>
      <c r="W97" s="21">
        <v>6231</v>
      </c>
      <c r="X97" s="21">
        <v>6262</v>
      </c>
      <c r="Y97" s="21">
        <v>6271</v>
      </c>
      <c r="Z97" s="21">
        <v>6305</v>
      </c>
      <c r="AA97" s="21">
        <v>6273</v>
      </c>
      <c r="AB97" s="21">
        <v>6219</v>
      </c>
      <c r="AC97" s="21">
        <v>6293</v>
      </c>
      <c r="AD97" s="21">
        <v>6306</v>
      </c>
      <c r="AE97" s="21">
        <v>6306</v>
      </c>
      <c r="AF97" s="18">
        <v>6266</v>
      </c>
      <c r="AG97" s="18">
        <v>6462</v>
      </c>
      <c r="AH97" s="61">
        <v>6521</v>
      </c>
      <c r="AI97" s="61" t="s">
        <v>190</v>
      </c>
      <c r="AJ97" s="61" t="s">
        <v>190</v>
      </c>
    </row>
    <row r="98" spans="1:36" x14ac:dyDescent="0.2">
      <c r="A98" s="16" t="s">
        <v>182</v>
      </c>
      <c r="B98" s="16" t="s">
        <v>83</v>
      </c>
      <c r="C98" s="18" t="s">
        <v>190</v>
      </c>
      <c r="D98" s="18" t="s">
        <v>190</v>
      </c>
      <c r="E98" s="18" t="s">
        <v>190</v>
      </c>
      <c r="F98" s="18" t="s">
        <v>190</v>
      </c>
      <c r="G98" s="18" t="s">
        <v>190</v>
      </c>
      <c r="H98" s="18" t="s">
        <v>190</v>
      </c>
      <c r="I98" s="18" t="s">
        <v>190</v>
      </c>
      <c r="J98" s="18" t="s">
        <v>190</v>
      </c>
      <c r="K98" s="18" t="s">
        <v>190</v>
      </c>
      <c r="L98" s="18" t="s">
        <v>190</v>
      </c>
      <c r="M98" s="31">
        <v>10678</v>
      </c>
      <c r="N98" s="31">
        <v>10639</v>
      </c>
      <c r="O98" s="31">
        <v>10781</v>
      </c>
      <c r="P98" s="31">
        <v>10851</v>
      </c>
      <c r="Q98" s="31">
        <v>11063</v>
      </c>
      <c r="R98" s="31">
        <v>11111</v>
      </c>
      <c r="S98" s="31">
        <v>11136</v>
      </c>
      <c r="T98" s="31">
        <v>11148</v>
      </c>
      <c r="U98" s="31">
        <v>11247</v>
      </c>
      <c r="V98" s="21">
        <v>11116</v>
      </c>
      <c r="W98" s="21">
        <v>11151</v>
      </c>
      <c r="X98" s="21">
        <v>11078</v>
      </c>
      <c r="Y98" s="21">
        <v>11017</v>
      </c>
      <c r="Z98" s="21">
        <v>11006</v>
      </c>
      <c r="AA98" s="21">
        <v>10987</v>
      </c>
      <c r="AB98" s="21">
        <v>10992</v>
      </c>
      <c r="AC98" s="21">
        <v>10955</v>
      </c>
      <c r="AD98" s="21">
        <v>10826</v>
      </c>
      <c r="AE98" s="21">
        <v>10881</v>
      </c>
      <c r="AF98" s="18">
        <v>10854</v>
      </c>
      <c r="AG98" s="18">
        <v>10895</v>
      </c>
      <c r="AH98" s="61">
        <v>10916</v>
      </c>
      <c r="AI98" s="61" t="s">
        <v>190</v>
      </c>
      <c r="AJ98" s="61" t="s">
        <v>190</v>
      </c>
    </row>
    <row r="99" spans="1:36" x14ac:dyDescent="0.2">
      <c r="A99" s="16" t="s">
        <v>182</v>
      </c>
      <c r="B99" s="16" t="s">
        <v>84</v>
      </c>
      <c r="C99" s="18" t="s">
        <v>190</v>
      </c>
      <c r="D99" s="18" t="s">
        <v>190</v>
      </c>
      <c r="E99" s="18" t="s">
        <v>190</v>
      </c>
      <c r="F99" s="18" t="s">
        <v>190</v>
      </c>
      <c r="G99" s="18" t="s">
        <v>190</v>
      </c>
      <c r="H99" s="18" t="s">
        <v>190</v>
      </c>
      <c r="I99" s="18" t="s">
        <v>190</v>
      </c>
      <c r="J99" s="18" t="s">
        <v>190</v>
      </c>
      <c r="K99" s="18" t="s">
        <v>190</v>
      </c>
      <c r="L99" s="18" t="s">
        <v>190</v>
      </c>
      <c r="M99" s="31">
        <v>12404</v>
      </c>
      <c r="N99" s="31">
        <v>12380</v>
      </c>
      <c r="O99" s="31">
        <v>12492</v>
      </c>
      <c r="P99" s="31">
        <v>12691</v>
      </c>
      <c r="Q99" s="31">
        <v>12737</v>
      </c>
      <c r="R99" s="31">
        <v>12806</v>
      </c>
      <c r="S99" s="31">
        <v>12941</v>
      </c>
      <c r="T99" s="31">
        <v>13038</v>
      </c>
      <c r="U99" s="31">
        <v>13071</v>
      </c>
      <c r="V99" s="21">
        <v>13339</v>
      </c>
      <c r="W99" s="21">
        <v>13380</v>
      </c>
      <c r="X99" s="21">
        <v>13545</v>
      </c>
      <c r="Y99" s="21">
        <v>13769</v>
      </c>
      <c r="Z99" s="21">
        <v>13813</v>
      </c>
      <c r="AA99" s="21">
        <v>13839</v>
      </c>
      <c r="AB99" s="21">
        <v>13997</v>
      </c>
      <c r="AC99" s="21">
        <v>13942</v>
      </c>
      <c r="AD99" s="21">
        <v>13824</v>
      </c>
      <c r="AE99" s="21">
        <v>13796</v>
      </c>
      <c r="AF99" s="18">
        <v>13801</v>
      </c>
      <c r="AG99" s="18">
        <v>13856</v>
      </c>
      <c r="AH99" s="61">
        <v>13897</v>
      </c>
      <c r="AI99" s="61" t="s">
        <v>190</v>
      </c>
      <c r="AJ99" s="61" t="s">
        <v>190</v>
      </c>
    </row>
    <row r="100" spans="1:36" x14ac:dyDescent="0.2">
      <c r="A100" s="16" t="s">
        <v>182</v>
      </c>
      <c r="B100" s="16" t="s">
        <v>15</v>
      </c>
      <c r="C100" s="18" t="s">
        <v>190</v>
      </c>
      <c r="D100" s="18" t="s">
        <v>190</v>
      </c>
      <c r="E100" s="18" t="s">
        <v>190</v>
      </c>
      <c r="F100" s="18" t="s">
        <v>190</v>
      </c>
      <c r="G100" s="18" t="s">
        <v>190</v>
      </c>
      <c r="H100" s="18" t="s">
        <v>190</v>
      </c>
      <c r="I100" s="18" t="s">
        <v>190</v>
      </c>
      <c r="J100" s="18" t="s">
        <v>190</v>
      </c>
      <c r="K100" s="18" t="s">
        <v>190</v>
      </c>
      <c r="L100" s="18" t="s">
        <v>190</v>
      </c>
      <c r="M100" s="31">
        <v>15405</v>
      </c>
      <c r="N100" s="31">
        <v>15512</v>
      </c>
      <c r="O100" s="31">
        <v>15760</v>
      </c>
      <c r="P100" s="31">
        <v>16070</v>
      </c>
      <c r="Q100" s="31">
        <v>16305</v>
      </c>
      <c r="R100" s="31">
        <v>16630</v>
      </c>
      <c r="S100" s="31">
        <v>16907</v>
      </c>
      <c r="T100" s="31">
        <v>17083</v>
      </c>
      <c r="U100" s="31">
        <v>17290</v>
      </c>
      <c r="V100" s="21">
        <v>17580</v>
      </c>
      <c r="W100" s="21">
        <v>17823</v>
      </c>
      <c r="X100" s="21">
        <v>17945</v>
      </c>
      <c r="Y100" s="21">
        <v>18003</v>
      </c>
      <c r="Z100" s="21">
        <v>18025</v>
      </c>
      <c r="AA100" s="21">
        <v>18066</v>
      </c>
      <c r="AB100" s="21">
        <v>18186</v>
      </c>
      <c r="AC100" s="21">
        <v>18255</v>
      </c>
      <c r="AD100" s="21">
        <v>18353</v>
      </c>
      <c r="AE100" s="21">
        <v>18337</v>
      </c>
      <c r="AF100" s="18">
        <v>18436</v>
      </c>
      <c r="AG100" s="18">
        <v>18496</v>
      </c>
      <c r="AH100" s="61">
        <v>18541</v>
      </c>
      <c r="AI100" s="61" t="s">
        <v>190</v>
      </c>
      <c r="AJ100" s="61" t="s">
        <v>190</v>
      </c>
    </row>
    <row r="101" spans="1:36" x14ac:dyDescent="0.2">
      <c r="A101" s="16" t="s">
        <v>182</v>
      </c>
      <c r="B101" s="16" t="s">
        <v>85</v>
      </c>
      <c r="C101" s="18" t="s">
        <v>190</v>
      </c>
      <c r="D101" s="18" t="s">
        <v>190</v>
      </c>
      <c r="E101" s="18" t="s">
        <v>190</v>
      </c>
      <c r="F101" s="18" t="s">
        <v>190</v>
      </c>
      <c r="G101" s="18" t="s">
        <v>190</v>
      </c>
      <c r="H101" s="18" t="s">
        <v>190</v>
      </c>
      <c r="I101" s="18" t="s">
        <v>190</v>
      </c>
      <c r="J101" s="18" t="s">
        <v>190</v>
      </c>
      <c r="K101" s="18" t="s">
        <v>190</v>
      </c>
      <c r="L101" s="18" t="s">
        <v>190</v>
      </c>
      <c r="M101" s="31">
        <v>91161</v>
      </c>
      <c r="N101" s="31">
        <v>91597</v>
      </c>
      <c r="O101" s="31">
        <v>92315</v>
      </c>
      <c r="P101" s="31">
        <v>93081</v>
      </c>
      <c r="Q101" s="31">
        <v>94145</v>
      </c>
      <c r="R101" s="31">
        <v>94990</v>
      </c>
      <c r="S101" s="31">
        <v>96524</v>
      </c>
      <c r="T101" s="31">
        <v>98393</v>
      </c>
      <c r="U101" s="31">
        <v>99500</v>
      </c>
      <c r="V101" s="21">
        <v>100653</v>
      </c>
      <c r="W101" s="21">
        <v>101748</v>
      </c>
      <c r="X101" s="21">
        <v>102230</v>
      </c>
      <c r="Y101" s="21">
        <v>102549</v>
      </c>
      <c r="Z101" s="21">
        <v>103207</v>
      </c>
      <c r="AA101" s="21">
        <v>103787</v>
      </c>
      <c r="AB101" s="21">
        <v>104559</v>
      </c>
      <c r="AC101" s="21">
        <v>104974</v>
      </c>
      <c r="AD101" s="21">
        <v>104903</v>
      </c>
      <c r="AE101" s="21">
        <v>105375</v>
      </c>
      <c r="AF101" s="18">
        <v>105530</v>
      </c>
      <c r="AG101" s="18">
        <v>106745</v>
      </c>
      <c r="AH101" s="61">
        <v>107187</v>
      </c>
      <c r="AI101" s="61" t="s">
        <v>190</v>
      </c>
      <c r="AJ101" s="61" t="s">
        <v>190</v>
      </c>
    </row>
    <row r="102" spans="1:36" x14ac:dyDescent="0.2">
      <c r="A102" s="16" t="s">
        <v>182</v>
      </c>
      <c r="B102" s="16" t="s">
        <v>86</v>
      </c>
      <c r="C102" s="18" t="s">
        <v>190</v>
      </c>
      <c r="D102" s="18" t="s">
        <v>190</v>
      </c>
      <c r="E102" s="18" t="s">
        <v>190</v>
      </c>
      <c r="F102" s="18" t="s">
        <v>190</v>
      </c>
      <c r="G102" s="18" t="s">
        <v>190</v>
      </c>
      <c r="H102" s="18" t="s">
        <v>190</v>
      </c>
      <c r="I102" s="18" t="s">
        <v>190</v>
      </c>
      <c r="J102" s="18" t="s">
        <v>190</v>
      </c>
      <c r="K102" s="18" t="s">
        <v>190</v>
      </c>
      <c r="L102" s="18" t="s">
        <v>190</v>
      </c>
      <c r="M102" s="31">
        <v>27978</v>
      </c>
      <c r="N102" s="31">
        <v>28137</v>
      </c>
      <c r="O102" s="31">
        <v>28305</v>
      </c>
      <c r="P102" s="31">
        <v>28730</v>
      </c>
      <c r="Q102" s="31">
        <v>28656</v>
      </c>
      <c r="R102" s="31">
        <v>29070</v>
      </c>
      <c r="S102" s="31">
        <v>29297</v>
      </c>
      <c r="T102" s="31">
        <v>29596</v>
      </c>
      <c r="U102" s="31">
        <v>29912</v>
      </c>
      <c r="V102" s="21">
        <v>30256</v>
      </c>
      <c r="W102" s="21">
        <v>30242</v>
      </c>
      <c r="X102" s="21">
        <v>30297</v>
      </c>
      <c r="Y102" s="21">
        <v>30406</v>
      </c>
      <c r="Z102" s="21">
        <v>30870</v>
      </c>
      <c r="AA102" s="21">
        <v>31359</v>
      </c>
      <c r="AB102" s="21">
        <v>31607</v>
      </c>
      <c r="AC102" s="21">
        <v>31515</v>
      </c>
      <c r="AD102" s="21">
        <v>31465</v>
      </c>
      <c r="AE102" s="21">
        <v>31492</v>
      </c>
      <c r="AF102" s="18">
        <v>31395</v>
      </c>
      <c r="AG102" s="18">
        <v>31731</v>
      </c>
      <c r="AH102" s="61">
        <v>31984</v>
      </c>
      <c r="AI102" s="61" t="s">
        <v>190</v>
      </c>
      <c r="AJ102" s="61" t="s">
        <v>190</v>
      </c>
    </row>
    <row r="103" spans="1:36" x14ac:dyDescent="0.2">
      <c r="A103" s="16" t="s">
        <v>182</v>
      </c>
      <c r="B103" s="16" t="s">
        <v>87</v>
      </c>
      <c r="C103" s="18" t="s">
        <v>190</v>
      </c>
      <c r="D103" s="18" t="s">
        <v>190</v>
      </c>
      <c r="E103" s="18" t="s">
        <v>190</v>
      </c>
      <c r="F103" s="18" t="s">
        <v>190</v>
      </c>
      <c r="G103" s="18" t="s">
        <v>190</v>
      </c>
      <c r="H103" s="18" t="s">
        <v>190</v>
      </c>
      <c r="I103" s="18" t="s">
        <v>190</v>
      </c>
      <c r="J103" s="18" t="s">
        <v>190</v>
      </c>
      <c r="K103" s="18" t="s">
        <v>190</v>
      </c>
      <c r="L103" s="18" t="s">
        <v>190</v>
      </c>
      <c r="M103" s="31">
        <v>10433</v>
      </c>
      <c r="N103" s="31">
        <v>10458</v>
      </c>
      <c r="O103" s="31">
        <v>10572</v>
      </c>
      <c r="P103" s="31">
        <v>10681</v>
      </c>
      <c r="Q103" s="31">
        <v>10736</v>
      </c>
      <c r="R103" s="31">
        <v>10826</v>
      </c>
      <c r="S103" s="31">
        <v>10817</v>
      </c>
      <c r="T103" s="31">
        <v>10935</v>
      </c>
      <c r="U103" s="31">
        <v>10976</v>
      </c>
      <c r="V103" s="21">
        <v>10944</v>
      </c>
      <c r="W103" s="21">
        <v>11037</v>
      </c>
      <c r="X103" s="21">
        <v>11153</v>
      </c>
      <c r="Y103" s="21">
        <v>11058</v>
      </c>
      <c r="Z103" s="21">
        <v>11169</v>
      </c>
      <c r="AA103" s="21">
        <v>11177</v>
      </c>
      <c r="AB103" s="21">
        <v>11174</v>
      </c>
      <c r="AC103" s="21">
        <v>11180</v>
      </c>
      <c r="AD103" s="21">
        <v>11112</v>
      </c>
      <c r="AE103" s="21">
        <v>10980</v>
      </c>
      <c r="AF103" s="18">
        <v>10779</v>
      </c>
      <c r="AG103" s="18">
        <v>10803</v>
      </c>
      <c r="AH103" s="61">
        <v>10683</v>
      </c>
      <c r="AI103" s="61" t="s">
        <v>190</v>
      </c>
      <c r="AJ103" s="61" t="s">
        <v>190</v>
      </c>
    </row>
    <row r="104" spans="1:36" x14ac:dyDescent="0.2">
      <c r="A104" s="16" t="s">
        <v>182</v>
      </c>
      <c r="B104" s="16" t="s">
        <v>88</v>
      </c>
      <c r="C104" s="18" t="s">
        <v>190</v>
      </c>
      <c r="D104" s="18" t="s">
        <v>190</v>
      </c>
      <c r="E104" s="18" t="s">
        <v>190</v>
      </c>
      <c r="F104" s="18" t="s">
        <v>190</v>
      </c>
      <c r="G104" s="18" t="s">
        <v>190</v>
      </c>
      <c r="H104" s="18" t="s">
        <v>190</v>
      </c>
      <c r="I104" s="18" t="s">
        <v>190</v>
      </c>
      <c r="J104" s="18" t="s">
        <v>190</v>
      </c>
      <c r="K104" s="18" t="s">
        <v>190</v>
      </c>
      <c r="L104" s="18" t="s">
        <v>190</v>
      </c>
      <c r="M104" s="31">
        <v>5514</v>
      </c>
      <c r="N104" s="31">
        <v>5537</v>
      </c>
      <c r="O104" s="31">
        <v>5620</v>
      </c>
      <c r="P104" s="31">
        <v>5756</v>
      </c>
      <c r="Q104" s="31">
        <v>5856</v>
      </c>
      <c r="R104" s="31">
        <v>5924</v>
      </c>
      <c r="S104" s="31">
        <v>6048</v>
      </c>
      <c r="T104" s="31">
        <v>6115</v>
      </c>
      <c r="U104" s="31">
        <v>6241</v>
      </c>
      <c r="V104" s="21">
        <v>6227</v>
      </c>
      <c r="W104" s="21">
        <v>6220</v>
      </c>
      <c r="X104" s="21">
        <v>6249</v>
      </c>
      <c r="Y104" s="21">
        <v>6345</v>
      </c>
      <c r="Z104" s="21">
        <v>6420</v>
      </c>
      <c r="AA104" s="21">
        <v>6501</v>
      </c>
      <c r="AB104" s="21">
        <v>6566</v>
      </c>
      <c r="AC104" s="21">
        <v>6568</v>
      </c>
      <c r="AD104" s="21">
        <v>6593</v>
      </c>
      <c r="AE104" s="21">
        <v>6591</v>
      </c>
      <c r="AF104" s="18">
        <v>6563</v>
      </c>
      <c r="AG104" s="18">
        <v>6706</v>
      </c>
      <c r="AH104" s="61">
        <v>6621</v>
      </c>
      <c r="AI104" s="61" t="s">
        <v>190</v>
      </c>
      <c r="AJ104" s="61" t="s">
        <v>190</v>
      </c>
    </row>
    <row r="105" spans="1:36" x14ac:dyDescent="0.2">
      <c r="A105" s="16" t="s">
        <v>182</v>
      </c>
      <c r="B105" s="16" t="s">
        <v>18</v>
      </c>
      <c r="C105" s="18" t="s">
        <v>190</v>
      </c>
      <c r="D105" s="18" t="s">
        <v>190</v>
      </c>
      <c r="E105" s="18" t="s">
        <v>190</v>
      </c>
      <c r="F105" s="18" t="s">
        <v>190</v>
      </c>
      <c r="G105" s="18" t="s">
        <v>190</v>
      </c>
      <c r="H105" s="18" t="s">
        <v>190</v>
      </c>
      <c r="I105" s="18" t="s">
        <v>190</v>
      </c>
      <c r="J105" s="18" t="s">
        <v>190</v>
      </c>
      <c r="K105" s="18" t="s">
        <v>190</v>
      </c>
      <c r="L105" s="18" t="s">
        <v>190</v>
      </c>
      <c r="M105" s="31">
        <v>17176</v>
      </c>
      <c r="N105" s="31">
        <v>17253</v>
      </c>
      <c r="O105" s="31">
        <v>17296</v>
      </c>
      <c r="P105" s="31">
        <v>17461</v>
      </c>
      <c r="Q105" s="31">
        <v>17623</v>
      </c>
      <c r="R105" s="31">
        <v>17698</v>
      </c>
      <c r="S105" s="31">
        <v>17861</v>
      </c>
      <c r="T105" s="31">
        <v>18054</v>
      </c>
      <c r="U105" s="31">
        <v>18351</v>
      </c>
      <c r="V105" s="21">
        <v>18575</v>
      </c>
      <c r="W105" s="21">
        <v>18765</v>
      </c>
      <c r="X105" s="21">
        <v>18793</v>
      </c>
      <c r="Y105" s="21">
        <v>18816</v>
      </c>
      <c r="Z105" s="21">
        <v>18993</v>
      </c>
      <c r="AA105" s="21">
        <v>19075</v>
      </c>
      <c r="AB105" s="21">
        <v>18964</v>
      </c>
      <c r="AC105" s="21">
        <v>18816</v>
      </c>
      <c r="AD105" s="21">
        <v>18729</v>
      </c>
      <c r="AE105" s="21">
        <v>18614</v>
      </c>
      <c r="AF105" s="18">
        <v>18623</v>
      </c>
      <c r="AG105" s="18">
        <v>18723</v>
      </c>
      <c r="AH105" s="61">
        <v>18862</v>
      </c>
      <c r="AI105" s="61" t="s">
        <v>190</v>
      </c>
      <c r="AJ105" s="61" t="s">
        <v>190</v>
      </c>
    </row>
    <row r="106" spans="1:36" x14ac:dyDescent="0.2">
      <c r="A106" s="16" t="s">
        <v>182</v>
      </c>
      <c r="B106" s="16" t="s">
        <v>89</v>
      </c>
      <c r="C106" s="18" t="s">
        <v>190</v>
      </c>
      <c r="D106" s="18" t="s">
        <v>190</v>
      </c>
      <c r="E106" s="18" t="s">
        <v>190</v>
      </c>
      <c r="F106" s="18" t="s">
        <v>190</v>
      </c>
      <c r="G106" s="18" t="s">
        <v>190</v>
      </c>
      <c r="H106" s="18" t="s">
        <v>190</v>
      </c>
      <c r="I106" s="18" t="s">
        <v>190</v>
      </c>
      <c r="J106" s="18" t="s">
        <v>190</v>
      </c>
      <c r="K106" s="18" t="s">
        <v>190</v>
      </c>
      <c r="L106" s="18" t="s">
        <v>190</v>
      </c>
      <c r="M106" s="31">
        <v>43913</v>
      </c>
      <c r="N106" s="31">
        <v>44863</v>
      </c>
      <c r="O106" s="31">
        <v>45777</v>
      </c>
      <c r="P106" s="31">
        <v>46069</v>
      </c>
      <c r="Q106" s="31">
        <v>47046</v>
      </c>
      <c r="R106" s="31">
        <v>47483</v>
      </c>
      <c r="S106" s="31">
        <v>47422</v>
      </c>
      <c r="T106" s="31">
        <v>46882</v>
      </c>
      <c r="U106" s="31">
        <v>46916</v>
      </c>
      <c r="V106" s="21">
        <v>46383</v>
      </c>
      <c r="W106" s="21">
        <v>46504</v>
      </c>
      <c r="X106" s="21">
        <v>46822</v>
      </c>
      <c r="Y106" s="21">
        <v>47208</v>
      </c>
      <c r="Z106" s="21">
        <v>46857</v>
      </c>
      <c r="AA106" s="21">
        <v>46760</v>
      </c>
      <c r="AB106" s="21">
        <v>47601</v>
      </c>
      <c r="AC106" s="21">
        <v>47964</v>
      </c>
      <c r="AD106" s="21">
        <v>47863</v>
      </c>
      <c r="AE106" s="21">
        <v>48012</v>
      </c>
      <c r="AF106" s="18">
        <v>47719</v>
      </c>
      <c r="AG106" s="18">
        <v>46457</v>
      </c>
      <c r="AH106" s="61">
        <v>47140</v>
      </c>
      <c r="AI106" s="61" t="s">
        <v>190</v>
      </c>
      <c r="AJ106" s="61" t="s">
        <v>190</v>
      </c>
    </row>
    <row r="107" spans="1:36" x14ac:dyDescent="0.2">
      <c r="A107" s="16" t="s">
        <v>182</v>
      </c>
      <c r="B107" s="16" t="s">
        <v>90</v>
      </c>
      <c r="C107" s="18" t="s">
        <v>190</v>
      </c>
      <c r="D107" s="18" t="s">
        <v>190</v>
      </c>
      <c r="E107" s="18" t="s">
        <v>190</v>
      </c>
      <c r="F107" s="18" t="s">
        <v>190</v>
      </c>
      <c r="G107" s="18" t="s">
        <v>190</v>
      </c>
      <c r="H107" s="18" t="s">
        <v>190</v>
      </c>
      <c r="I107" s="18" t="s">
        <v>190</v>
      </c>
      <c r="J107" s="18" t="s">
        <v>190</v>
      </c>
      <c r="K107" s="18" t="s">
        <v>190</v>
      </c>
      <c r="L107" s="18" t="s">
        <v>190</v>
      </c>
      <c r="M107" s="31">
        <v>14497</v>
      </c>
      <c r="N107" s="31">
        <v>14470</v>
      </c>
      <c r="O107" s="31">
        <v>14413</v>
      </c>
      <c r="P107" s="31">
        <v>14458</v>
      </c>
      <c r="Q107" s="31">
        <v>14504</v>
      </c>
      <c r="R107" s="31">
        <v>14475</v>
      </c>
      <c r="S107" s="31">
        <v>14449</v>
      </c>
      <c r="T107" s="31">
        <v>14541</v>
      </c>
      <c r="U107" s="31">
        <v>14528</v>
      </c>
      <c r="V107" s="21">
        <v>14542</v>
      </c>
      <c r="W107" s="21">
        <v>14567</v>
      </c>
      <c r="X107" s="21">
        <v>14510</v>
      </c>
      <c r="Y107" s="21">
        <v>14424</v>
      </c>
      <c r="Z107" s="21">
        <v>14422</v>
      </c>
      <c r="AA107" s="21">
        <v>14303</v>
      </c>
      <c r="AB107" s="21">
        <v>14242</v>
      </c>
      <c r="AC107" s="21">
        <v>14090</v>
      </c>
      <c r="AD107" s="21">
        <v>13911</v>
      </c>
      <c r="AE107" s="21">
        <v>13850</v>
      </c>
      <c r="AF107" s="18">
        <v>13729</v>
      </c>
      <c r="AG107" s="18">
        <v>13642</v>
      </c>
      <c r="AH107" s="61">
        <v>13521</v>
      </c>
      <c r="AI107" s="61" t="s">
        <v>190</v>
      </c>
      <c r="AJ107" s="61" t="s">
        <v>190</v>
      </c>
    </row>
    <row r="108" spans="1:36" x14ac:dyDescent="0.2">
      <c r="A108" s="16" t="s">
        <v>182</v>
      </c>
      <c r="B108" s="16" t="s">
        <v>91</v>
      </c>
      <c r="C108" s="18" t="s">
        <v>190</v>
      </c>
      <c r="D108" s="18" t="s">
        <v>190</v>
      </c>
      <c r="E108" s="18" t="s">
        <v>190</v>
      </c>
      <c r="F108" s="18" t="s">
        <v>190</v>
      </c>
      <c r="G108" s="18" t="s">
        <v>190</v>
      </c>
      <c r="H108" s="18" t="s">
        <v>190</v>
      </c>
      <c r="I108" s="18" t="s">
        <v>190</v>
      </c>
      <c r="J108" s="18" t="s">
        <v>190</v>
      </c>
      <c r="K108" s="18" t="s">
        <v>190</v>
      </c>
      <c r="L108" s="18" t="s">
        <v>190</v>
      </c>
      <c r="M108" s="31">
        <v>11655</v>
      </c>
      <c r="N108" s="31">
        <v>11679</v>
      </c>
      <c r="O108" s="31">
        <v>11754</v>
      </c>
      <c r="P108" s="31">
        <v>11889</v>
      </c>
      <c r="Q108" s="31">
        <v>11935</v>
      </c>
      <c r="R108" s="31">
        <v>12035</v>
      </c>
      <c r="S108" s="31">
        <v>12101</v>
      </c>
      <c r="T108" s="31">
        <v>12356</v>
      </c>
      <c r="U108" s="31">
        <v>12429</v>
      </c>
      <c r="V108" s="21">
        <v>12510</v>
      </c>
      <c r="W108" s="21">
        <v>12567</v>
      </c>
      <c r="X108" s="21">
        <v>12472</v>
      </c>
      <c r="Y108" s="21">
        <v>12368</v>
      </c>
      <c r="Z108" s="21">
        <v>12403</v>
      </c>
      <c r="AA108" s="21">
        <v>12430</v>
      </c>
      <c r="AB108" s="21">
        <v>12403</v>
      </c>
      <c r="AC108" s="21">
        <v>12286</v>
      </c>
      <c r="AD108" s="21">
        <v>12070</v>
      </c>
      <c r="AE108" s="21">
        <v>12083</v>
      </c>
      <c r="AF108" s="18">
        <v>12018</v>
      </c>
      <c r="AG108" s="18">
        <v>12066</v>
      </c>
      <c r="AH108" s="61">
        <v>12004</v>
      </c>
      <c r="AI108" s="61" t="s">
        <v>190</v>
      </c>
      <c r="AJ108" s="61" t="s">
        <v>190</v>
      </c>
    </row>
    <row r="109" spans="1:36" x14ac:dyDescent="0.2">
      <c r="A109" s="16" t="s">
        <v>182</v>
      </c>
      <c r="B109" s="16" t="s">
        <v>92</v>
      </c>
      <c r="C109" s="18" t="s">
        <v>190</v>
      </c>
      <c r="D109" s="18" t="s">
        <v>190</v>
      </c>
      <c r="E109" s="18" t="s">
        <v>190</v>
      </c>
      <c r="F109" s="18" t="s">
        <v>190</v>
      </c>
      <c r="G109" s="18" t="s">
        <v>190</v>
      </c>
      <c r="H109" s="18" t="s">
        <v>190</v>
      </c>
      <c r="I109" s="18" t="s">
        <v>190</v>
      </c>
      <c r="J109" s="18" t="s">
        <v>190</v>
      </c>
      <c r="K109" s="18" t="s">
        <v>190</v>
      </c>
      <c r="L109" s="18" t="s">
        <v>190</v>
      </c>
      <c r="M109" s="31">
        <v>20569</v>
      </c>
      <c r="N109" s="31">
        <v>20593</v>
      </c>
      <c r="O109" s="31">
        <v>20713</v>
      </c>
      <c r="P109" s="31">
        <v>21122</v>
      </c>
      <c r="Q109" s="31">
        <v>21306</v>
      </c>
      <c r="R109" s="31">
        <v>21516</v>
      </c>
      <c r="S109" s="31">
        <v>21863</v>
      </c>
      <c r="T109" s="31">
        <v>22155</v>
      </c>
      <c r="U109" s="31">
        <v>22195</v>
      </c>
      <c r="V109" s="21">
        <v>22306</v>
      </c>
      <c r="W109" s="21">
        <v>22281</v>
      </c>
      <c r="X109" s="21">
        <v>22258</v>
      </c>
      <c r="Y109" s="21">
        <v>22247</v>
      </c>
      <c r="Z109" s="21">
        <v>22308</v>
      </c>
      <c r="AA109" s="21">
        <v>22270</v>
      </c>
      <c r="AB109" s="21">
        <v>22222</v>
      </c>
      <c r="AC109" s="21">
        <v>22120</v>
      </c>
      <c r="AD109" s="21">
        <v>21952</v>
      </c>
      <c r="AE109" s="21">
        <v>21754</v>
      </c>
      <c r="AF109" s="18">
        <v>21615</v>
      </c>
      <c r="AG109" s="18">
        <v>21830</v>
      </c>
      <c r="AH109" s="61">
        <v>21766</v>
      </c>
      <c r="AI109" s="61" t="s">
        <v>190</v>
      </c>
      <c r="AJ109" s="61" t="s">
        <v>190</v>
      </c>
    </row>
    <row r="110" spans="1:36" x14ac:dyDescent="0.2">
      <c r="A110" s="16" t="s">
        <v>182</v>
      </c>
      <c r="B110" s="16" t="s">
        <v>93</v>
      </c>
      <c r="C110" s="18" t="s">
        <v>190</v>
      </c>
      <c r="D110" s="18" t="s">
        <v>190</v>
      </c>
      <c r="E110" s="18" t="s">
        <v>190</v>
      </c>
      <c r="F110" s="18" t="s">
        <v>190</v>
      </c>
      <c r="G110" s="18" t="s">
        <v>190</v>
      </c>
      <c r="H110" s="18" t="s">
        <v>190</v>
      </c>
      <c r="I110" s="18" t="s">
        <v>190</v>
      </c>
      <c r="J110" s="18" t="s">
        <v>190</v>
      </c>
      <c r="K110" s="18" t="s">
        <v>190</v>
      </c>
      <c r="L110" s="18" t="s">
        <v>190</v>
      </c>
      <c r="M110" s="31">
        <v>5366</v>
      </c>
      <c r="N110" s="31">
        <v>5389</v>
      </c>
      <c r="O110" s="31">
        <v>5540</v>
      </c>
      <c r="P110" s="31">
        <v>5685</v>
      </c>
      <c r="Q110" s="31">
        <v>5825</v>
      </c>
      <c r="R110" s="31">
        <v>5825</v>
      </c>
      <c r="S110" s="31">
        <v>5860</v>
      </c>
      <c r="T110" s="31">
        <v>5867</v>
      </c>
      <c r="U110" s="31">
        <v>5849</v>
      </c>
      <c r="V110" s="21">
        <v>5829</v>
      </c>
      <c r="W110" s="21">
        <v>5807</v>
      </c>
      <c r="X110" s="21">
        <v>5838</v>
      </c>
      <c r="Y110" s="21">
        <v>5854</v>
      </c>
      <c r="Z110" s="21">
        <v>5872</v>
      </c>
      <c r="AA110" s="21">
        <v>5891</v>
      </c>
      <c r="AB110" s="21">
        <v>5837</v>
      </c>
      <c r="AC110" s="21">
        <v>5785</v>
      </c>
      <c r="AD110" s="21">
        <v>5790</v>
      </c>
      <c r="AE110" s="21">
        <v>5756</v>
      </c>
      <c r="AF110" s="18">
        <v>5740</v>
      </c>
      <c r="AG110" s="18">
        <v>5881</v>
      </c>
      <c r="AH110" s="61">
        <v>5792</v>
      </c>
      <c r="AI110" s="61" t="s">
        <v>190</v>
      </c>
      <c r="AJ110" s="61" t="s">
        <v>190</v>
      </c>
    </row>
    <row r="111" spans="1:36" x14ac:dyDescent="0.2">
      <c r="A111" s="16" t="s">
        <v>182</v>
      </c>
      <c r="B111" s="16" t="s">
        <v>94</v>
      </c>
      <c r="C111" s="18" t="s">
        <v>190</v>
      </c>
      <c r="D111" s="18" t="s">
        <v>190</v>
      </c>
      <c r="E111" s="18" t="s">
        <v>190</v>
      </c>
      <c r="F111" s="18" t="s">
        <v>190</v>
      </c>
      <c r="G111" s="18" t="s">
        <v>190</v>
      </c>
      <c r="H111" s="18" t="s">
        <v>190</v>
      </c>
      <c r="I111" s="18" t="s">
        <v>190</v>
      </c>
      <c r="J111" s="18" t="s">
        <v>190</v>
      </c>
      <c r="K111" s="18" t="s">
        <v>190</v>
      </c>
      <c r="L111" s="18" t="s">
        <v>190</v>
      </c>
      <c r="M111" s="31">
        <v>21496</v>
      </c>
      <c r="N111" s="31">
        <v>21450</v>
      </c>
      <c r="O111" s="31">
        <v>21528</v>
      </c>
      <c r="P111" s="31">
        <v>21772</v>
      </c>
      <c r="Q111" s="31">
        <v>22090</v>
      </c>
      <c r="R111" s="31">
        <v>22282</v>
      </c>
      <c r="S111" s="31">
        <v>22445</v>
      </c>
      <c r="T111" s="31">
        <v>22563</v>
      </c>
      <c r="U111" s="31">
        <v>22668</v>
      </c>
      <c r="V111" s="21">
        <v>22925</v>
      </c>
      <c r="W111" s="21">
        <v>23035</v>
      </c>
      <c r="X111" s="21">
        <v>23006</v>
      </c>
      <c r="Y111" s="21">
        <v>22945</v>
      </c>
      <c r="Z111" s="21">
        <v>22813</v>
      </c>
      <c r="AA111" s="21">
        <v>22655</v>
      </c>
      <c r="AB111" s="21">
        <v>22478</v>
      </c>
      <c r="AC111" s="21">
        <v>22431</v>
      </c>
      <c r="AD111" s="21">
        <v>22266</v>
      </c>
      <c r="AE111" s="21">
        <v>22166</v>
      </c>
      <c r="AF111" s="18">
        <v>22020</v>
      </c>
      <c r="AG111" s="18">
        <v>22176</v>
      </c>
      <c r="AH111" s="61">
        <v>22164</v>
      </c>
      <c r="AI111" s="61" t="s">
        <v>190</v>
      </c>
      <c r="AJ111" s="61" t="s">
        <v>190</v>
      </c>
    </row>
    <row r="112" spans="1:36" x14ac:dyDescent="0.2">
      <c r="A112" s="16" t="s">
        <v>182</v>
      </c>
      <c r="B112" s="16" t="s">
        <v>95</v>
      </c>
      <c r="C112" s="18" t="s">
        <v>190</v>
      </c>
      <c r="D112" s="18" t="s">
        <v>190</v>
      </c>
      <c r="E112" s="18" t="s">
        <v>190</v>
      </c>
      <c r="F112" s="18" t="s">
        <v>190</v>
      </c>
      <c r="G112" s="18" t="s">
        <v>190</v>
      </c>
      <c r="H112" s="18" t="s">
        <v>190</v>
      </c>
      <c r="I112" s="18" t="s">
        <v>190</v>
      </c>
      <c r="J112" s="18" t="s">
        <v>190</v>
      </c>
      <c r="K112" s="18" t="s">
        <v>190</v>
      </c>
      <c r="L112" s="18" t="s">
        <v>190</v>
      </c>
      <c r="M112" s="31">
        <v>10044</v>
      </c>
      <c r="N112" s="31">
        <v>10079</v>
      </c>
      <c r="O112" s="31">
        <v>10114</v>
      </c>
      <c r="P112" s="31">
        <v>10155</v>
      </c>
      <c r="Q112" s="31">
        <v>10198</v>
      </c>
      <c r="R112" s="31">
        <v>10222</v>
      </c>
      <c r="S112" s="31">
        <v>10348</v>
      </c>
      <c r="T112" s="31">
        <v>10411</v>
      </c>
      <c r="U112" s="31">
        <v>10442</v>
      </c>
      <c r="V112" s="21">
        <v>10503</v>
      </c>
      <c r="W112" s="21">
        <v>10580</v>
      </c>
      <c r="X112" s="21">
        <v>10624</v>
      </c>
      <c r="Y112" s="21">
        <v>10544</v>
      </c>
      <c r="Z112" s="21">
        <v>10486</v>
      </c>
      <c r="AA112" s="21">
        <v>10331</v>
      </c>
      <c r="AB112" s="21">
        <v>10327</v>
      </c>
      <c r="AC112" s="21">
        <v>10337</v>
      </c>
      <c r="AD112" s="21">
        <v>10311</v>
      </c>
      <c r="AE112" s="21">
        <v>10378</v>
      </c>
      <c r="AF112" s="18">
        <v>10296</v>
      </c>
      <c r="AG112" s="18">
        <v>10514</v>
      </c>
      <c r="AH112" s="61">
        <v>10434</v>
      </c>
      <c r="AI112" s="61" t="s">
        <v>190</v>
      </c>
      <c r="AJ112" s="61" t="s">
        <v>190</v>
      </c>
    </row>
    <row r="113" spans="1:36" ht="27" customHeight="1" x14ac:dyDescent="0.2">
      <c r="A113" s="17" t="s">
        <v>183</v>
      </c>
      <c r="B113" s="9" t="s">
        <v>112</v>
      </c>
      <c r="C113" s="18" t="s">
        <v>190</v>
      </c>
      <c r="D113" s="18" t="s">
        <v>190</v>
      </c>
      <c r="E113" s="18" t="s">
        <v>190</v>
      </c>
      <c r="F113" s="18" t="s">
        <v>190</v>
      </c>
      <c r="G113" s="18" t="s">
        <v>190</v>
      </c>
      <c r="H113" s="18" t="s">
        <v>190</v>
      </c>
      <c r="I113" s="18" t="s">
        <v>190</v>
      </c>
      <c r="J113" s="18" t="s">
        <v>190</v>
      </c>
      <c r="K113" s="18" t="s">
        <v>190</v>
      </c>
      <c r="L113" s="18" t="s">
        <v>190</v>
      </c>
      <c r="M113" s="18">
        <v>56993</v>
      </c>
      <c r="N113" s="18">
        <v>56897</v>
      </c>
      <c r="O113" s="18">
        <v>57312</v>
      </c>
      <c r="P113" s="18">
        <v>57884</v>
      </c>
      <c r="Q113" s="18">
        <v>58130</v>
      </c>
      <c r="R113" s="18">
        <v>58277</v>
      </c>
      <c r="S113" s="18">
        <v>58398</v>
      </c>
      <c r="T113" s="18">
        <v>58308</v>
      </c>
      <c r="U113" s="18">
        <v>58095</v>
      </c>
      <c r="V113" s="21">
        <v>57920</v>
      </c>
      <c r="W113" s="21">
        <v>57762</v>
      </c>
      <c r="X113" s="21">
        <v>57831</v>
      </c>
      <c r="Y113" s="21">
        <v>58077</v>
      </c>
      <c r="Z113" s="21">
        <v>58081</v>
      </c>
      <c r="AA113" s="21">
        <v>57808</v>
      </c>
      <c r="AB113" s="21">
        <v>57703</v>
      </c>
      <c r="AC113" s="21">
        <v>57793</v>
      </c>
      <c r="AD113" s="21">
        <v>57435</v>
      </c>
      <c r="AE113" s="21">
        <v>57173</v>
      </c>
      <c r="AF113" s="18">
        <v>56897</v>
      </c>
      <c r="AG113" s="18">
        <v>57770</v>
      </c>
      <c r="AH113" s="61">
        <v>57752</v>
      </c>
      <c r="AI113" s="61" t="s">
        <v>190</v>
      </c>
      <c r="AJ113" s="61" t="s">
        <v>190</v>
      </c>
    </row>
    <row r="114" spans="1:36" x14ac:dyDescent="0.2">
      <c r="A114" s="16" t="s">
        <v>183</v>
      </c>
      <c r="B114" s="9" t="s">
        <v>113</v>
      </c>
      <c r="C114" s="18" t="s">
        <v>190</v>
      </c>
      <c r="D114" s="18" t="s">
        <v>190</v>
      </c>
      <c r="E114" s="18" t="s">
        <v>190</v>
      </c>
      <c r="F114" s="18" t="s">
        <v>190</v>
      </c>
      <c r="G114" s="18" t="s">
        <v>190</v>
      </c>
      <c r="H114" s="18" t="s">
        <v>190</v>
      </c>
      <c r="I114" s="18" t="s">
        <v>190</v>
      </c>
      <c r="J114" s="18" t="s">
        <v>190</v>
      </c>
      <c r="K114" s="18" t="s">
        <v>190</v>
      </c>
      <c r="L114" s="18" t="s">
        <v>190</v>
      </c>
      <c r="M114" s="18">
        <v>31155</v>
      </c>
      <c r="N114" s="18">
        <v>31246</v>
      </c>
      <c r="O114" s="18">
        <v>31414</v>
      </c>
      <c r="P114" s="18">
        <v>31732</v>
      </c>
      <c r="Q114" s="18">
        <v>31927</v>
      </c>
      <c r="R114" s="18">
        <v>32098</v>
      </c>
      <c r="S114" s="18">
        <v>32341</v>
      </c>
      <c r="T114" s="18">
        <v>32695</v>
      </c>
      <c r="U114" s="18">
        <v>32851</v>
      </c>
      <c r="V114" s="21">
        <v>33077</v>
      </c>
      <c r="W114" s="21">
        <v>33234</v>
      </c>
      <c r="X114" s="21">
        <v>33285</v>
      </c>
      <c r="Y114" s="21">
        <v>33098</v>
      </c>
      <c r="Z114" s="21">
        <v>33137</v>
      </c>
      <c r="AA114" s="21">
        <v>32891</v>
      </c>
      <c r="AB114" s="21">
        <v>32826</v>
      </c>
      <c r="AC114" s="21">
        <v>32672</v>
      </c>
      <c r="AD114" s="21">
        <v>32368</v>
      </c>
      <c r="AE114" s="21">
        <v>32438</v>
      </c>
      <c r="AF114" s="18">
        <v>32303</v>
      </c>
      <c r="AG114" s="18">
        <v>32733</v>
      </c>
      <c r="AH114" s="61">
        <v>32516</v>
      </c>
      <c r="AI114" s="61" t="s">
        <v>190</v>
      </c>
      <c r="AJ114" s="61" t="s">
        <v>190</v>
      </c>
    </row>
    <row r="115" spans="1:36" x14ac:dyDescent="0.2">
      <c r="A115" s="16" t="s">
        <v>183</v>
      </c>
      <c r="B115" s="9" t="s">
        <v>114</v>
      </c>
      <c r="C115" s="18" t="s">
        <v>190</v>
      </c>
      <c r="D115" s="18" t="s">
        <v>190</v>
      </c>
      <c r="E115" s="18" t="s">
        <v>190</v>
      </c>
      <c r="F115" s="18" t="s">
        <v>190</v>
      </c>
      <c r="G115" s="18" t="s">
        <v>190</v>
      </c>
      <c r="H115" s="18" t="s">
        <v>190</v>
      </c>
      <c r="I115" s="18" t="s">
        <v>190</v>
      </c>
      <c r="J115" s="18" t="s">
        <v>190</v>
      </c>
      <c r="K115" s="18" t="s">
        <v>190</v>
      </c>
      <c r="L115" s="18" t="s">
        <v>190</v>
      </c>
      <c r="M115" s="18">
        <v>107189</v>
      </c>
      <c r="N115" s="18">
        <v>108306</v>
      </c>
      <c r="O115" s="18">
        <v>109897</v>
      </c>
      <c r="P115" s="18">
        <v>111792</v>
      </c>
      <c r="Q115" s="18">
        <v>114335</v>
      </c>
      <c r="R115" s="18">
        <v>116491</v>
      </c>
      <c r="S115" s="18">
        <v>119065</v>
      </c>
      <c r="T115" s="18">
        <v>121219</v>
      </c>
      <c r="U115" s="18">
        <v>122468</v>
      </c>
      <c r="V115" s="21">
        <v>124084</v>
      </c>
      <c r="W115" s="21">
        <v>125839</v>
      </c>
      <c r="X115" s="21">
        <v>126539</v>
      </c>
      <c r="Y115" s="21">
        <v>127055</v>
      </c>
      <c r="Z115" s="21">
        <v>127690</v>
      </c>
      <c r="AA115" s="21">
        <v>128792</v>
      </c>
      <c r="AB115" s="21">
        <v>129360</v>
      </c>
      <c r="AC115" s="21">
        <v>130033</v>
      </c>
      <c r="AD115" s="21">
        <v>130150</v>
      </c>
      <c r="AE115" s="21">
        <v>130214</v>
      </c>
      <c r="AF115" s="18">
        <v>130180</v>
      </c>
      <c r="AG115" s="18">
        <v>131279</v>
      </c>
      <c r="AH115" s="61">
        <v>131848</v>
      </c>
      <c r="AI115" s="61" t="s">
        <v>190</v>
      </c>
      <c r="AJ115" s="61" t="s">
        <v>190</v>
      </c>
    </row>
    <row r="116" spans="1:36" x14ac:dyDescent="0.2">
      <c r="A116" s="16" t="s">
        <v>183</v>
      </c>
      <c r="B116" s="9" t="s">
        <v>115</v>
      </c>
      <c r="C116" s="18" t="s">
        <v>190</v>
      </c>
      <c r="D116" s="18" t="s">
        <v>190</v>
      </c>
      <c r="E116" s="18" t="s">
        <v>190</v>
      </c>
      <c r="F116" s="18" t="s">
        <v>190</v>
      </c>
      <c r="G116" s="18" t="s">
        <v>190</v>
      </c>
      <c r="H116" s="18" t="s">
        <v>190</v>
      </c>
      <c r="I116" s="18" t="s">
        <v>190</v>
      </c>
      <c r="J116" s="18" t="s">
        <v>190</v>
      </c>
      <c r="K116" s="18" t="s">
        <v>190</v>
      </c>
      <c r="L116" s="18" t="s">
        <v>190</v>
      </c>
      <c r="M116" s="18">
        <v>29687</v>
      </c>
      <c r="N116" s="18">
        <v>29797</v>
      </c>
      <c r="O116" s="18">
        <v>30228</v>
      </c>
      <c r="P116" s="18">
        <v>30774</v>
      </c>
      <c r="Q116" s="18">
        <v>31311</v>
      </c>
      <c r="R116" s="18">
        <v>31581</v>
      </c>
      <c r="S116" s="18">
        <v>31818</v>
      </c>
      <c r="T116" s="18">
        <v>31972</v>
      </c>
      <c r="U116" s="18">
        <v>32114</v>
      </c>
      <c r="V116" s="21">
        <v>32283</v>
      </c>
      <c r="W116" s="21">
        <v>32323</v>
      </c>
      <c r="X116" s="21">
        <v>32471</v>
      </c>
      <c r="Y116" s="21">
        <v>32767</v>
      </c>
      <c r="Z116" s="21">
        <v>32736</v>
      </c>
      <c r="AA116" s="21">
        <v>32999</v>
      </c>
      <c r="AB116" s="21">
        <v>33098</v>
      </c>
      <c r="AC116" s="21">
        <v>33267</v>
      </c>
      <c r="AD116" s="21">
        <v>33418</v>
      </c>
      <c r="AE116" s="21">
        <v>33412</v>
      </c>
      <c r="AF116" s="18">
        <v>33441</v>
      </c>
      <c r="AG116" s="18">
        <v>34237</v>
      </c>
      <c r="AH116" s="61">
        <v>34103</v>
      </c>
      <c r="AI116" s="61" t="s">
        <v>190</v>
      </c>
      <c r="AJ116" s="61" t="s">
        <v>190</v>
      </c>
    </row>
    <row r="117" spans="1:36" x14ac:dyDescent="0.2">
      <c r="A117" s="16" t="s">
        <v>183</v>
      </c>
      <c r="B117" s="9" t="s">
        <v>13</v>
      </c>
      <c r="C117" s="18" t="s">
        <v>190</v>
      </c>
      <c r="D117" s="18" t="s">
        <v>190</v>
      </c>
      <c r="E117" s="18" t="s">
        <v>190</v>
      </c>
      <c r="F117" s="18" t="s">
        <v>190</v>
      </c>
      <c r="G117" s="18" t="s">
        <v>190</v>
      </c>
      <c r="H117" s="18" t="s">
        <v>190</v>
      </c>
      <c r="I117" s="18" t="s">
        <v>190</v>
      </c>
      <c r="J117" s="18" t="s">
        <v>190</v>
      </c>
      <c r="K117" s="18" t="s">
        <v>190</v>
      </c>
      <c r="L117" s="18" t="s">
        <v>190</v>
      </c>
      <c r="M117" s="18">
        <v>69512</v>
      </c>
      <c r="N117" s="18">
        <v>70457</v>
      </c>
      <c r="O117" s="18">
        <v>71541</v>
      </c>
      <c r="P117" s="18">
        <v>72223</v>
      </c>
      <c r="Q117" s="18">
        <v>73127</v>
      </c>
      <c r="R117" s="18">
        <v>74004</v>
      </c>
      <c r="S117" s="18">
        <v>74630</v>
      </c>
      <c r="T117" s="18">
        <v>76036</v>
      </c>
      <c r="U117" s="18">
        <v>76234</v>
      </c>
      <c r="V117" s="21">
        <v>76751</v>
      </c>
      <c r="W117" s="21">
        <v>76551</v>
      </c>
      <c r="X117" s="21">
        <v>76164</v>
      </c>
      <c r="Y117" s="21">
        <v>77560</v>
      </c>
      <c r="Z117" s="21">
        <v>77975</v>
      </c>
      <c r="AA117" s="21">
        <v>78752</v>
      </c>
      <c r="AB117" s="21">
        <v>79111</v>
      </c>
      <c r="AC117" s="21">
        <v>78867</v>
      </c>
      <c r="AD117" s="21">
        <v>78460</v>
      </c>
      <c r="AE117" s="21">
        <v>78508</v>
      </c>
      <c r="AF117" s="18">
        <v>78219</v>
      </c>
      <c r="AG117" s="18">
        <v>78690</v>
      </c>
      <c r="AH117" s="61">
        <v>78654</v>
      </c>
      <c r="AI117" s="61" t="s">
        <v>190</v>
      </c>
      <c r="AJ117" s="61" t="s">
        <v>190</v>
      </c>
    </row>
    <row r="118" spans="1:36" x14ac:dyDescent="0.2">
      <c r="A118" s="16" t="s">
        <v>183</v>
      </c>
      <c r="B118" s="9" t="s">
        <v>116</v>
      </c>
      <c r="C118" s="18" t="s">
        <v>190</v>
      </c>
      <c r="D118" s="18" t="s">
        <v>190</v>
      </c>
      <c r="E118" s="18" t="s">
        <v>190</v>
      </c>
      <c r="F118" s="18" t="s">
        <v>190</v>
      </c>
      <c r="G118" s="18" t="s">
        <v>190</v>
      </c>
      <c r="H118" s="18" t="s">
        <v>190</v>
      </c>
      <c r="I118" s="18" t="s">
        <v>190</v>
      </c>
      <c r="J118" s="18" t="s">
        <v>190</v>
      </c>
      <c r="K118" s="18" t="s">
        <v>190</v>
      </c>
      <c r="L118" s="18" t="s">
        <v>190</v>
      </c>
      <c r="M118" s="18">
        <v>15405</v>
      </c>
      <c r="N118" s="18">
        <v>15512</v>
      </c>
      <c r="O118" s="18">
        <v>15760</v>
      </c>
      <c r="P118" s="18">
        <v>16070</v>
      </c>
      <c r="Q118" s="18">
        <v>16305</v>
      </c>
      <c r="R118" s="18">
        <v>16630</v>
      </c>
      <c r="S118" s="18">
        <v>16907</v>
      </c>
      <c r="T118" s="18">
        <v>17083</v>
      </c>
      <c r="U118" s="18">
        <v>17290</v>
      </c>
      <c r="V118" s="21">
        <v>17580</v>
      </c>
      <c r="W118" s="21">
        <v>17823</v>
      </c>
      <c r="X118" s="21">
        <v>17945</v>
      </c>
      <c r="Y118" s="21">
        <v>18003</v>
      </c>
      <c r="Z118" s="21">
        <v>18025</v>
      </c>
      <c r="AA118" s="21">
        <v>18066</v>
      </c>
      <c r="AB118" s="21">
        <v>18186</v>
      </c>
      <c r="AC118" s="21">
        <v>18255</v>
      </c>
      <c r="AD118" s="21">
        <v>18353</v>
      </c>
      <c r="AE118" s="21">
        <v>18337</v>
      </c>
      <c r="AF118" s="18">
        <v>18436</v>
      </c>
      <c r="AG118" s="18">
        <v>18496</v>
      </c>
      <c r="AH118" s="61">
        <v>18541</v>
      </c>
      <c r="AI118" s="61" t="s">
        <v>190</v>
      </c>
      <c r="AJ118" s="61" t="s">
        <v>190</v>
      </c>
    </row>
    <row r="119" spans="1:36" x14ac:dyDescent="0.2">
      <c r="A119" s="16" t="s">
        <v>183</v>
      </c>
      <c r="B119" s="9" t="s">
        <v>117</v>
      </c>
      <c r="C119" s="18" t="s">
        <v>190</v>
      </c>
      <c r="D119" s="18" t="s">
        <v>190</v>
      </c>
      <c r="E119" s="18" t="s">
        <v>190</v>
      </c>
      <c r="F119" s="18" t="s">
        <v>190</v>
      </c>
      <c r="G119" s="18" t="s">
        <v>190</v>
      </c>
      <c r="H119" s="18" t="s">
        <v>190</v>
      </c>
      <c r="I119" s="18" t="s">
        <v>190</v>
      </c>
      <c r="J119" s="18" t="s">
        <v>190</v>
      </c>
      <c r="K119" s="18" t="s">
        <v>190</v>
      </c>
      <c r="L119" s="18" t="s">
        <v>190</v>
      </c>
      <c r="M119" s="18">
        <v>21496</v>
      </c>
      <c r="N119" s="18">
        <v>21450</v>
      </c>
      <c r="O119" s="18">
        <v>21528</v>
      </c>
      <c r="P119" s="18">
        <v>21772</v>
      </c>
      <c r="Q119" s="18">
        <v>22090</v>
      </c>
      <c r="R119" s="18">
        <v>22282</v>
      </c>
      <c r="S119" s="18">
        <v>22445</v>
      </c>
      <c r="T119" s="18">
        <v>22563</v>
      </c>
      <c r="U119" s="18">
        <v>22668</v>
      </c>
      <c r="V119" s="21">
        <v>22925</v>
      </c>
      <c r="W119" s="21">
        <v>23035</v>
      </c>
      <c r="X119" s="21">
        <v>23006</v>
      </c>
      <c r="Y119" s="21">
        <v>22945</v>
      </c>
      <c r="Z119" s="21">
        <v>22813</v>
      </c>
      <c r="AA119" s="21">
        <v>22655</v>
      </c>
      <c r="AB119" s="21">
        <v>22478</v>
      </c>
      <c r="AC119" s="21">
        <v>22431</v>
      </c>
      <c r="AD119" s="21">
        <v>22266</v>
      </c>
      <c r="AE119" s="21">
        <v>22166</v>
      </c>
      <c r="AF119" s="18">
        <v>22020</v>
      </c>
      <c r="AG119" s="18">
        <v>22176</v>
      </c>
      <c r="AH119" s="61">
        <v>22164</v>
      </c>
      <c r="AI119" s="61" t="s">
        <v>190</v>
      </c>
      <c r="AJ119" s="61" t="s">
        <v>190</v>
      </c>
    </row>
    <row r="120" spans="1:36" x14ac:dyDescent="0.2">
      <c r="A120" s="16" t="s">
        <v>183</v>
      </c>
      <c r="B120" s="9" t="s">
        <v>118</v>
      </c>
      <c r="C120" s="18" t="s">
        <v>190</v>
      </c>
      <c r="D120" s="18" t="s">
        <v>190</v>
      </c>
      <c r="E120" s="18" t="s">
        <v>190</v>
      </c>
      <c r="F120" s="18" t="s">
        <v>190</v>
      </c>
      <c r="G120" s="18" t="s">
        <v>190</v>
      </c>
      <c r="H120" s="18" t="s">
        <v>190</v>
      </c>
      <c r="I120" s="18" t="s">
        <v>190</v>
      </c>
      <c r="J120" s="18" t="s">
        <v>190</v>
      </c>
      <c r="K120" s="18" t="s">
        <v>190</v>
      </c>
      <c r="L120" s="18" t="s">
        <v>190</v>
      </c>
      <c r="M120" s="18">
        <v>17176</v>
      </c>
      <c r="N120" s="18">
        <v>17253</v>
      </c>
      <c r="O120" s="18">
        <v>17296</v>
      </c>
      <c r="P120" s="18">
        <v>17461</v>
      </c>
      <c r="Q120" s="18">
        <v>17623</v>
      </c>
      <c r="R120" s="18">
        <v>17698</v>
      </c>
      <c r="S120" s="18">
        <v>17861</v>
      </c>
      <c r="T120" s="18">
        <v>18054</v>
      </c>
      <c r="U120" s="18">
        <v>18351</v>
      </c>
      <c r="V120" s="21">
        <v>18575</v>
      </c>
      <c r="W120" s="21">
        <v>18765</v>
      </c>
      <c r="X120" s="21">
        <v>18793</v>
      </c>
      <c r="Y120" s="21">
        <v>18816</v>
      </c>
      <c r="Z120" s="21">
        <v>18993</v>
      </c>
      <c r="AA120" s="21">
        <v>19075</v>
      </c>
      <c r="AB120" s="21">
        <v>18964</v>
      </c>
      <c r="AC120" s="21">
        <v>18816</v>
      </c>
      <c r="AD120" s="21">
        <v>18729</v>
      </c>
      <c r="AE120" s="21">
        <v>18614</v>
      </c>
      <c r="AF120" s="18">
        <v>18623</v>
      </c>
      <c r="AG120" s="18">
        <v>18723</v>
      </c>
      <c r="AH120" s="61">
        <v>18862</v>
      </c>
      <c r="AI120" s="61" t="s">
        <v>190</v>
      </c>
      <c r="AJ120" s="61" t="s">
        <v>190</v>
      </c>
    </row>
    <row r="121" spans="1:36" x14ac:dyDescent="0.2">
      <c r="A121" s="16" t="s">
        <v>183</v>
      </c>
      <c r="B121" s="9" t="s">
        <v>184</v>
      </c>
      <c r="C121" s="18" t="s">
        <v>190</v>
      </c>
      <c r="D121" s="18" t="s">
        <v>190</v>
      </c>
      <c r="E121" s="18" t="s">
        <v>190</v>
      </c>
      <c r="F121" s="18" t="s">
        <v>190</v>
      </c>
      <c r="G121" s="18" t="s">
        <v>190</v>
      </c>
      <c r="H121" s="18" t="s">
        <v>190</v>
      </c>
      <c r="I121" s="18" t="s">
        <v>190</v>
      </c>
      <c r="J121" s="18" t="s">
        <v>190</v>
      </c>
      <c r="K121" s="18" t="s">
        <v>190</v>
      </c>
      <c r="L121" s="18" t="s">
        <v>190</v>
      </c>
      <c r="M121" s="21">
        <f t="shared" ref="M121:V121" si="4">SUM(M113:M120)</f>
        <v>348613</v>
      </c>
      <c r="N121" s="21">
        <f t="shared" si="4"/>
        <v>350918</v>
      </c>
      <c r="O121" s="21">
        <f t="shared" si="4"/>
        <v>354976</v>
      </c>
      <c r="P121" s="21">
        <f t="shared" si="4"/>
        <v>359708</v>
      </c>
      <c r="Q121" s="21">
        <f t="shared" si="4"/>
        <v>364848</v>
      </c>
      <c r="R121" s="21">
        <f t="shared" si="4"/>
        <v>369061</v>
      </c>
      <c r="S121" s="21">
        <f t="shared" si="4"/>
        <v>373465</v>
      </c>
      <c r="T121" s="21">
        <f t="shared" si="4"/>
        <v>377930</v>
      </c>
      <c r="U121" s="21">
        <f t="shared" si="4"/>
        <v>380071</v>
      </c>
      <c r="V121" s="21">
        <f t="shared" si="4"/>
        <v>383195</v>
      </c>
      <c r="W121" s="21">
        <v>385332</v>
      </c>
      <c r="X121" s="21">
        <v>386034</v>
      </c>
      <c r="Y121" s="21">
        <v>388321</v>
      </c>
      <c r="Z121" s="21">
        <v>389450</v>
      </c>
      <c r="AA121" s="21">
        <v>391038</v>
      </c>
      <c r="AB121" s="21">
        <v>391726</v>
      </c>
      <c r="AC121" s="21">
        <v>392134</v>
      </c>
      <c r="AD121" s="21">
        <v>391179</v>
      </c>
      <c r="AE121" s="21">
        <v>390862</v>
      </c>
      <c r="AF121" s="21">
        <v>390119</v>
      </c>
      <c r="AG121" s="18">
        <v>394104</v>
      </c>
      <c r="AH121" s="61">
        <v>394440</v>
      </c>
      <c r="AI121" s="61" t="s">
        <v>190</v>
      </c>
      <c r="AJ121" s="61" t="s">
        <v>190</v>
      </c>
    </row>
    <row r="122" spans="1:36" ht="28.5" customHeight="1" x14ac:dyDescent="0.2">
      <c r="A122" s="17" t="s">
        <v>185</v>
      </c>
      <c r="B122" s="17" t="s">
        <v>111</v>
      </c>
      <c r="C122" s="18" t="s">
        <v>190</v>
      </c>
      <c r="D122" s="18" t="s">
        <v>190</v>
      </c>
      <c r="E122" s="18" t="s">
        <v>190</v>
      </c>
      <c r="F122" s="18" t="s">
        <v>190</v>
      </c>
      <c r="G122" s="18" t="s">
        <v>190</v>
      </c>
      <c r="H122" s="18" t="s">
        <v>190</v>
      </c>
      <c r="I122" s="18" t="s">
        <v>190</v>
      </c>
      <c r="J122" s="18" t="s">
        <v>190</v>
      </c>
      <c r="K122" s="18" t="s">
        <v>190</v>
      </c>
      <c r="L122" s="18" t="s">
        <v>190</v>
      </c>
      <c r="M122" s="18">
        <v>16421</v>
      </c>
      <c r="N122" s="18">
        <v>15914</v>
      </c>
      <c r="O122" s="18">
        <v>15366</v>
      </c>
      <c r="P122" s="18">
        <v>15049</v>
      </c>
      <c r="Q122" s="18">
        <v>14866</v>
      </c>
      <c r="R122" s="18">
        <v>14989</v>
      </c>
      <c r="S122" s="18">
        <v>15257</v>
      </c>
      <c r="T122" s="18">
        <v>15655</v>
      </c>
      <c r="U122" s="18">
        <v>16257</v>
      </c>
      <c r="V122" s="21">
        <v>16660</v>
      </c>
      <c r="W122" s="21">
        <v>16803</v>
      </c>
      <c r="X122" s="21">
        <v>16885</v>
      </c>
      <c r="Y122" s="21">
        <v>17018</v>
      </c>
      <c r="Z122" s="21">
        <v>17114</v>
      </c>
      <c r="AA122" s="21">
        <v>17910</v>
      </c>
      <c r="AB122" s="21">
        <v>18462</v>
      </c>
      <c r="AC122" s="21">
        <v>19025</v>
      </c>
      <c r="AD122" s="21">
        <v>19489</v>
      </c>
      <c r="AE122" s="21">
        <v>19809</v>
      </c>
      <c r="AF122" s="18">
        <v>19897</v>
      </c>
      <c r="AG122" s="18">
        <v>20247</v>
      </c>
      <c r="AH122" s="61">
        <v>20764</v>
      </c>
      <c r="AI122" s="61" t="s">
        <v>190</v>
      </c>
      <c r="AJ122" s="61" t="s">
        <v>190</v>
      </c>
    </row>
    <row r="123" spans="1:36" x14ac:dyDescent="0.2">
      <c r="A123" s="17" t="s">
        <v>185</v>
      </c>
      <c r="B123" s="9" t="s">
        <v>186</v>
      </c>
      <c r="C123" s="18" t="s">
        <v>190</v>
      </c>
      <c r="D123" s="18" t="s">
        <v>190</v>
      </c>
      <c r="E123" s="18" t="s">
        <v>190</v>
      </c>
      <c r="F123" s="18" t="s">
        <v>190</v>
      </c>
      <c r="G123" s="18" t="s">
        <v>190</v>
      </c>
      <c r="H123" s="18" t="s">
        <v>190</v>
      </c>
      <c r="I123" s="18" t="s">
        <v>190</v>
      </c>
      <c r="J123" s="18" t="s">
        <v>190</v>
      </c>
      <c r="K123" s="18" t="s">
        <v>190</v>
      </c>
      <c r="L123" s="18" t="s">
        <v>190</v>
      </c>
      <c r="M123" s="18">
        <v>197627</v>
      </c>
      <c r="N123" s="18">
        <v>198621</v>
      </c>
      <c r="O123" s="18">
        <v>198352</v>
      </c>
      <c r="P123" s="18">
        <v>198517</v>
      </c>
      <c r="Q123" s="18">
        <v>199302</v>
      </c>
      <c r="R123" s="18">
        <v>201024</v>
      </c>
      <c r="S123" s="18">
        <v>203607</v>
      </c>
      <c r="T123" s="18">
        <v>205926</v>
      </c>
      <c r="U123" s="18">
        <v>209335</v>
      </c>
      <c r="V123" s="18">
        <v>212338</v>
      </c>
      <c r="W123" s="18">
        <v>216355</v>
      </c>
      <c r="X123" s="18">
        <v>216522</v>
      </c>
      <c r="Y123" s="18">
        <v>218853</v>
      </c>
      <c r="Z123" s="18">
        <v>219838</v>
      </c>
      <c r="AA123" s="18">
        <v>222531</v>
      </c>
      <c r="AB123" s="18">
        <v>225858</v>
      </c>
      <c r="AC123" s="18">
        <v>228301</v>
      </c>
      <c r="AD123" s="18">
        <v>230824</v>
      </c>
      <c r="AE123" s="18">
        <v>233977</v>
      </c>
      <c r="AF123" s="18">
        <v>235273</v>
      </c>
      <c r="AG123" s="18">
        <v>237140</v>
      </c>
      <c r="AH123" s="61">
        <v>242825</v>
      </c>
      <c r="AI123" s="61" t="s">
        <v>190</v>
      </c>
      <c r="AJ123" s="61" t="s">
        <v>190</v>
      </c>
    </row>
    <row r="124" spans="1:36" x14ac:dyDescent="0.2">
      <c r="A124" s="17" t="s">
        <v>185</v>
      </c>
      <c r="B124" s="9" t="s">
        <v>151</v>
      </c>
      <c r="C124" s="18" t="s">
        <v>190</v>
      </c>
      <c r="D124" s="18" t="s">
        <v>190</v>
      </c>
      <c r="E124" s="18" t="s">
        <v>190</v>
      </c>
      <c r="F124" s="18" t="s">
        <v>190</v>
      </c>
      <c r="G124" s="18" t="s">
        <v>190</v>
      </c>
      <c r="H124" s="18" t="s">
        <v>190</v>
      </c>
      <c r="I124" s="18" t="s">
        <v>190</v>
      </c>
      <c r="J124" s="18" t="s">
        <v>190</v>
      </c>
      <c r="K124" s="18" t="s">
        <v>190</v>
      </c>
      <c r="L124" s="18" t="s">
        <v>190</v>
      </c>
      <c r="M124" s="18">
        <v>461288</v>
      </c>
      <c r="N124" s="18">
        <v>463110</v>
      </c>
      <c r="O124" s="18">
        <v>462281</v>
      </c>
      <c r="P124" s="18">
        <v>463296</v>
      </c>
      <c r="Q124" s="18">
        <v>465052</v>
      </c>
      <c r="R124" s="18">
        <v>466559</v>
      </c>
      <c r="S124" s="18">
        <v>470962</v>
      </c>
      <c r="T124" s="18">
        <v>475632</v>
      </c>
      <c r="U124" s="18">
        <v>480870</v>
      </c>
      <c r="V124" s="18">
        <v>487069</v>
      </c>
      <c r="W124" s="18">
        <v>493372</v>
      </c>
      <c r="X124" s="18">
        <v>495093</v>
      </c>
      <c r="Y124" s="18">
        <v>496033</v>
      </c>
      <c r="Z124" s="18">
        <v>497275</v>
      </c>
      <c r="AA124" s="18">
        <v>501456</v>
      </c>
      <c r="AB124" s="18">
        <v>507113</v>
      </c>
      <c r="AC124" s="18">
        <v>511130</v>
      </c>
      <c r="AD124" s="18">
        <v>515145</v>
      </c>
      <c r="AE124" s="18">
        <v>520100</v>
      </c>
      <c r="AF124" s="18">
        <v>521945</v>
      </c>
      <c r="AG124" s="18">
        <v>522355</v>
      </c>
      <c r="AH124" s="61">
        <v>532177</v>
      </c>
      <c r="AI124" s="61" t="s">
        <v>190</v>
      </c>
      <c r="AJ124" s="61" t="s">
        <v>190</v>
      </c>
    </row>
    <row r="125" spans="1:36" ht="34.5" customHeight="1" x14ac:dyDescent="0.2">
      <c r="A125" s="91" t="s">
        <v>270</v>
      </c>
      <c r="B125" s="92" t="s">
        <v>271</v>
      </c>
      <c r="C125" s="18" t="s">
        <v>190</v>
      </c>
      <c r="D125" s="18" t="s">
        <v>190</v>
      </c>
      <c r="E125" s="18" t="s">
        <v>190</v>
      </c>
      <c r="F125" s="18" t="s">
        <v>190</v>
      </c>
      <c r="G125" s="18" t="s">
        <v>190</v>
      </c>
      <c r="H125" s="18" t="s">
        <v>190</v>
      </c>
      <c r="I125" s="18" t="s">
        <v>190</v>
      </c>
      <c r="J125" s="18" t="s">
        <v>190</v>
      </c>
      <c r="K125" s="18" t="s">
        <v>190</v>
      </c>
      <c r="L125" s="18" t="s">
        <v>190</v>
      </c>
      <c r="M125" s="101">
        <v>6799</v>
      </c>
      <c r="N125" s="101">
        <v>6850</v>
      </c>
      <c r="O125" s="101">
        <v>6899</v>
      </c>
      <c r="P125" s="101">
        <v>6962</v>
      </c>
      <c r="Q125" s="101">
        <v>7075</v>
      </c>
      <c r="R125" s="101">
        <v>7019</v>
      </c>
      <c r="S125" s="101">
        <v>7019</v>
      </c>
      <c r="T125" s="101">
        <v>7024</v>
      </c>
      <c r="U125" s="101">
        <v>6989</v>
      </c>
      <c r="V125" s="103">
        <v>6909</v>
      </c>
      <c r="W125" s="103">
        <v>6915</v>
      </c>
      <c r="X125" s="103">
        <v>6946</v>
      </c>
      <c r="Y125" s="103">
        <v>6955</v>
      </c>
      <c r="Z125" s="103">
        <v>7001</v>
      </c>
      <c r="AA125" s="103">
        <v>6984</v>
      </c>
      <c r="AB125" s="103">
        <v>6957</v>
      </c>
      <c r="AC125" s="103">
        <v>7041</v>
      </c>
      <c r="AD125" s="103">
        <v>7065</v>
      </c>
      <c r="AE125" s="103">
        <v>7056</v>
      </c>
      <c r="AF125" s="103">
        <v>7002</v>
      </c>
      <c r="AG125" s="61">
        <v>7235</v>
      </c>
      <c r="AH125" s="61">
        <v>7256</v>
      </c>
      <c r="AI125" s="61" t="s">
        <v>190</v>
      </c>
      <c r="AJ125" s="61" t="s">
        <v>190</v>
      </c>
    </row>
    <row r="126" spans="1:36" x14ac:dyDescent="0.2">
      <c r="A126" s="91" t="s">
        <v>270</v>
      </c>
      <c r="B126" s="92" t="s">
        <v>272</v>
      </c>
      <c r="C126" s="18" t="s">
        <v>190</v>
      </c>
      <c r="D126" s="18" t="s">
        <v>190</v>
      </c>
      <c r="E126" s="18" t="s">
        <v>190</v>
      </c>
      <c r="F126" s="18" t="s">
        <v>190</v>
      </c>
      <c r="G126" s="18" t="s">
        <v>190</v>
      </c>
      <c r="H126" s="18" t="s">
        <v>190</v>
      </c>
      <c r="I126" s="18" t="s">
        <v>190</v>
      </c>
      <c r="J126" s="18" t="s">
        <v>190</v>
      </c>
      <c r="K126" s="18" t="s">
        <v>190</v>
      </c>
      <c r="L126" s="18" t="s">
        <v>190</v>
      </c>
      <c r="M126" s="101">
        <v>11387</v>
      </c>
      <c r="N126" s="101">
        <v>11424</v>
      </c>
      <c r="O126" s="101">
        <v>11517</v>
      </c>
      <c r="P126" s="101">
        <v>11507</v>
      </c>
      <c r="Q126" s="101">
        <v>11445</v>
      </c>
      <c r="R126" s="101">
        <v>11438</v>
      </c>
      <c r="S126" s="101">
        <v>11317</v>
      </c>
      <c r="T126" s="101">
        <v>11245</v>
      </c>
      <c r="U126" s="101">
        <v>11063</v>
      </c>
      <c r="V126" s="103">
        <v>10851</v>
      </c>
      <c r="W126" s="103">
        <v>10847</v>
      </c>
      <c r="X126" s="103">
        <v>10781</v>
      </c>
      <c r="Y126" s="103">
        <v>10817</v>
      </c>
      <c r="Z126" s="103">
        <v>10725</v>
      </c>
      <c r="AA126" s="103">
        <v>10641</v>
      </c>
      <c r="AB126" s="103">
        <v>10594</v>
      </c>
      <c r="AC126" s="103">
        <v>10663</v>
      </c>
      <c r="AD126" s="103">
        <v>10601</v>
      </c>
      <c r="AE126" s="103">
        <v>10505</v>
      </c>
      <c r="AF126" s="103">
        <v>10373</v>
      </c>
      <c r="AG126" s="61">
        <v>10549</v>
      </c>
      <c r="AH126" s="61">
        <v>10490</v>
      </c>
      <c r="AI126" s="61" t="s">
        <v>190</v>
      </c>
      <c r="AJ126" s="61" t="s">
        <v>190</v>
      </c>
    </row>
    <row r="127" spans="1:36" x14ac:dyDescent="0.2">
      <c r="A127" s="91" t="s">
        <v>270</v>
      </c>
      <c r="B127" s="92" t="s">
        <v>273</v>
      </c>
      <c r="C127" s="18" t="s">
        <v>190</v>
      </c>
      <c r="D127" s="18" t="s">
        <v>190</v>
      </c>
      <c r="E127" s="18" t="s">
        <v>190</v>
      </c>
      <c r="F127" s="18" t="s">
        <v>190</v>
      </c>
      <c r="G127" s="18" t="s">
        <v>190</v>
      </c>
      <c r="H127" s="18" t="s">
        <v>190</v>
      </c>
      <c r="I127" s="18" t="s">
        <v>190</v>
      </c>
      <c r="J127" s="18" t="s">
        <v>190</v>
      </c>
      <c r="K127" s="18" t="s">
        <v>190</v>
      </c>
      <c r="L127" s="18" t="s">
        <v>190</v>
      </c>
      <c r="M127" s="101">
        <v>7602</v>
      </c>
      <c r="N127" s="101">
        <v>7666</v>
      </c>
      <c r="O127" s="101">
        <v>7763</v>
      </c>
      <c r="P127" s="101">
        <v>7903</v>
      </c>
      <c r="Q127" s="101">
        <v>8053</v>
      </c>
      <c r="R127" s="101">
        <v>8168</v>
      </c>
      <c r="S127" s="101">
        <v>8311</v>
      </c>
      <c r="T127" s="101">
        <v>8400</v>
      </c>
      <c r="U127" s="101">
        <v>8509</v>
      </c>
      <c r="V127" s="103">
        <v>8511</v>
      </c>
      <c r="W127" s="103">
        <v>8549</v>
      </c>
      <c r="X127" s="103">
        <v>8581</v>
      </c>
      <c r="Y127" s="103">
        <v>8740</v>
      </c>
      <c r="Z127" s="103">
        <v>8796</v>
      </c>
      <c r="AA127" s="103">
        <v>8869</v>
      </c>
      <c r="AB127" s="103">
        <v>8940</v>
      </c>
      <c r="AC127" s="103">
        <v>8999</v>
      </c>
      <c r="AD127" s="103">
        <v>9074</v>
      </c>
      <c r="AE127" s="103">
        <v>9099</v>
      </c>
      <c r="AF127" s="103">
        <v>9084</v>
      </c>
      <c r="AG127" s="61">
        <v>9279</v>
      </c>
      <c r="AH127" s="61">
        <v>9199</v>
      </c>
      <c r="AI127" s="61" t="s">
        <v>190</v>
      </c>
      <c r="AJ127" s="61" t="s">
        <v>190</v>
      </c>
    </row>
    <row r="128" spans="1:36" x14ac:dyDescent="0.2">
      <c r="A128" s="91" t="s">
        <v>270</v>
      </c>
      <c r="B128" s="92" t="s">
        <v>274</v>
      </c>
      <c r="C128" s="18" t="s">
        <v>190</v>
      </c>
      <c r="D128" s="18" t="s">
        <v>190</v>
      </c>
      <c r="E128" s="18" t="s">
        <v>190</v>
      </c>
      <c r="F128" s="18" t="s">
        <v>190</v>
      </c>
      <c r="G128" s="18" t="s">
        <v>190</v>
      </c>
      <c r="H128" s="18" t="s">
        <v>190</v>
      </c>
      <c r="I128" s="18" t="s">
        <v>190</v>
      </c>
      <c r="J128" s="18" t="s">
        <v>190</v>
      </c>
      <c r="K128" s="18" t="s">
        <v>190</v>
      </c>
      <c r="L128" s="18" t="s">
        <v>190</v>
      </c>
      <c r="M128" s="101">
        <v>16761</v>
      </c>
      <c r="N128" s="101">
        <v>16733</v>
      </c>
      <c r="O128" s="101">
        <v>16767</v>
      </c>
      <c r="P128" s="101">
        <v>16949</v>
      </c>
      <c r="Q128" s="101">
        <v>17221</v>
      </c>
      <c r="R128" s="101">
        <v>17367</v>
      </c>
      <c r="S128" s="101">
        <v>17459</v>
      </c>
      <c r="T128" s="101">
        <v>17547</v>
      </c>
      <c r="U128" s="101">
        <v>17668</v>
      </c>
      <c r="V128" s="103">
        <v>17908</v>
      </c>
      <c r="W128" s="103">
        <v>17984</v>
      </c>
      <c r="X128" s="103">
        <v>17965</v>
      </c>
      <c r="Y128" s="103">
        <v>17916</v>
      </c>
      <c r="Z128" s="103">
        <v>17832</v>
      </c>
      <c r="AA128" s="103">
        <v>17672</v>
      </c>
      <c r="AB128" s="103">
        <v>17568</v>
      </c>
      <c r="AC128" s="103">
        <v>17514</v>
      </c>
      <c r="AD128" s="103">
        <v>17390</v>
      </c>
      <c r="AE128" s="103">
        <v>17244</v>
      </c>
      <c r="AF128" s="103">
        <v>17095</v>
      </c>
      <c r="AG128" s="61">
        <v>17196</v>
      </c>
      <c r="AH128" s="61">
        <v>17172</v>
      </c>
      <c r="AI128" s="61" t="s">
        <v>190</v>
      </c>
      <c r="AJ128" s="61" t="s">
        <v>190</v>
      </c>
    </row>
    <row r="129" spans="1:37" x14ac:dyDescent="0.2">
      <c r="A129" s="91" t="s">
        <v>270</v>
      </c>
      <c r="B129" s="92" t="s">
        <v>275</v>
      </c>
      <c r="C129" s="18" t="s">
        <v>190</v>
      </c>
      <c r="D129" s="18" t="s">
        <v>190</v>
      </c>
      <c r="E129" s="18" t="s">
        <v>190</v>
      </c>
      <c r="F129" s="18" t="s">
        <v>190</v>
      </c>
      <c r="G129" s="18" t="s">
        <v>190</v>
      </c>
      <c r="H129" s="18" t="s">
        <v>190</v>
      </c>
      <c r="I129" s="18" t="s">
        <v>190</v>
      </c>
      <c r="J129" s="18" t="s">
        <v>190</v>
      </c>
      <c r="K129" s="18" t="s">
        <v>190</v>
      </c>
      <c r="L129" s="18" t="s">
        <v>190</v>
      </c>
      <c r="M129" s="101">
        <v>13194</v>
      </c>
      <c r="N129" s="101">
        <v>13243</v>
      </c>
      <c r="O129" s="101">
        <v>13469</v>
      </c>
      <c r="P129" s="101">
        <v>13759</v>
      </c>
      <c r="Q129" s="101">
        <v>13981</v>
      </c>
      <c r="R129" s="101">
        <v>14255</v>
      </c>
      <c r="S129" s="101">
        <v>14473</v>
      </c>
      <c r="T129" s="101">
        <v>14653</v>
      </c>
      <c r="U129" s="101">
        <v>14840</v>
      </c>
      <c r="V129" s="103">
        <v>15144</v>
      </c>
      <c r="W129" s="103">
        <v>15382</v>
      </c>
      <c r="X129" s="103">
        <v>15495</v>
      </c>
      <c r="Y129" s="103">
        <v>15585</v>
      </c>
      <c r="Z129" s="103">
        <v>15660</v>
      </c>
      <c r="AA129" s="103">
        <v>15744</v>
      </c>
      <c r="AB129" s="103">
        <v>15855</v>
      </c>
      <c r="AC129" s="103">
        <v>15910</v>
      </c>
      <c r="AD129" s="103">
        <v>15992</v>
      </c>
      <c r="AE129" s="103">
        <v>16003</v>
      </c>
      <c r="AF129" s="103">
        <v>16149</v>
      </c>
      <c r="AG129" s="61">
        <v>16152</v>
      </c>
      <c r="AH129" s="61">
        <v>16178</v>
      </c>
      <c r="AI129" s="61" t="s">
        <v>190</v>
      </c>
      <c r="AJ129" s="61" t="s">
        <v>190</v>
      </c>
    </row>
    <row r="130" spans="1:37" x14ac:dyDescent="0.2">
      <c r="A130" s="91" t="s">
        <v>270</v>
      </c>
      <c r="B130" s="92" t="s">
        <v>276</v>
      </c>
      <c r="C130" s="18" t="s">
        <v>190</v>
      </c>
      <c r="D130" s="18" t="s">
        <v>190</v>
      </c>
      <c r="E130" s="18" t="s">
        <v>190</v>
      </c>
      <c r="F130" s="18" t="s">
        <v>190</v>
      </c>
      <c r="G130" s="18" t="s">
        <v>190</v>
      </c>
      <c r="H130" s="18" t="s">
        <v>190</v>
      </c>
      <c r="I130" s="18" t="s">
        <v>190</v>
      </c>
      <c r="J130" s="18" t="s">
        <v>190</v>
      </c>
      <c r="K130" s="18" t="s">
        <v>190</v>
      </c>
      <c r="L130" s="18" t="s">
        <v>190</v>
      </c>
      <c r="M130" s="101">
        <v>2211</v>
      </c>
      <c r="N130" s="101">
        <v>2269</v>
      </c>
      <c r="O130" s="101">
        <v>2291</v>
      </c>
      <c r="P130" s="101">
        <v>2311</v>
      </c>
      <c r="Q130" s="101">
        <v>2324</v>
      </c>
      <c r="R130" s="101">
        <v>2375</v>
      </c>
      <c r="S130" s="101">
        <v>2434</v>
      </c>
      <c r="T130" s="101">
        <v>2430</v>
      </c>
      <c r="U130" s="101">
        <v>2450</v>
      </c>
      <c r="V130" s="103">
        <v>2436</v>
      </c>
      <c r="W130" s="103">
        <v>2441</v>
      </c>
      <c r="X130" s="103">
        <v>2450</v>
      </c>
      <c r="Y130" s="103">
        <v>2418</v>
      </c>
      <c r="Z130" s="103">
        <v>2365</v>
      </c>
      <c r="AA130" s="103">
        <v>2322</v>
      </c>
      <c r="AB130" s="103">
        <v>2331</v>
      </c>
      <c r="AC130" s="103">
        <v>2345</v>
      </c>
      <c r="AD130" s="103">
        <v>2361</v>
      </c>
      <c r="AE130" s="103">
        <v>2334</v>
      </c>
      <c r="AF130" s="103">
        <v>2287</v>
      </c>
      <c r="AG130" s="61">
        <v>2344</v>
      </c>
      <c r="AH130" s="61">
        <v>2363</v>
      </c>
      <c r="AI130" s="61" t="s">
        <v>190</v>
      </c>
      <c r="AJ130" s="61" t="s">
        <v>190</v>
      </c>
    </row>
    <row r="131" spans="1:37" x14ac:dyDescent="0.2">
      <c r="A131" s="91" t="s">
        <v>270</v>
      </c>
      <c r="B131" s="92" t="s">
        <v>277</v>
      </c>
      <c r="C131" s="18" t="s">
        <v>190</v>
      </c>
      <c r="D131" s="18" t="s">
        <v>190</v>
      </c>
      <c r="E131" s="18" t="s">
        <v>190</v>
      </c>
      <c r="F131" s="18" t="s">
        <v>190</v>
      </c>
      <c r="G131" s="18" t="s">
        <v>190</v>
      </c>
      <c r="H131" s="18" t="s">
        <v>190</v>
      </c>
      <c r="I131" s="18" t="s">
        <v>190</v>
      </c>
      <c r="J131" s="18" t="s">
        <v>190</v>
      </c>
      <c r="K131" s="18" t="s">
        <v>190</v>
      </c>
      <c r="L131" s="18" t="s">
        <v>190</v>
      </c>
      <c r="M131" s="101">
        <v>14897</v>
      </c>
      <c r="N131" s="101">
        <v>14959</v>
      </c>
      <c r="O131" s="101">
        <v>15008</v>
      </c>
      <c r="P131" s="101">
        <v>15191</v>
      </c>
      <c r="Q131" s="101">
        <v>15350</v>
      </c>
      <c r="R131" s="101">
        <v>15389</v>
      </c>
      <c r="S131" s="101">
        <v>15549</v>
      </c>
      <c r="T131" s="101">
        <v>15740</v>
      </c>
      <c r="U131" s="101">
        <v>16006</v>
      </c>
      <c r="V131" s="103">
        <v>16233</v>
      </c>
      <c r="W131" s="103">
        <v>16468</v>
      </c>
      <c r="X131" s="103">
        <v>16476</v>
      </c>
      <c r="Y131" s="103">
        <v>16531</v>
      </c>
      <c r="Z131" s="103">
        <v>16704</v>
      </c>
      <c r="AA131" s="103">
        <v>16774</v>
      </c>
      <c r="AB131" s="103">
        <v>16678</v>
      </c>
      <c r="AC131" s="103">
        <v>16557</v>
      </c>
      <c r="AD131" s="103">
        <v>16492</v>
      </c>
      <c r="AE131" s="103">
        <v>16400</v>
      </c>
      <c r="AF131" s="103">
        <v>16425</v>
      </c>
      <c r="AG131" s="61">
        <v>16544</v>
      </c>
      <c r="AH131" s="61">
        <v>16605</v>
      </c>
      <c r="AI131" s="61" t="s">
        <v>190</v>
      </c>
      <c r="AJ131" s="61" t="s">
        <v>190</v>
      </c>
    </row>
    <row r="132" spans="1:37" x14ac:dyDescent="0.2">
      <c r="A132" s="91" t="s">
        <v>270</v>
      </c>
      <c r="B132" s="92" t="s">
        <v>278</v>
      </c>
      <c r="C132" s="18" t="s">
        <v>190</v>
      </c>
      <c r="D132" s="18" t="s">
        <v>190</v>
      </c>
      <c r="E132" s="18" t="s">
        <v>190</v>
      </c>
      <c r="F132" s="18" t="s">
        <v>190</v>
      </c>
      <c r="G132" s="18" t="s">
        <v>190</v>
      </c>
      <c r="H132" s="18" t="s">
        <v>190</v>
      </c>
      <c r="I132" s="18" t="s">
        <v>190</v>
      </c>
      <c r="J132" s="18" t="s">
        <v>190</v>
      </c>
      <c r="K132" s="18" t="s">
        <v>190</v>
      </c>
      <c r="L132" s="18" t="s">
        <v>190</v>
      </c>
      <c r="M132" s="101">
        <v>2279</v>
      </c>
      <c r="N132" s="101">
        <v>2294</v>
      </c>
      <c r="O132" s="101">
        <v>2288</v>
      </c>
      <c r="P132" s="101">
        <v>2270</v>
      </c>
      <c r="Q132" s="101">
        <v>2273</v>
      </c>
      <c r="R132" s="101">
        <v>2309</v>
      </c>
      <c r="S132" s="101">
        <v>2312</v>
      </c>
      <c r="T132" s="101">
        <v>2314</v>
      </c>
      <c r="U132" s="101">
        <v>2345</v>
      </c>
      <c r="V132" s="103">
        <v>2342</v>
      </c>
      <c r="W132" s="103">
        <v>2297</v>
      </c>
      <c r="X132" s="103">
        <v>2317</v>
      </c>
      <c r="Y132" s="103">
        <v>2285</v>
      </c>
      <c r="Z132" s="103">
        <v>2289</v>
      </c>
      <c r="AA132" s="103">
        <v>2301</v>
      </c>
      <c r="AB132" s="103">
        <v>2286</v>
      </c>
      <c r="AC132" s="103">
        <v>2259</v>
      </c>
      <c r="AD132" s="103">
        <v>2237</v>
      </c>
      <c r="AE132" s="103">
        <v>2214</v>
      </c>
      <c r="AF132" s="103">
        <v>2198</v>
      </c>
      <c r="AG132" s="61">
        <v>2179</v>
      </c>
      <c r="AH132" s="61">
        <v>2257</v>
      </c>
      <c r="AI132" s="61" t="s">
        <v>190</v>
      </c>
      <c r="AJ132" s="61" t="s">
        <v>190</v>
      </c>
    </row>
    <row r="133" spans="1:37" x14ac:dyDescent="0.2">
      <c r="A133" s="91" t="s">
        <v>270</v>
      </c>
      <c r="B133" s="92" t="s">
        <v>279</v>
      </c>
      <c r="C133" s="18" t="s">
        <v>190</v>
      </c>
      <c r="D133" s="18" t="s">
        <v>190</v>
      </c>
      <c r="E133" s="18" t="s">
        <v>190</v>
      </c>
      <c r="F133" s="18" t="s">
        <v>190</v>
      </c>
      <c r="G133" s="18" t="s">
        <v>190</v>
      </c>
      <c r="H133" s="18" t="s">
        <v>190</v>
      </c>
      <c r="I133" s="18" t="s">
        <v>190</v>
      </c>
      <c r="J133" s="18" t="s">
        <v>190</v>
      </c>
      <c r="K133" s="18" t="s">
        <v>190</v>
      </c>
      <c r="L133" s="18" t="s">
        <v>190</v>
      </c>
      <c r="M133" s="101">
        <v>4735</v>
      </c>
      <c r="N133" s="101">
        <v>4717</v>
      </c>
      <c r="O133" s="101">
        <v>4761</v>
      </c>
      <c r="P133" s="101">
        <v>4823</v>
      </c>
      <c r="Q133" s="101">
        <v>4869</v>
      </c>
      <c r="R133" s="101">
        <v>4915</v>
      </c>
      <c r="S133" s="101">
        <v>4986</v>
      </c>
      <c r="T133" s="101">
        <v>5016</v>
      </c>
      <c r="U133" s="101">
        <v>5000</v>
      </c>
      <c r="V133" s="103">
        <v>5017</v>
      </c>
      <c r="W133" s="103">
        <v>5051</v>
      </c>
      <c r="X133" s="103">
        <v>5041</v>
      </c>
      <c r="Y133" s="103">
        <v>5029</v>
      </c>
      <c r="Z133" s="103">
        <v>4981</v>
      </c>
      <c r="AA133" s="103">
        <v>4983</v>
      </c>
      <c r="AB133" s="103">
        <v>4910</v>
      </c>
      <c r="AC133" s="103">
        <v>4917</v>
      </c>
      <c r="AD133" s="103">
        <v>4876</v>
      </c>
      <c r="AE133" s="103">
        <v>4922</v>
      </c>
      <c r="AF133" s="103">
        <v>4925</v>
      </c>
      <c r="AG133" s="61">
        <v>4980</v>
      </c>
      <c r="AH133" s="61">
        <v>4992</v>
      </c>
      <c r="AI133" s="61" t="s">
        <v>190</v>
      </c>
      <c r="AJ133" s="61" t="s">
        <v>190</v>
      </c>
    </row>
    <row r="134" spans="1:37" ht="33" customHeight="1" x14ac:dyDescent="0.2">
      <c r="A134" s="96" t="s">
        <v>263</v>
      </c>
      <c r="B134" s="100" t="s">
        <v>280</v>
      </c>
      <c r="C134" s="101" t="s">
        <v>190</v>
      </c>
      <c r="D134" s="101" t="s">
        <v>190</v>
      </c>
      <c r="E134" s="101" t="s">
        <v>190</v>
      </c>
      <c r="F134" s="101" t="s">
        <v>190</v>
      </c>
      <c r="G134" s="101" t="s">
        <v>190</v>
      </c>
      <c r="H134" s="101" t="s">
        <v>190</v>
      </c>
      <c r="I134" s="101" t="s">
        <v>190</v>
      </c>
      <c r="J134" s="101" t="s">
        <v>190</v>
      </c>
      <c r="K134" s="101" t="s">
        <v>190</v>
      </c>
      <c r="L134" s="101" t="s">
        <v>190</v>
      </c>
      <c r="M134" s="101">
        <v>860046</v>
      </c>
      <c r="N134" s="101">
        <v>851618</v>
      </c>
      <c r="O134" s="101">
        <v>845519</v>
      </c>
      <c r="P134" s="101">
        <v>844116</v>
      </c>
      <c r="Q134" s="101">
        <v>845127</v>
      </c>
      <c r="R134" s="101">
        <v>844846</v>
      </c>
      <c r="S134" s="101">
        <v>846748</v>
      </c>
      <c r="T134" s="101">
        <v>849413</v>
      </c>
      <c r="U134" s="101">
        <v>850639</v>
      </c>
      <c r="V134" s="103">
        <v>853417</v>
      </c>
      <c r="W134" s="103">
        <v>856572</v>
      </c>
      <c r="X134" s="103">
        <v>853558</v>
      </c>
      <c r="Y134" s="103">
        <v>850313</v>
      </c>
      <c r="Z134" s="103">
        <v>848914</v>
      </c>
      <c r="AA134" s="103">
        <v>849347</v>
      </c>
      <c r="AB134" s="103">
        <v>851013</v>
      </c>
      <c r="AC134" s="103">
        <v>851263</v>
      </c>
      <c r="AD134" s="103">
        <v>851560</v>
      </c>
      <c r="AE134" s="103">
        <v>854680</v>
      </c>
      <c r="AF134" s="103">
        <v>854019</v>
      </c>
      <c r="AG134" s="61">
        <v>852222</v>
      </c>
      <c r="AH134" s="61">
        <v>859166</v>
      </c>
      <c r="AI134" s="61" t="s">
        <v>190</v>
      </c>
      <c r="AJ134" s="61" t="s">
        <v>190</v>
      </c>
      <c r="AK134" s="63"/>
    </row>
    <row r="135" spans="1:37" x14ac:dyDescent="0.2">
      <c r="A135" s="96" t="s">
        <v>263</v>
      </c>
      <c r="B135" s="100" t="s">
        <v>264</v>
      </c>
      <c r="C135" s="101" t="s">
        <v>190</v>
      </c>
      <c r="D135" s="101" t="s">
        <v>190</v>
      </c>
      <c r="E135" s="101" t="s">
        <v>190</v>
      </c>
      <c r="F135" s="101" t="s">
        <v>190</v>
      </c>
      <c r="G135" s="101" t="s">
        <v>190</v>
      </c>
      <c r="H135" s="101" t="s">
        <v>190</v>
      </c>
      <c r="I135" s="101" t="s">
        <v>190</v>
      </c>
      <c r="J135" s="101" t="s">
        <v>190</v>
      </c>
      <c r="K135" s="101" t="s">
        <v>190</v>
      </c>
      <c r="L135" s="101" t="s">
        <v>190</v>
      </c>
      <c r="M135" s="101">
        <v>845711</v>
      </c>
      <c r="N135" s="101">
        <v>844349</v>
      </c>
      <c r="O135" s="101">
        <v>842098</v>
      </c>
      <c r="P135" s="101">
        <v>842520</v>
      </c>
      <c r="Q135" s="101">
        <v>846416</v>
      </c>
      <c r="R135" s="101">
        <v>850359</v>
      </c>
      <c r="S135" s="101">
        <v>854802</v>
      </c>
      <c r="T135" s="101">
        <v>860145</v>
      </c>
      <c r="U135" s="101">
        <v>866018</v>
      </c>
      <c r="V135" s="103">
        <v>870433</v>
      </c>
      <c r="W135" s="103">
        <v>875676</v>
      </c>
      <c r="X135" s="103">
        <v>874322</v>
      </c>
      <c r="Y135" s="103">
        <v>873305</v>
      </c>
      <c r="Z135" s="103">
        <v>873071</v>
      </c>
      <c r="AA135" s="103">
        <v>874965</v>
      </c>
      <c r="AB135" s="103">
        <v>876643</v>
      </c>
      <c r="AC135" s="103">
        <v>878157</v>
      </c>
      <c r="AD135" s="103">
        <v>877058</v>
      </c>
      <c r="AE135" s="103">
        <v>880464</v>
      </c>
      <c r="AF135" s="103">
        <v>879519</v>
      </c>
      <c r="AG135" s="61">
        <v>880253</v>
      </c>
      <c r="AH135" s="61">
        <v>886419</v>
      </c>
      <c r="AI135" s="61" t="s">
        <v>190</v>
      </c>
      <c r="AJ135" s="61" t="s">
        <v>190</v>
      </c>
    </row>
    <row r="136" spans="1:37" x14ac:dyDescent="0.2">
      <c r="A136" s="96" t="s">
        <v>263</v>
      </c>
      <c r="B136" s="100" t="s">
        <v>265</v>
      </c>
      <c r="C136" s="101" t="s">
        <v>190</v>
      </c>
      <c r="D136" s="101" t="s">
        <v>190</v>
      </c>
      <c r="E136" s="101" t="s">
        <v>190</v>
      </c>
      <c r="F136" s="101" t="s">
        <v>190</v>
      </c>
      <c r="G136" s="101" t="s">
        <v>190</v>
      </c>
      <c r="H136" s="101" t="s">
        <v>190</v>
      </c>
      <c r="I136" s="101" t="s">
        <v>190</v>
      </c>
      <c r="J136" s="101" t="s">
        <v>190</v>
      </c>
      <c r="K136" s="101" t="s">
        <v>190</v>
      </c>
      <c r="L136" s="101" t="s">
        <v>190</v>
      </c>
      <c r="M136" s="101">
        <v>824595</v>
      </c>
      <c r="N136" s="101">
        <v>828484</v>
      </c>
      <c r="O136" s="101">
        <v>831902</v>
      </c>
      <c r="P136" s="101">
        <v>839562</v>
      </c>
      <c r="Q136" s="101">
        <v>846338</v>
      </c>
      <c r="R136" s="101">
        <v>851795</v>
      </c>
      <c r="S136" s="101">
        <v>858878</v>
      </c>
      <c r="T136" s="101">
        <v>866412</v>
      </c>
      <c r="U136" s="101">
        <v>872367</v>
      </c>
      <c r="V136" s="103">
        <v>879039</v>
      </c>
      <c r="W136" s="103">
        <v>886927</v>
      </c>
      <c r="X136" s="103">
        <v>889806</v>
      </c>
      <c r="Y136" s="103">
        <v>891266</v>
      </c>
      <c r="Z136" s="103">
        <v>893405</v>
      </c>
      <c r="AA136" s="103">
        <v>895934</v>
      </c>
      <c r="AB136" s="103">
        <v>899059</v>
      </c>
      <c r="AC136" s="103">
        <v>900155</v>
      </c>
      <c r="AD136" s="103">
        <v>901567</v>
      </c>
      <c r="AE136" s="103">
        <v>904004</v>
      </c>
      <c r="AF136" s="103">
        <v>904123</v>
      </c>
      <c r="AG136" s="61">
        <v>908250</v>
      </c>
      <c r="AH136" s="61">
        <v>914441</v>
      </c>
      <c r="AI136" s="61" t="s">
        <v>190</v>
      </c>
      <c r="AJ136" s="61" t="s">
        <v>190</v>
      </c>
    </row>
    <row r="137" spans="1:37" x14ac:dyDescent="0.2">
      <c r="A137" s="96" t="s">
        <v>263</v>
      </c>
      <c r="B137" s="100" t="s">
        <v>266</v>
      </c>
      <c r="C137" s="101" t="s">
        <v>190</v>
      </c>
      <c r="D137" s="101" t="s">
        <v>190</v>
      </c>
      <c r="E137" s="101" t="s">
        <v>190</v>
      </c>
      <c r="F137" s="101" t="s">
        <v>190</v>
      </c>
      <c r="G137" s="101" t="s">
        <v>190</v>
      </c>
      <c r="H137" s="101" t="s">
        <v>190</v>
      </c>
      <c r="I137" s="101" t="s">
        <v>190</v>
      </c>
      <c r="J137" s="101" t="s">
        <v>190</v>
      </c>
      <c r="K137" s="101" t="s">
        <v>190</v>
      </c>
      <c r="L137" s="101" t="s">
        <v>190</v>
      </c>
      <c r="M137" s="101">
        <v>774614</v>
      </c>
      <c r="N137" s="101">
        <v>784488</v>
      </c>
      <c r="O137" s="101">
        <v>793387</v>
      </c>
      <c r="P137" s="101">
        <v>803003</v>
      </c>
      <c r="Q137" s="101">
        <v>812746</v>
      </c>
      <c r="R137" s="101">
        <v>822534</v>
      </c>
      <c r="S137" s="101">
        <v>836508</v>
      </c>
      <c r="T137" s="101">
        <v>847159</v>
      </c>
      <c r="U137" s="101">
        <v>855283</v>
      </c>
      <c r="V137" s="103">
        <v>864395</v>
      </c>
      <c r="W137" s="103">
        <v>874621</v>
      </c>
      <c r="X137" s="103">
        <v>881391</v>
      </c>
      <c r="Y137" s="103">
        <v>888798</v>
      </c>
      <c r="Z137" s="103">
        <v>897396</v>
      </c>
      <c r="AA137" s="103">
        <v>906282</v>
      </c>
      <c r="AB137" s="103">
        <v>914639</v>
      </c>
      <c r="AC137" s="103">
        <v>922976</v>
      </c>
      <c r="AD137" s="103">
        <v>928825</v>
      </c>
      <c r="AE137" s="103">
        <v>937385</v>
      </c>
      <c r="AF137" s="103">
        <v>943818</v>
      </c>
      <c r="AG137" s="61">
        <v>954766</v>
      </c>
      <c r="AH137" s="61">
        <v>966055</v>
      </c>
      <c r="AI137" s="61" t="s">
        <v>190</v>
      </c>
      <c r="AJ137" s="61" t="s">
        <v>190</v>
      </c>
    </row>
    <row r="138" spans="1:37" x14ac:dyDescent="0.2">
      <c r="A138" s="96" t="s">
        <v>263</v>
      </c>
      <c r="B138" s="100" t="s">
        <v>281</v>
      </c>
      <c r="C138" s="101" t="s">
        <v>190</v>
      </c>
      <c r="D138" s="101" t="s">
        <v>190</v>
      </c>
      <c r="E138" s="101" t="s">
        <v>190</v>
      </c>
      <c r="F138" s="101" t="s">
        <v>190</v>
      </c>
      <c r="G138" s="101" t="s">
        <v>190</v>
      </c>
      <c r="H138" s="101" t="s">
        <v>190</v>
      </c>
      <c r="I138" s="101" t="s">
        <v>190</v>
      </c>
      <c r="J138" s="101" t="s">
        <v>190</v>
      </c>
      <c r="K138" s="101" t="s">
        <v>190</v>
      </c>
      <c r="L138" s="101" t="s">
        <v>190</v>
      </c>
      <c r="M138" s="101">
        <v>788860</v>
      </c>
      <c r="N138" s="101">
        <v>799276</v>
      </c>
      <c r="O138" s="101">
        <v>809489</v>
      </c>
      <c r="P138" s="101">
        <v>817354</v>
      </c>
      <c r="Q138" s="101">
        <v>827532</v>
      </c>
      <c r="R138" s="101">
        <v>837234</v>
      </c>
      <c r="S138" s="101">
        <v>849417</v>
      </c>
      <c r="T138" s="101">
        <v>858130</v>
      </c>
      <c r="U138" s="101">
        <v>867366</v>
      </c>
      <c r="V138" s="103">
        <v>877096</v>
      </c>
      <c r="W138" s="103">
        <v>890001</v>
      </c>
      <c r="X138" s="103">
        <v>897328</v>
      </c>
      <c r="Y138" s="103">
        <v>905489</v>
      </c>
      <c r="Z138" s="103">
        <v>911322</v>
      </c>
      <c r="AA138" s="103">
        <v>916666</v>
      </c>
      <c r="AB138" s="103">
        <v>922521</v>
      </c>
      <c r="AC138" s="103">
        <v>925897</v>
      </c>
      <c r="AD138" s="103">
        <v>925261</v>
      </c>
      <c r="AE138" s="103">
        <v>928132</v>
      </c>
      <c r="AF138" s="103">
        <v>927943</v>
      </c>
      <c r="AG138" s="61">
        <v>923852</v>
      </c>
      <c r="AH138" s="61">
        <v>929089</v>
      </c>
      <c r="AI138" s="61" t="s">
        <v>190</v>
      </c>
      <c r="AJ138" s="61" t="s">
        <v>190</v>
      </c>
    </row>
  </sheetData>
  <phoneticPr fontId="44" type="noConversion"/>
  <hyperlinks>
    <hyperlink ref="A15" location="Contents!A1" display="This cell contains a hyperlink to the Table of Contents" xr:uid="{00000000-0004-0000-1400-000000000000}"/>
    <hyperlink ref="A13" r:id="rId1" display="Further data available by gender, age, work pattern, employment type, broad industrial group and qualification from Nomis. This link opens in a new window." xr:uid="{B6F0D291-56F3-4C66-8BAE-A215D6F5317E}"/>
    <hyperlink ref="A12" r:id="rId2" xr:uid="{E3C9E929-B157-46D5-AE2D-3823F1230926}"/>
    <hyperlink ref="A10" r:id="rId3" display="Source link 2001-2011 areas built up from Data Zones: Small Area Population Estimates - National Records of Scotland. This link opens in a new window." xr:uid="{35D48461-DB36-4338-A16B-8A513143D3D7}"/>
    <hyperlink ref="A11" r:id="rId4" location="top" xr:uid="{CAC81F1E-4325-44FC-8125-288429D13033}"/>
    <hyperlink ref="A9" r:id="rId5" display="Source link 1991 to 2023: Population Estimates Time Series Data - National Records of Scotland. This link opens in a new window." xr:uid="{C37B494D-E20E-404A-B5EA-10E43C22D34B}"/>
  </hyperlinks>
  <pageMargins left="0.7" right="0.7" top="0.75" bottom="0.75" header="0.3" footer="0.3"/>
  <pageSetup paperSize="9" scale="16" orientation="portrait" r:id="rId6"/>
  <ignoredErrors>
    <ignoredError sqref="M121:V121" formulaRange="1"/>
  </ignoredErrors>
  <tableParts count="1">
    <tablePart r:id="rId7"/>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M149"/>
  <sheetViews>
    <sheetView showGridLines="0" zoomScaleNormal="100" workbookViewId="0"/>
  </sheetViews>
  <sheetFormatPr defaultColWidth="9.140625" defaultRowHeight="15" x14ac:dyDescent="0.2"/>
  <cols>
    <col min="1" max="1" width="59" style="13" customWidth="1"/>
    <col min="2" max="2" width="51.140625" style="9" customWidth="1"/>
    <col min="3" max="3" width="13.28515625" style="9" bestFit="1" customWidth="1"/>
    <col min="4" max="6" width="13.7109375" style="9" bestFit="1" customWidth="1"/>
    <col min="7" max="7" width="13.28515625" style="9" bestFit="1" customWidth="1"/>
    <col min="8" max="9" width="13.7109375" style="9" bestFit="1" customWidth="1"/>
    <col min="10" max="10" width="13.28515625" style="9" bestFit="1" customWidth="1"/>
    <col min="11" max="11" width="13.7109375" style="9" bestFit="1" customWidth="1"/>
    <col min="12" max="12" width="12.85546875" style="9" bestFit="1" customWidth="1"/>
    <col min="13" max="13" width="13.7109375" style="9" bestFit="1" customWidth="1"/>
    <col min="14" max="14" width="13.28515625" style="9" bestFit="1" customWidth="1"/>
    <col min="15" max="15" width="13.7109375" style="9" bestFit="1" customWidth="1"/>
    <col min="16" max="16" width="13.28515625" style="9" bestFit="1" customWidth="1"/>
    <col min="17" max="17" width="12.42578125" style="9" bestFit="1" customWidth="1"/>
    <col min="18" max="18" width="13.28515625" style="9" bestFit="1" customWidth="1"/>
    <col min="19" max="19" width="13.7109375" style="9" bestFit="1" customWidth="1"/>
    <col min="20" max="21" width="13.28515625" style="9" bestFit="1" customWidth="1"/>
    <col min="22" max="22" width="13.28515625" style="14" bestFit="1" customWidth="1"/>
    <col min="23" max="23" width="13.7109375" style="14" bestFit="1" customWidth="1"/>
    <col min="24" max="25" width="13.28515625" style="14" bestFit="1" customWidth="1"/>
    <col min="26" max="26" width="12.85546875" style="14" bestFit="1" customWidth="1"/>
    <col min="27" max="28" width="13.28515625" style="14" bestFit="1" customWidth="1"/>
    <col min="29" max="29" width="12.85546875" style="14" bestFit="1" customWidth="1"/>
    <col min="30" max="31" width="13.28515625" style="14" bestFit="1" customWidth="1"/>
    <col min="32" max="33" width="13.28515625" style="13" bestFit="1" customWidth="1"/>
    <col min="34" max="34" width="13.7109375" style="13" bestFit="1" customWidth="1"/>
    <col min="35" max="35" width="14.140625" style="13" bestFit="1" customWidth="1"/>
    <col min="36" max="36" width="13.7109375" style="13" customWidth="1"/>
    <col min="37" max="16384" width="9.140625" style="13"/>
  </cols>
  <sheetData>
    <row r="1" spans="1:36" ht="20.25" x14ac:dyDescent="0.3">
      <c r="A1" s="22" t="s">
        <v>382</v>
      </c>
      <c r="B1" s="13"/>
      <c r="C1" s="13"/>
      <c r="D1" s="13"/>
      <c r="E1" s="13"/>
      <c r="F1" s="13"/>
      <c r="G1" s="13"/>
      <c r="H1" s="13"/>
      <c r="I1" s="13"/>
      <c r="J1" s="13"/>
      <c r="K1" s="13"/>
      <c r="L1" s="13"/>
      <c r="M1" s="13"/>
      <c r="N1" s="13"/>
      <c r="O1" s="13"/>
      <c r="P1" s="13"/>
      <c r="Q1" s="13"/>
      <c r="R1" s="13"/>
      <c r="S1" s="13"/>
      <c r="T1" s="13"/>
      <c r="U1" s="13"/>
      <c r="AB1" s="14" t="s">
        <v>0</v>
      </c>
    </row>
    <row r="2" spans="1:36" x14ac:dyDescent="0.2">
      <c r="A2" s="38" t="s">
        <v>152</v>
      </c>
      <c r="B2" s="13"/>
      <c r="C2" s="13"/>
      <c r="D2" s="13"/>
      <c r="E2" s="13"/>
      <c r="F2" s="13"/>
      <c r="G2" s="13"/>
      <c r="H2" s="13"/>
      <c r="I2" s="13"/>
      <c r="J2" s="13"/>
      <c r="K2" s="13"/>
      <c r="L2" s="13"/>
      <c r="M2" s="13"/>
      <c r="N2" s="13"/>
      <c r="O2" s="13"/>
      <c r="P2" s="13"/>
      <c r="Q2" s="13"/>
      <c r="R2" s="13"/>
      <c r="S2" s="13"/>
      <c r="T2" s="13"/>
      <c r="U2" s="13"/>
    </row>
    <row r="3" spans="1:36" x14ac:dyDescent="0.2">
      <c r="A3" s="38" t="s">
        <v>235</v>
      </c>
      <c r="B3" s="13"/>
      <c r="C3" s="13"/>
      <c r="D3" s="13"/>
      <c r="E3" s="13"/>
      <c r="F3" s="13"/>
      <c r="G3" s="13"/>
      <c r="H3" s="13"/>
      <c r="I3" s="13"/>
      <c r="J3" s="13"/>
      <c r="K3" s="13"/>
      <c r="L3" s="13"/>
      <c r="M3" s="13"/>
      <c r="N3" s="13"/>
      <c r="O3" s="13"/>
      <c r="P3" s="13"/>
      <c r="Q3" s="13"/>
      <c r="R3" s="13"/>
      <c r="S3" s="13"/>
      <c r="T3" s="13"/>
      <c r="U3" s="13"/>
    </row>
    <row r="4" spans="1:36" x14ac:dyDescent="0.2">
      <c r="A4" s="38" t="s">
        <v>297</v>
      </c>
      <c r="B4" s="13"/>
      <c r="C4" s="13"/>
      <c r="D4" s="13"/>
      <c r="E4" s="13"/>
      <c r="F4" s="13"/>
      <c r="G4" s="13"/>
      <c r="H4" s="13"/>
      <c r="I4" s="13"/>
      <c r="J4" s="13"/>
      <c r="K4" s="13"/>
      <c r="L4" s="13"/>
      <c r="M4" s="13"/>
      <c r="N4" s="13"/>
      <c r="O4" s="13"/>
      <c r="P4" s="13"/>
      <c r="Q4" s="13"/>
      <c r="R4" s="13"/>
      <c r="S4" s="13"/>
      <c r="T4" s="13"/>
      <c r="U4" s="13"/>
    </row>
    <row r="5" spans="1:36" x14ac:dyDescent="0.2">
      <c r="A5" s="38" t="s">
        <v>302</v>
      </c>
      <c r="B5" s="13"/>
      <c r="C5" s="13"/>
      <c r="D5" s="13"/>
      <c r="E5" s="13"/>
      <c r="F5" s="13"/>
      <c r="G5" s="13"/>
      <c r="H5" s="13"/>
      <c r="I5" s="13"/>
      <c r="J5" s="13"/>
      <c r="K5" s="13"/>
      <c r="L5" s="13"/>
      <c r="M5" s="13"/>
      <c r="N5" s="13"/>
      <c r="O5" s="13"/>
      <c r="P5" s="13"/>
      <c r="Q5" s="13"/>
      <c r="R5" s="13"/>
      <c r="S5" s="13"/>
      <c r="T5" s="13"/>
      <c r="U5" s="13"/>
    </row>
    <row r="6" spans="1:36" x14ac:dyDescent="0.2">
      <c r="A6" s="38" t="s">
        <v>195</v>
      </c>
      <c r="B6" s="13"/>
      <c r="C6" s="13"/>
      <c r="D6" s="13"/>
      <c r="E6" s="13"/>
      <c r="F6" s="13"/>
      <c r="G6" s="13"/>
      <c r="H6" s="13"/>
      <c r="I6" s="13"/>
      <c r="J6" s="13"/>
      <c r="K6" s="13"/>
      <c r="L6" s="13"/>
      <c r="M6" s="13"/>
      <c r="N6" s="13"/>
      <c r="O6" s="13"/>
      <c r="P6" s="13"/>
      <c r="Q6" s="13"/>
      <c r="R6" s="13"/>
      <c r="S6" s="13"/>
      <c r="T6" s="13"/>
      <c r="U6" s="13"/>
    </row>
    <row r="7" spans="1:36" x14ac:dyDescent="0.2">
      <c r="A7" s="38" t="s">
        <v>359</v>
      </c>
      <c r="B7" s="13"/>
      <c r="C7" s="13"/>
      <c r="D7" s="13"/>
      <c r="E7" s="13"/>
      <c r="F7" s="13"/>
      <c r="G7" s="13"/>
      <c r="H7" s="13"/>
      <c r="I7" s="13"/>
      <c r="J7" s="13"/>
      <c r="K7" s="13"/>
      <c r="L7" s="13"/>
      <c r="M7" s="13"/>
      <c r="N7" s="13"/>
      <c r="O7" s="13"/>
      <c r="P7" s="13"/>
      <c r="Q7" s="13"/>
      <c r="R7" s="13"/>
      <c r="S7" s="13"/>
      <c r="T7" s="13"/>
      <c r="U7" s="13"/>
    </row>
    <row r="8" spans="1:36" x14ac:dyDescent="0.2">
      <c r="A8" s="38" t="s">
        <v>196</v>
      </c>
      <c r="B8" s="13"/>
      <c r="C8" s="13"/>
      <c r="D8" s="13"/>
      <c r="E8" s="13"/>
      <c r="F8" s="13"/>
      <c r="G8" s="13"/>
      <c r="H8" s="13"/>
      <c r="I8" s="13"/>
      <c r="J8" s="13"/>
      <c r="K8" s="13"/>
      <c r="L8" s="13"/>
      <c r="M8" s="13"/>
      <c r="N8" s="13"/>
      <c r="O8" s="13"/>
      <c r="P8" s="13"/>
      <c r="Q8" s="13"/>
      <c r="R8" s="13"/>
      <c r="S8" s="13"/>
      <c r="T8" s="13"/>
      <c r="U8" s="13"/>
    </row>
    <row r="9" spans="1:36" ht="15" customHeight="1" x14ac:dyDescent="0.2">
      <c r="A9" s="134" t="s">
        <v>360</v>
      </c>
      <c r="B9" s="13"/>
      <c r="C9" s="13"/>
      <c r="D9" s="13"/>
      <c r="E9" s="13"/>
      <c r="F9" s="13"/>
      <c r="G9" s="13"/>
      <c r="H9" s="13"/>
      <c r="I9" s="13"/>
      <c r="J9" s="13"/>
      <c r="K9" s="13"/>
      <c r="L9" s="13"/>
      <c r="M9" s="13"/>
      <c r="N9" s="13"/>
      <c r="O9" s="13"/>
      <c r="P9" s="13"/>
      <c r="Q9" s="13"/>
      <c r="R9" s="13"/>
      <c r="S9" s="13"/>
      <c r="T9" s="13"/>
      <c r="U9" s="13"/>
    </row>
    <row r="10" spans="1:36" ht="15" customHeight="1" x14ac:dyDescent="0.2">
      <c r="A10" s="134" t="s">
        <v>345</v>
      </c>
      <c r="B10" s="13"/>
      <c r="C10" s="13"/>
      <c r="D10" s="13"/>
      <c r="E10" s="13"/>
      <c r="F10" s="13"/>
      <c r="G10" s="13"/>
      <c r="H10" s="13"/>
      <c r="I10" s="13"/>
      <c r="J10" s="13"/>
      <c r="K10" s="13"/>
      <c r="L10" s="13"/>
      <c r="M10" s="13"/>
      <c r="N10" s="13"/>
      <c r="O10" s="13"/>
      <c r="P10" s="13"/>
      <c r="Q10" s="13"/>
      <c r="R10" s="13"/>
      <c r="S10" s="13"/>
      <c r="T10" s="13"/>
      <c r="U10" s="13"/>
    </row>
    <row r="11" spans="1:36" x14ac:dyDescent="0.2">
      <c r="A11" s="136" t="s">
        <v>347</v>
      </c>
      <c r="B11" s="13"/>
      <c r="C11" s="13"/>
      <c r="D11" s="13"/>
      <c r="E11" s="13"/>
      <c r="F11" s="13"/>
      <c r="G11" s="13"/>
      <c r="H11" s="13"/>
      <c r="I11" s="13"/>
      <c r="J11" s="13"/>
      <c r="K11" s="13"/>
      <c r="L11" s="13"/>
      <c r="M11" s="13"/>
      <c r="N11" s="13"/>
      <c r="O11" s="13"/>
      <c r="P11" s="13"/>
      <c r="Q11" s="13"/>
      <c r="R11" s="13"/>
      <c r="S11" s="13"/>
      <c r="T11" s="13"/>
      <c r="U11" s="13"/>
    </row>
    <row r="12" spans="1:36" x14ac:dyDescent="0.2">
      <c r="A12" s="134" t="s">
        <v>343</v>
      </c>
      <c r="B12" s="1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row>
    <row r="13" spans="1:36" x14ac:dyDescent="0.25">
      <c r="A13" s="135" t="s">
        <v>315</v>
      </c>
      <c r="B13" s="13"/>
      <c r="C13" s="155"/>
      <c r="D13" s="155"/>
      <c r="E13" s="155"/>
      <c r="F13" s="155"/>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5"/>
      <c r="AE13" s="155"/>
      <c r="AF13" s="155"/>
      <c r="AG13" s="155"/>
      <c r="AH13" s="155"/>
      <c r="AI13"/>
      <c r="AJ13" s="43"/>
    </row>
    <row r="14" spans="1:36" s="27" customFormat="1" x14ac:dyDescent="0.2">
      <c r="A14" s="26" t="s">
        <v>154</v>
      </c>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row>
    <row r="15" spans="1:36" s="27" customFormat="1" ht="30" customHeight="1" x14ac:dyDescent="0.2">
      <c r="A15" s="35" t="s">
        <v>232</v>
      </c>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row>
    <row r="16" spans="1:36" ht="15.75" customHeight="1" x14ac:dyDescent="0.25">
      <c r="A16" s="23" t="s">
        <v>156</v>
      </c>
      <c r="B16" s="23" t="s">
        <v>157</v>
      </c>
      <c r="C16" s="24" t="s">
        <v>197</v>
      </c>
      <c r="D16" s="24" t="s">
        <v>198</v>
      </c>
      <c r="E16" s="24" t="s">
        <v>199</v>
      </c>
      <c r="F16" s="24" t="s">
        <v>200</v>
      </c>
      <c r="G16" s="24" t="s">
        <v>201</v>
      </c>
      <c r="H16" s="24" t="s">
        <v>202</v>
      </c>
      <c r="I16" s="24" t="s">
        <v>203</v>
      </c>
      <c r="J16" s="24" t="s">
        <v>158</v>
      </c>
      <c r="K16" s="24" t="s">
        <v>159</v>
      </c>
      <c r="L16" s="24" t="s">
        <v>160</v>
      </c>
      <c r="M16" s="24" t="s">
        <v>161</v>
      </c>
      <c r="N16" s="24" t="s">
        <v>162</v>
      </c>
      <c r="O16" s="24" t="s">
        <v>163</v>
      </c>
      <c r="P16" s="24" t="s">
        <v>164</v>
      </c>
      <c r="Q16" s="24" t="s">
        <v>165</v>
      </c>
      <c r="R16" s="24" t="s">
        <v>166</v>
      </c>
      <c r="S16" s="24" t="s">
        <v>167</v>
      </c>
      <c r="T16" s="24" t="s">
        <v>168</v>
      </c>
      <c r="U16" s="24" t="s">
        <v>169</v>
      </c>
      <c r="V16" s="24" t="s">
        <v>170</v>
      </c>
      <c r="W16" s="24" t="s">
        <v>171</v>
      </c>
      <c r="X16" s="24" t="s">
        <v>172</v>
      </c>
      <c r="Y16" s="24" t="s">
        <v>173</v>
      </c>
      <c r="Z16" s="24" t="s">
        <v>174</v>
      </c>
      <c r="AA16" s="24" t="s">
        <v>175</v>
      </c>
      <c r="AB16" s="24" t="s">
        <v>176</v>
      </c>
      <c r="AC16" s="24" t="s">
        <v>177</v>
      </c>
      <c r="AD16" s="24" t="s">
        <v>123</v>
      </c>
      <c r="AE16" s="25" t="s">
        <v>150</v>
      </c>
      <c r="AF16" s="24" t="s">
        <v>187</v>
      </c>
      <c r="AG16" s="68" t="s">
        <v>189</v>
      </c>
      <c r="AH16" s="24" t="s">
        <v>257</v>
      </c>
      <c r="AI16" s="24" t="s">
        <v>316</v>
      </c>
      <c r="AJ16" s="137" t="s">
        <v>337</v>
      </c>
    </row>
    <row r="17" spans="1:39" x14ac:dyDescent="0.2">
      <c r="A17" s="16" t="s">
        <v>178</v>
      </c>
      <c r="B17" s="17" t="s">
        <v>48</v>
      </c>
      <c r="C17" s="18">
        <v>36695001</v>
      </c>
      <c r="D17" s="18">
        <v>36690573</v>
      </c>
      <c r="E17" s="18">
        <v>36676306</v>
      </c>
      <c r="F17" s="18">
        <v>36704336</v>
      </c>
      <c r="G17" s="18">
        <v>36798216</v>
      </c>
      <c r="H17" s="18">
        <v>36923269</v>
      </c>
      <c r="I17" s="18">
        <v>37053466</v>
      </c>
      <c r="J17" s="18">
        <v>37192390</v>
      </c>
      <c r="K17" s="18">
        <v>37395652</v>
      </c>
      <c r="L17" s="18">
        <v>37618816</v>
      </c>
      <c r="M17" s="18">
        <v>37877045</v>
      </c>
      <c r="N17" s="18">
        <v>38136534</v>
      </c>
      <c r="O17" s="18">
        <v>38388802</v>
      </c>
      <c r="P17" s="18">
        <v>38689471</v>
      </c>
      <c r="Q17" s="18">
        <v>39111186</v>
      </c>
      <c r="R17" s="18">
        <v>39501769</v>
      </c>
      <c r="S17" s="18">
        <v>39898748</v>
      </c>
      <c r="T17" s="18">
        <v>40218225</v>
      </c>
      <c r="U17" s="18">
        <v>40428051</v>
      </c>
      <c r="V17" s="18">
        <v>40683167</v>
      </c>
      <c r="W17" s="18">
        <v>40944079</v>
      </c>
      <c r="X17" s="18">
        <v>40917089</v>
      </c>
      <c r="Y17" s="18">
        <v>41004326</v>
      </c>
      <c r="Z17" s="18">
        <v>41148359</v>
      </c>
      <c r="AA17" s="18">
        <v>41352353</v>
      </c>
      <c r="AB17" s="18">
        <v>41583534</v>
      </c>
      <c r="AC17" s="18">
        <v>41705149</v>
      </c>
      <c r="AD17" s="18">
        <v>41820238</v>
      </c>
      <c r="AE17" s="18">
        <v>41952870</v>
      </c>
      <c r="AF17" s="18">
        <v>41998608</v>
      </c>
      <c r="AG17" s="18">
        <v>42137842</v>
      </c>
      <c r="AH17" s="61">
        <v>42487430</v>
      </c>
      <c r="AI17" s="144">
        <v>43057927</v>
      </c>
      <c r="AJ17" s="122">
        <v>43523647</v>
      </c>
    </row>
    <row r="18" spans="1:39" ht="15.75" x14ac:dyDescent="0.25">
      <c r="A18" s="16" t="s">
        <v>178</v>
      </c>
      <c r="B18" s="17" t="s">
        <v>1</v>
      </c>
      <c r="C18" s="18">
        <v>3291933</v>
      </c>
      <c r="D18" s="18">
        <v>3289639</v>
      </c>
      <c r="E18" s="18">
        <v>3289390</v>
      </c>
      <c r="F18" s="18">
        <v>3292415</v>
      </c>
      <c r="G18" s="18">
        <v>3293104</v>
      </c>
      <c r="H18" s="18">
        <v>3288190</v>
      </c>
      <c r="I18" s="18">
        <v>3284299</v>
      </c>
      <c r="J18" s="18">
        <v>3281902</v>
      </c>
      <c r="K18" s="18">
        <v>3281482</v>
      </c>
      <c r="L18" s="18">
        <v>3278692</v>
      </c>
      <c r="M18" s="18">
        <v>3286645</v>
      </c>
      <c r="N18" s="18">
        <v>3295351</v>
      </c>
      <c r="O18" s="18">
        <v>3303864</v>
      </c>
      <c r="P18" s="18">
        <v>3321295</v>
      </c>
      <c r="Q18" s="18">
        <v>3345841</v>
      </c>
      <c r="R18" s="18">
        <v>3368993</v>
      </c>
      <c r="S18" s="18">
        <v>3400324</v>
      </c>
      <c r="T18" s="18">
        <v>3423498</v>
      </c>
      <c r="U18" s="18">
        <v>3441098</v>
      </c>
      <c r="V18" s="18">
        <v>3462158</v>
      </c>
      <c r="W18" s="18">
        <v>3487433</v>
      </c>
      <c r="X18" s="18">
        <v>3470459</v>
      </c>
      <c r="Y18" s="18">
        <v>3461727</v>
      </c>
      <c r="Z18" s="18">
        <v>3454426</v>
      </c>
      <c r="AA18" s="18">
        <v>3458694</v>
      </c>
      <c r="AB18" s="18">
        <v>3463312</v>
      </c>
      <c r="AC18" s="18">
        <v>3463600</v>
      </c>
      <c r="AD18" s="18">
        <v>3455588</v>
      </c>
      <c r="AE18" s="18">
        <v>3457100</v>
      </c>
      <c r="AF18" s="18">
        <v>3448390</v>
      </c>
      <c r="AG18" s="18">
        <v>3439686</v>
      </c>
      <c r="AH18" s="61">
        <v>3457768</v>
      </c>
      <c r="AI18" s="61">
        <v>3491476</v>
      </c>
      <c r="AJ18" s="138">
        <v>3511191</v>
      </c>
      <c r="AM18"/>
    </row>
    <row r="19" spans="1:39" ht="35.450000000000003" customHeight="1" x14ac:dyDescent="0.25">
      <c r="A19" s="17" t="s">
        <v>179</v>
      </c>
      <c r="B19" s="17" t="s">
        <v>35</v>
      </c>
      <c r="C19" s="18">
        <v>283653</v>
      </c>
      <c r="D19" s="18">
        <v>287714</v>
      </c>
      <c r="E19" s="18">
        <v>291407</v>
      </c>
      <c r="F19" s="18">
        <v>293971</v>
      </c>
      <c r="G19" s="18">
        <v>294979</v>
      </c>
      <c r="H19" s="18">
        <v>295364</v>
      </c>
      <c r="I19" s="18">
        <v>293976</v>
      </c>
      <c r="J19" s="18">
        <v>293143</v>
      </c>
      <c r="K19" s="18">
        <v>293523</v>
      </c>
      <c r="L19" s="18">
        <v>292597</v>
      </c>
      <c r="M19" s="18">
        <v>291636</v>
      </c>
      <c r="N19" s="18">
        <v>292674</v>
      </c>
      <c r="O19" s="18">
        <v>293851</v>
      </c>
      <c r="P19" s="18">
        <v>295779</v>
      </c>
      <c r="Q19" s="18">
        <v>298951</v>
      </c>
      <c r="R19" s="18">
        <v>302940</v>
      </c>
      <c r="S19" s="18">
        <v>308014</v>
      </c>
      <c r="T19" s="18">
        <v>311043</v>
      </c>
      <c r="U19" s="18">
        <v>315289</v>
      </c>
      <c r="V19" s="18">
        <v>319495</v>
      </c>
      <c r="W19" s="18">
        <v>322995</v>
      </c>
      <c r="X19" s="18">
        <v>323088</v>
      </c>
      <c r="Y19" s="18">
        <v>323967</v>
      </c>
      <c r="Z19" s="18">
        <v>324761</v>
      </c>
      <c r="AA19" s="18">
        <v>325525</v>
      </c>
      <c r="AB19" s="18">
        <v>322504</v>
      </c>
      <c r="AC19" s="18">
        <v>318839</v>
      </c>
      <c r="AD19" s="18">
        <v>315001</v>
      </c>
      <c r="AE19" s="18">
        <v>313355</v>
      </c>
      <c r="AF19" s="18">
        <v>311265</v>
      </c>
      <c r="AG19" s="18">
        <v>308433</v>
      </c>
      <c r="AH19" s="61">
        <v>309622</v>
      </c>
      <c r="AI19" s="113">
        <v>311818</v>
      </c>
      <c r="AJ19" s="61">
        <v>312987</v>
      </c>
      <c r="AM19"/>
    </row>
    <row r="20" spans="1:39" ht="15.75" x14ac:dyDescent="0.25">
      <c r="A20" s="16" t="s">
        <v>179</v>
      </c>
      <c r="B20" s="17" t="s">
        <v>36</v>
      </c>
      <c r="C20" s="18">
        <v>1183309</v>
      </c>
      <c r="D20" s="18">
        <v>1175597</v>
      </c>
      <c r="E20" s="18">
        <v>1168511</v>
      </c>
      <c r="F20" s="18">
        <v>1164512</v>
      </c>
      <c r="G20" s="18">
        <v>1158103</v>
      </c>
      <c r="H20" s="18">
        <v>1152774</v>
      </c>
      <c r="I20" s="18">
        <v>1147216</v>
      </c>
      <c r="J20" s="18">
        <v>1143459</v>
      </c>
      <c r="K20" s="18">
        <v>1140579</v>
      </c>
      <c r="L20" s="18">
        <v>1136844</v>
      </c>
      <c r="M20" s="18">
        <v>1141727</v>
      </c>
      <c r="N20" s="18">
        <v>1143346</v>
      </c>
      <c r="O20" s="18">
        <v>1142890</v>
      </c>
      <c r="P20" s="18">
        <v>1145204</v>
      </c>
      <c r="Q20" s="18">
        <v>1149326</v>
      </c>
      <c r="R20" s="18">
        <v>1152965</v>
      </c>
      <c r="S20" s="18">
        <v>1161387</v>
      </c>
      <c r="T20" s="18">
        <v>1169157</v>
      </c>
      <c r="U20" s="18">
        <v>1176249</v>
      </c>
      <c r="V20" s="18">
        <v>1183500</v>
      </c>
      <c r="W20" s="18">
        <v>1191494</v>
      </c>
      <c r="X20" s="18">
        <v>1187508</v>
      </c>
      <c r="Y20" s="18">
        <v>1184049</v>
      </c>
      <c r="Z20" s="18">
        <v>1182897</v>
      </c>
      <c r="AA20" s="18">
        <v>1185219</v>
      </c>
      <c r="AB20" s="18">
        <v>1190528</v>
      </c>
      <c r="AC20" s="18">
        <v>1194027</v>
      </c>
      <c r="AD20" s="18">
        <v>1195693</v>
      </c>
      <c r="AE20" s="18">
        <v>1199415</v>
      </c>
      <c r="AF20" s="18">
        <v>1198633</v>
      </c>
      <c r="AG20" s="18">
        <v>1196075</v>
      </c>
      <c r="AH20" s="61">
        <v>1206044</v>
      </c>
      <c r="AI20" s="113">
        <v>1224253</v>
      </c>
      <c r="AJ20" s="61">
        <v>1235566</v>
      </c>
      <c r="AM20"/>
    </row>
    <row r="21" spans="1:39" ht="15.75" x14ac:dyDescent="0.25">
      <c r="A21" s="16" t="s">
        <v>179</v>
      </c>
      <c r="B21" s="17" t="s">
        <v>37</v>
      </c>
      <c r="C21" s="18">
        <v>781487</v>
      </c>
      <c r="D21" s="18">
        <v>780859</v>
      </c>
      <c r="E21" s="18">
        <v>783124</v>
      </c>
      <c r="F21" s="18">
        <v>786092</v>
      </c>
      <c r="G21" s="18">
        <v>789968</v>
      </c>
      <c r="H21" s="18">
        <v>790948</v>
      </c>
      <c r="I21" s="18">
        <v>793691</v>
      </c>
      <c r="J21" s="18">
        <v>797132</v>
      </c>
      <c r="K21" s="18">
        <v>800619</v>
      </c>
      <c r="L21" s="18">
        <v>806193</v>
      </c>
      <c r="M21" s="18">
        <v>810703</v>
      </c>
      <c r="N21" s="18">
        <v>814592</v>
      </c>
      <c r="O21" s="18">
        <v>817199</v>
      </c>
      <c r="P21" s="18">
        <v>823392</v>
      </c>
      <c r="Q21" s="18">
        <v>832257</v>
      </c>
      <c r="R21" s="18">
        <v>839828</v>
      </c>
      <c r="S21" s="18">
        <v>849255</v>
      </c>
      <c r="T21" s="18">
        <v>856070</v>
      </c>
      <c r="U21" s="18">
        <v>860882</v>
      </c>
      <c r="V21" s="18">
        <v>867249</v>
      </c>
      <c r="W21" s="18">
        <v>876218</v>
      </c>
      <c r="X21" s="18">
        <v>873647</v>
      </c>
      <c r="Y21" s="18">
        <v>871516</v>
      </c>
      <c r="Z21" s="18">
        <v>870567</v>
      </c>
      <c r="AA21" s="18">
        <v>874708</v>
      </c>
      <c r="AB21" s="18">
        <v>880477</v>
      </c>
      <c r="AC21" s="18">
        <v>884677</v>
      </c>
      <c r="AD21" s="18">
        <v>887333</v>
      </c>
      <c r="AE21" s="18">
        <v>891283</v>
      </c>
      <c r="AF21" s="18">
        <v>892881</v>
      </c>
      <c r="AG21" s="18">
        <v>890338</v>
      </c>
      <c r="AH21" s="61">
        <v>898725</v>
      </c>
      <c r="AI21" s="113">
        <v>909530</v>
      </c>
      <c r="AJ21" s="61">
        <v>917087</v>
      </c>
      <c r="AM21"/>
    </row>
    <row r="22" spans="1:39" ht="15.75" x14ac:dyDescent="0.25">
      <c r="A22" s="16" t="s">
        <v>179</v>
      </c>
      <c r="B22" s="17" t="s">
        <v>236</v>
      </c>
      <c r="C22" s="18">
        <v>177224</v>
      </c>
      <c r="D22" s="18">
        <v>176989</v>
      </c>
      <c r="E22" s="18">
        <v>176977</v>
      </c>
      <c r="F22" s="18">
        <v>177254</v>
      </c>
      <c r="G22" s="18">
        <v>177653</v>
      </c>
      <c r="H22" s="18">
        <v>178568</v>
      </c>
      <c r="I22" s="18">
        <v>179512</v>
      </c>
      <c r="J22" s="18">
        <v>180153</v>
      </c>
      <c r="K22" s="18">
        <v>181071</v>
      </c>
      <c r="L22" s="18">
        <v>181493</v>
      </c>
      <c r="M22" s="18">
        <v>181800</v>
      </c>
      <c r="N22" s="18">
        <v>182978</v>
      </c>
      <c r="O22" s="18">
        <v>184274</v>
      </c>
      <c r="P22" s="18">
        <v>185569</v>
      </c>
      <c r="Q22" s="18">
        <v>187749</v>
      </c>
      <c r="R22" s="18">
        <v>189533</v>
      </c>
      <c r="S22" s="18">
        <v>191565</v>
      </c>
      <c r="T22" s="18">
        <v>192329</v>
      </c>
      <c r="U22" s="18">
        <v>192739</v>
      </c>
      <c r="V22" s="18">
        <v>193382</v>
      </c>
      <c r="W22" s="18">
        <v>194989</v>
      </c>
      <c r="X22" s="18">
        <v>193686</v>
      </c>
      <c r="Y22" s="18">
        <v>192996</v>
      </c>
      <c r="Z22" s="18">
        <v>192100</v>
      </c>
      <c r="AA22" s="18">
        <v>192534</v>
      </c>
      <c r="AB22" s="18">
        <v>192902</v>
      </c>
      <c r="AC22" s="18">
        <v>193156</v>
      </c>
      <c r="AD22" s="18">
        <v>192453</v>
      </c>
      <c r="AE22" s="18">
        <v>192576</v>
      </c>
      <c r="AF22" s="18">
        <v>191690</v>
      </c>
      <c r="AG22" s="18">
        <v>190768</v>
      </c>
      <c r="AH22" s="61">
        <v>191339</v>
      </c>
      <c r="AI22" s="113">
        <v>192426</v>
      </c>
      <c r="AJ22" s="61">
        <v>193273</v>
      </c>
      <c r="AM22"/>
    </row>
    <row r="23" spans="1:39" ht="15.75" x14ac:dyDescent="0.25">
      <c r="A23" s="16" t="s">
        <v>179</v>
      </c>
      <c r="B23" s="17" t="s">
        <v>38</v>
      </c>
      <c r="C23" s="18">
        <v>470948</v>
      </c>
      <c r="D23" s="18">
        <v>472393</v>
      </c>
      <c r="E23" s="18">
        <v>473425</v>
      </c>
      <c r="F23" s="18">
        <v>473471</v>
      </c>
      <c r="G23" s="18">
        <v>474063</v>
      </c>
      <c r="H23" s="18">
        <v>471610</v>
      </c>
      <c r="I23" s="18">
        <v>471165</v>
      </c>
      <c r="J23" s="18">
        <v>470880</v>
      </c>
      <c r="K23" s="18">
        <v>470718</v>
      </c>
      <c r="L23" s="18">
        <v>470585</v>
      </c>
      <c r="M23" s="18">
        <v>470950</v>
      </c>
      <c r="N23" s="18">
        <v>472391</v>
      </c>
      <c r="O23" s="18">
        <v>474449</v>
      </c>
      <c r="P23" s="18">
        <v>477409</v>
      </c>
      <c r="Q23" s="18">
        <v>481807</v>
      </c>
      <c r="R23" s="18">
        <v>485378</v>
      </c>
      <c r="S23" s="18">
        <v>488859</v>
      </c>
      <c r="T23" s="18">
        <v>491756</v>
      </c>
      <c r="U23" s="18">
        <v>493722</v>
      </c>
      <c r="V23" s="18">
        <v>495793</v>
      </c>
      <c r="W23" s="18">
        <v>499707</v>
      </c>
      <c r="X23" s="18">
        <v>496889</v>
      </c>
      <c r="Y23" s="18">
        <v>494268</v>
      </c>
      <c r="Z23" s="18">
        <v>491679</v>
      </c>
      <c r="AA23" s="18">
        <v>490555</v>
      </c>
      <c r="AB23" s="18">
        <v>490238</v>
      </c>
      <c r="AC23" s="18">
        <v>489695</v>
      </c>
      <c r="AD23" s="18">
        <v>487333</v>
      </c>
      <c r="AE23" s="18">
        <v>486977</v>
      </c>
      <c r="AF23" s="18">
        <v>485226</v>
      </c>
      <c r="AG23" s="18">
        <v>483737</v>
      </c>
      <c r="AH23" s="61">
        <v>484626</v>
      </c>
      <c r="AI23" s="113">
        <v>487361</v>
      </c>
      <c r="AJ23" s="61">
        <v>487453</v>
      </c>
      <c r="AM23"/>
    </row>
    <row r="24" spans="1:39" ht="15.75" x14ac:dyDescent="0.25">
      <c r="A24" s="16" t="s">
        <v>179</v>
      </c>
      <c r="B24" s="17" t="s">
        <v>121</v>
      </c>
      <c r="C24" s="18">
        <v>285964</v>
      </c>
      <c r="D24" s="18">
        <v>287194</v>
      </c>
      <c r="E24" s="18">
        <v>288647</v>
      </c>
      <c r="F24" s="18">
        <v>290446</v>
      </c>
      <c r="G24" s="18">
        <v>291254</v>
      </c>
      <c r="H24" s="18">
        <v>291077</v>
      </c>
      <c r="I24" s="18">
        <v>290668</v>
      </c>
      <c r="J24" s="18">
        <v>289968</v>
      </c>
      <c r="K24" s="18">
        <v>289649</v>
      </c>
      <c r="L24" s="18">
        <v>288503</v>
      </c>
      <c r="M24" s="18">
        <v>288412</v>
      </c>
      <c r="N24" s="18">
        <v>289905</v>
      </c>
      <c r="O24" s="18">
        <v>292431</v>
      </c>
      <c r="P24" s="18">
        <v>295142</v>
      </c>
      <c r="Q24" s="18">
        <v>298272</v>
      </c>
      <c r="R24" s="18">
        <v>301922</v>
      </c>
      <c r="S24" s="18">
        <v>304517</v>
      </c>
      <c r="T24" s="18">
        <v>306304</v>
      </c>
      <c r="U24" s="18">
        <v>306259</v>
      </c>
      <c r="V24" s="18">
        <v>307110</v>
      </c>
      <c r="W24" s="18">
        <v>307773</v>
      </c>
      <c r="X24" s="18">
        <v>303655</v>
      </c>
      <c r="Y24" s="18">
        <v>304568</v>
      </c>
      <c r="Z24" s="18">
        <v>302957</v>
      </c>
      <c r="AA24" s="18">
        <v>302633</v>
      </c>
      <c r="AB24" s="18">
        <v>301990</v>
      </c>
      <c r="AC24" s="18">
        <v>300365</v>
      </c>
      <c r="AD24" s="18">
        <v>297615</v>
      </c>
      <c r="AE24" s="18">
        <v>295359</v>
      </c>
      <c r="AF24" s="18">
        <v>293074</v>
      </c>
      <c r="AG24" s="18">
        <v>294626</v>
      </c>
      <c r="AH24" s="61">
        <v>293328</v>
      </c>
      <c r="AI24" s="113">
        <v>293309</v>
      </c>
      <c r="AJ24" s="61">
        <v>292588</v>
      </c>
      <c r="AM24"/>
    </row>
    <row r="25" spans="1:39" ht="15.75" x14ac:dyDescent="0.25">
      <c r="A25" s="16" t="s">
        <v>179</v>
      </c>
      <c r="B25" s="17" t="s">
        <v>39</v>
      </c>
      <c r="C25" s="18">
        <v>238812</v>
      </c>
      <c r="D25" s="18">
        <v>238343</v>
      </c>
      <c r="E25" s="18">
        <v>237749</v>
      </c>
      <c r="F25" s="18">
        <v>237448</v>
      </c>
      <c r="G25" s="18">
        <v>237335</v>
      </c>
      <c r="H25" s="18">
        <v>236711</v>
      </c>
      <c r="I25" s="18">
        <v>236616</v>
      </c>
      <c r="J25" s="18">
        <v>236154</v>
      </c>
      <c r="K25" s="18">
        <v>235368</v>
      </c>
      <c r="L25" s="18">
        <v>234139</v>
      </c>
      <c r="M25" s="18">
        <v>234109</v>
      </c>
      <c r="N25" s="18">
        <v>233875</v>
      </c>
      <c r="O25" s="18">
        <v>234319</v>
      </c>
      <c r="P25" s="18">
        <v>235463</v>
      </c>
      <c r="Q25" s="18">
        <v>235904</v>
      </c>
      <c r="R25" s="18">
        <v>236381</v>
      </c>
      <c r="S25" s="18">
        <v>237393</v>
      </c>
      <c r="T25" s="18">
        <v>237798</v>
      </c>
      <c r="U25" s="18">
        <v>237379</v>
      </c>
      <c r="V25" s="18">
        <v>237293</v>
      </c>
      <c r="W25" s="18">
        <v>237446</v>
      </c>
      <c r="X25" s="18">
        <v>234858</v>
      </c>
      <c r="Y25" s="18">
        <v>232983</v>
      </c>
      <c r="Z25" s="18">
        <v>231002</v>
      </c>
      <c r="AA25" s="18">
        <v>229341</v>
      </c>
      <c r="AB25" s="18">
        <v>227851</v>
      </c>
      <c r="AC25" s="18">
        <v>226606</v>
      </c>
      <c r="AD25" s="18">
        <v>224357</v>
      </c>
      <c r="AE25" s="18">
        <v>222809</v>
      </c>
      <c r="AF25" s="18">
        <v>220817</v>
      </c>
      <c r="AG25" s="18">
        <v>220350</v>
      </c>
      <c r="AH25" s="61">
        <v>219461</v>
      </c>
      <c r="AI25" s="113">
        <v>219406</v>
      </c>
      <c r="AJ25" s="61">
        <v>219277</v>
      </c>
      <c r="AM25"/>
    </row>
    <row r="26" spans="1:39" ht="15.75" x14ac:dyDescent="0.25">
      <c r="A26" s="16" t="s">
        <v>179</v>
      </c>
      <c r="B26" s="17" t="s">
        <v>40</v>
      </c>
      <c r="C26" s="18">
        <v>157544</v>
      </c>
      <c r="D26" s="18">
        <v>157984</v>
      </c>
      <c r="E26" s="18">
        <v>157983</v>
      </c>
      <c r="F26" s="18">
        <v>158078</v>
      </c>
      <c r="G26" s="18">
        <v>158452</v>
      </c>
      <c r="H26" s="18">
        <v>158268</v>
      </c>
      <c r="I26" s="18">
        <v>158287</v>
      </c>
      <c r="J26" s="18">
        <v>158255</v>
      </c>
      <c r="K26" s="18">
        <v>157625</v>
      </c>
      <c r="L26" s="18">
        <v>157435</v>
      </c>
      <c r="M26" s="18">
        <v>158125</v>
      </c>
      <c r="N26" s="18">
        <v>158470</v>
      </c>
      <c r="O26" s="18">
        <v>159321</v>
      </c>
      <c r="P26" s="18">
        <v>160765</v>
      </c>
      <c r="Q26" s="18">
        <v>161741</v>
      </c>
      <c r="R26" s="18">
        <v>162504</v>
      </c>
      <c r="S26" s="18">
        <v>163653</v>
      </c>
      <c r="T26" s="18">
        <v>164329</v>
      </c>
      <c r="U26" s="18">
        <v>163909</v>
      </c>
      <c r="V26" s="18">
        <v>163662</v>
      </c>
      <c r="W26" s="18">
        <v>163619</v>
      </c>
      <c r="X26" s="18">
        <v>161799</v>
      </c>
      <c r="Y26" s="18">
        <v>160620</v>
      </c>
      <c r="Z26" s="18">
        <v>159514</v>
      </c>
      <c r="AA26" s="18">
        <v>158434</v>
      </c>
      <c r="AB26" s="18">
        <v>157586</v>
      </c>
      <c r="AC26" s="18">
        <v>156688</v>
      </c>
      <c r="AD26" s="18">
        <v>155296</v>
      </c>
      <c r="AE26" s="18">
        <v>154250</v>
      </c>
      <c r="AF26" s="18">
        <v>152580</v>
      </c>
      <c r="AG26" s="18">
        <v>152644</v>
      </c>
      <c r="AH26" s="61">
        <v>151696</v>
      </c>
      <c r="AI26" s="113">
        <v>151196</v>
      </c>
      <c r="AJ26" s="61">
        <v>150590</v>
      </c>
      <c r="AM26"/>
    </row>
    <row r="27" spans="1:39" ht="36.6" customHeight="1" x14ac:dyDescent="0.25">
      <c r="A27" s="17" t="s">
        <v>180</v>
      </c>
      <c r="B27" s="17" t="s">
        <v>41</v>
      </c>
      <c r="C27" s="18">
        <v>102669</v>
      </c>
      <c r="D27" s="18">
        <v>101589</v>
      </c>
      <c r="E27" s="18">
        <v>101466</v>
      </c>
      <c r="F27" s="18">
        <v>102231</v>
      </c>
      <c r="G27" s="18">
        <v>102376</v>
      </c>
      <c r="H27" s="18">
        <v>102411</v>
      </c>
      <c r="I27" s="18">
        <v>102111</v>
      </c>
      <c r="J27" s="18">
        <v>101667</v>
      </c>
      <c r="K27" s="18">
        <v>101285</v>
      </c>
      <c r="L27" s="18">
        <v>100176</v>
      </c>
      <c r="M27" s="18">
        <v>99872</v>
      </c>
      <c r="N27" s="18">
        <v>99809</v>
      </c>
      <c r="O27" s="18">
        <v>100019</v>
      </c>
      <c r="P27" s="18">
        <v>100246</v>
      </c>
      <c r="Q27" s="18">
        <v>100430</v>
      </c>
      <c r="R27" s="18">
        <v>101438</v>
      </c>
      <c r="S27" s="18">
        <v>101583</v>
      </c>
      <c r="T27" s="18">
        <v>100914</v>
      </c>
      <c r="U27" s="18">
        <v>100693</v>
      </c>
      <c r="V27" s="18">
        <v>100291</v>
      </c>
      <c r="W27" s="18">
        <v>100620</v>
      </c>
      <c r="X27" s="18">
        <v>98148</v>
      </c>
      <c r="Y27" s="18">
        <v>99029</v>
      </c>
      <c r="Z27" s="18">
        <v>98334</v>
      </c>
      <c r="AA27" s="18">
        <v>97494</v>
      </c>
      <c r="AB27" s="18">
        <v>97186</v>
      </c>
      <c r="AC27" s="18">
        <v>96348</v>
      </c>
      <c r="AD27" s="18">
        <v>95332</v>
      </c>
      <c r="AE27" s="18">
        <v>94287</v>
      </c>
      <c r="AF27" s="18">
        <v>93723</v>
      </c>
      <c r="AG27" s="18">
        <v>94196</v>
      </c>
      <c r="AH27" s="61">
        <v>93900</v>
      </c>
      <c r="AI27" s="113">
        <v>93684</v>
      </c>
      <c r="AJ27" s="61">
        <v>93178</v>
      </c>
      <c r="AM27"/>
    </row>
    <row r="28" spans="1:39" ht="15.75" x14ac:dyDescent="0.25">
      <c r="A28" s="16" t="s">
        <v>180</v>
      </c>
      <c r="B28" s="17" t="s">
        <v>42</v>
      </c>
      <c r="C28" s="18">
        <v>862767</v>
      </c>
      <c r="D28" s="18">
        <v>870257</v>
      </c>
      <c r="E28" s="18">
        <v>875229</v>
      </c>
      <c r="F28" s="18">
        <v>880198</v>
      </c>
      <c r="G28" s="18">
        <v>882476</v>
      </c>
      <c r="H28" s="18">
        <v>881675</v>
      </c>
      <c r="I28" s="18">
        <v>881129</v>
      </c>
      <c r="J28" s="18">
        <v>881005</v>
      </c>
      <c r="K28" s="18">
        <v>881357</v>
      </c>
      <c r="L28" s="18">
        <v>880342</v>
      </c>
      <c r="M28" s="18">
        <v>880529</v>
      </c>
      <c r="N28" s="18">
        <v>885269</v>
      </c>
      <c r="O28" s="18">
        <v>891778</v>
      </c>
      <c r="P28" s="18">
        <v>901590</v>
      </c>
      <c r="Q28" s="18">
        <v>909909</v>
      </c>
      <c r="R28" s="18">
        <v>919414</v>
      </c>
      <c r="S28" s="18">
        <v>929863</v>
      </c>
      <c r="T28" s="18">
        <v>938501</v>
      </c>
      <c r="U28" s="18">
        <v>940690</v>
      </c>
      <c r="V28" s="18">
        <v>944907</v>
      </c>
      <c r="W28" s="18">
        <v>947488</v>
      </c>
      <c r="X28" s="18">
        <v>941430</v>
      </c>
      <c r="Y28" s="18">
        <v>938825</v>
      </c>
      <c r="Z28" s="18">
        <v>937083</v>
      </c>
      <c r="AA28" s="18">
        <v>936552</v>
      </c>
      <c r="AB28" s="18">
        <v>933353</v>
      </c>
      <c r="AC28" s="18">
        <v>928788</v>
      </c>
      <c r="AD28" s="18">
        <v>920869</v>
      </c>
      <c r="AE28" s="18">
        <v>915576</v>
      </c>
      <c r="AF28" s="18">
        <v>908338</v>
      </c>
      <c r="AG28" s="18">
        <v>910995</v>
      </c>
      <c r="AH28" s="61">
        <v>907340</v>
      </c>
      <c r="AI28" s="113">
        <v>908687</v>
      </c>
      <c r="AJ28" s="61">
        <v>908957</v>
      </c>
      <c r="AM28"/>
    </row>
    <row r="29" spans="1:39" ht="15.75" x14ac:dyDescent="0.25">
      <c r="A29" s="16" t="s">
        <v>180</v>
      </c>
      <c r="B29" s="17" t="s">
        <v>43</v>
      </c>
      <c r="C29" s="18">
        <v>1381114</v>
      </c>
      <c r="D29" s="18">
        <v>1378061</v>
      </c>
      <c r="E29" s="18">
        <v>1376324</v>
      </c>
      <c r="F29" s="18">
        <v>1376446</v>
      </c>
      <c r="G29" s="18">
        <v>1376447</v>
      </c>
      <c r="H29" s="18">
        <v>1373977</v>
      </c>
      <c r="I29" s="18">
        <v>1375770</v>
      </c>
      <c r="J29" s="18">
        <v>1376030</v>
      </c>
      <c r="K29" s="18">
        <v>1376186</v>
      </c>
      <c r="L29" s="18">
        <v>1377591</v>
      </c>
      <c r="M29" s="18">
        <v>1379193</v>
      </c>
      <c r="N29" s="18">
        <v>1384550</v>
      </c>
      <c r="O29" s="18">
        <v>1389027</v>
      </c>
      <c r="P29" s="18">
        <v>1395638</v>
      </c>
      <c r="Q29" s="18">
        <v>1402272</v>
      </c>
      <c r="R29" s="18">
        <v>1408463</v>
      </c>
      <c r="S29" s="18">
        <v>1416637</v>
      </c>
      <c r="T29" s="18">
        <v>1421686</v>
      </c>
      <c r="U29" s="18">
        <v>1423229</v>
      </c>
      <c r="V29" s="18">
        <v>1426127</v>
      </c>
      <c r="W29" s="18">
        <v>1430919</v>
      </c>
      <c r="X29" s="18">
        <v>1424156</v>
      </c>
      <c r="Y29" s="18">
        <v>1419288</v>
      </c>
      <c r="Z29" s="18">
        <v>1416357</v>
      </c>
      <c r="AA29" s="18">
        <v>1416634</v>
      </c>
      <c r="AB29" s="18">
        <v>1419032</v>
      </c>
      <c r="AC29" s="18">
        <v>1420394</v>
      </c>
      <c r="AD29" s="18">
        <v>1416675</v>
      </c>
      <c r="AE29" s="18">
        <v>1415880</v>
      </c>
      <c r="AF29" s="18">
        <v>1412469</v>
      </c>
      <c r="AG29" s="18">
        <v>1411310</v>
      </c>
      <c r="AH29" s="61">
        <v>1412965</v>
      </c>
      <c r="AI29" s="113">
        <v>1421564</v>
      </c>
      <c r="AJ29" s="61">
        <v>1427007</v>
      </c>
      <c r="AM29"/>
    </row>
    <row r="30" spans="1:39" ht="15.75" x14ac:dyDescent="0.25">
      <c r="A30" s="16" t="s">
        <v>180</v>
      </c>
      <c r="B30" s="17" t="s">
        <v>44</v>
      </c>
      <c r="C30" s="18">
        <v>945383</v>
      </c>
      <c r="D30" s="18">
        <v>939732</v>
      </c>
      <c r="E30" s="18">
        <v>936371</v>
      </c>
      <c r="F30" s="18">
        <v>933540</v>
      </c>
      <c r="G30" s="18">
        <v>931805</v>
      </c>
      <c r="H30" s="18">
        <v>930127</v>
      </c>
      <c r="I30" s="18">
        <v>925289</v>
      </c>
      <c r="J30" s="18">
        <v>923200</v>
      </c>
      <c r="K30" s="18">
        <v>922654</v>
      </c>
      <c r="L30" s="18">
        <v>920583</v>
      </c>
      <c r="M30" s="18">
        <v>927051</v>
      </c>
      <c r="N30" s="18">
        <v>925723</v>
      </c>
      <c r="O30" s="18">
        <v>923040</v>
      </c>
      <c r="P30" s="18">
        <v>923821</v>
      </c>
      <c r="Q30" s="18">
        <v>933230</v>
      </c>
      <c r="R30" s="18">
        <v>939678</v>
      </c>
      <c r="S30" s="18">
        <v>952241</v>
      </c>
      <c r="T30" s="18">
        <v>962397</v>
      </c>
      <c r="U30" s="18">
        <v>976486</v>
      </c>
      <c r="V30" s="18">
        <v>990833</v>
      </c>
      <c r="W30" s="18">
        <v>1008406</v>
      </c>
      <c r="X30" s="18">
        <v>1006725</v>
      </c>
      <c r="Y30" s="18">
        <v>1004585</v>
      </c>
      <c r="Z30" s="18">
        <v>1002652</v>
      </c>
      <c r="AA30" s="18">
        <v>1008014</v>
      </c>
      <c r="AB30" s="18">
        <v>1013741</v>
      </c>
      <c r="AC30" s="18">
        <v>1018070</v>
      </c>
      <c r="AD30" s="18">
        <v>1022712</v>
      </c>
      <c r="AE30" s="18">
        <v>1031357</v>
      </c>
      <c r="AF30" s="18">
        <v>1033860</v>
      </c>
      <c r="AG30" s="18">
        <v>1023185</v>
      </c>
      <c r="AH30" s="61">
        <v>1043563</v>
      </c>
      <c r="AI30" s="113">
        <v>1067541</v>
      </c>
      <c r="AJ30" s="61">
        <v>1082049</v>
      </c>
      <c r="AM30"/>
    </row>
    <row r="31" spans="1:39" ht="28.5" customHeight="1" x14ac:dyDescent="0.25">
      <c r="A31" s="17" t="s">
        <v>181</v>
      </c>
      <c r="B31" s="17" t="s">
        <v>45</v>
      </c>
      <c r="C31" s="18">
        <f>C24</f>
        <v>285964</v>
      </c>
      <c r="D31" s="18">
        <f t="shared" ref="D31:V31" si="0">D24</f>
        <v>287194</v>
      </c>
      <c r="E31" s="18">
        <f t="shared" si="0"/>
        <v>288647</v>
      </c>
      <c r="F31" s="18">
        <f t="shared" si="0"/>
        <v>290446</v>
      </c>
      <c r="G31" s="18">
        <f t="shared" si="0"/>
        <v>291254</v>
      </c>
      <c r="H31" s="18">
        <f t="shared" si="0"/>
        <v>291077</v>
      </c>
      <c r="I31" s="18">
        <f t="shared" si="0"/>
        <v>290668</v>
      </c>
      <c r="J31" s="18">
        <f t="shared" si="0"/>
        <v>289968</v>
      </c>
      <c r="K31" s="18">
        <f t="shared" si="0"/>
        <v>289649</v>
      </c>
      <c r="L31" s="18">
        <f t="shared" si="0"/>
        <v>288503</v>
      </c>
      <c r="M31" s="18">
        <f t="shared" si="0"/>
        <v>288412</v>
      </c>
      <c r="N31" s="18">
        <f t="shared" si="0"/>
        <v>289905</v>
      </c>
      <c r="O31" s="18">
        <f t="shared" si="0"/>
        <v>292431</v>
      </c>
      <c r="P31" s="18">
        <f t="shared" si="0"/>
        <v>295142</v>
      </c>
      <c r="Q31" s="18">
        <f t="shared" si="0"/>
        <v>298272</v>
      </c>
      <c r="R31" s="18">
        <f t="shared" si="0"/>
        <v>301922</v>
      </c>
      <c r="S31" s="18">
        <f t="shared" si="0"/>
        <v>304517</v>
      </c>
      <c r="T31" s="18">
        <f t="shared" si="0"/>
        <v>306304</v>
      </c>
      <c r="U31" s="18">
        <f t="shared" si="0"/>
        <v>306259</v>
      </c>
      <c r="V31" s="18">
        <f t="shared" si="0"/>
        <v>307110</v>
      </c>
      <c r="W31" s="18">
        <f t="shared" ref="W31:AG31" si="1">W24</f>
        <v>307773</v>
      </c>
      <c r="X31" s="18">
        <f t="shared" si="1"/>
        <v>303655</v>
      </c>
      <c r="Y31" s="18">
        <f t="shared" si="1"/>
        <v>304568</v>
      </c>
      <c r="Z31" s="18">
        <f t="shared" si="1"/>
        <v>302957</v>
      </c>
      <c r="AA31" s="18">
        <f t="shared" si="1"/>
        <v>302633</v>
      </c>
      <c r="AB31" s="18">
        <f t="shared" si="1"/>
        <v>301990</v>
      </c>
      <c r="AC31" s="18">
        <f t="shared" si="1"/>
        <v>300365</v>
      </c>
      <c r="AD31" s="18">
        <f t="shared" si="1"/>
        <v>297615</v>
      </c>
      <c r="AE31" s="18">
        <f t="shared" si="1"/>
        <v>295359</v>
      </c>
      <c r="AF31" s="18">
        <f t="shared" si="1"/>
        <v>293074</v>
      </c>
      <c r="AG31" s="18">
        <f t="shared" si="1"/>
        <v>294626</v>
      </c>
      <c r="AH31" s="61">
        <v>293328</v>
      </c>
      <c r="AI31" s="113">
        <v>293309</v>
      </c>
      <c r="AJ31" s="61">
        <v>292588</v>
      </c>
      <c r="AM31"/>
    </row>
    <row r="32" spans="1:39" ht="15.75" x14ac:dyDescent="0.25">
      <c r="A32" s="16" t="s">
        <v>181</v>
      </c>
      <c r="B32" s="17" t="s">
        <v>120</v>
      </c>
      <c r="C32" s="18">
        <f>C26</f>
        <v>157544</v>
      </c>
      <c r="D32" s="18">
        <f t="shared" ref="D32:V32" si="2">D26</f>
        <v>157984</v>
      </c>
      <c r="E32" s="18">
        <f t="shared" si="2"/>
        <v>157983</v>
      </c>
      <c r="F32" s="18">
        <f t="shared" si="2"/>
        <v>158078</v>
      </c>
      <c r="G32" s="18">
        <f t="shared" si="2"/>
        <v>158452</v>
      </c>
      <c r="H32" s="18">
        <f t="shared" si="2"/>
        <v>158268</v>
      </c>
      <c r="I32" s="18">
        <f t="shared" si="2"/>
        <v>158287</v>
      </c>
      <c r="J32" s="18">
        <f t="shared" si="2"/>
        <v>158255</v>
      </c>
      <c r="K32" s="18">
        <f t="shared" si="2"/>
        <v>157625</v>
      </c>
      <c r="L32" s="18">
        <f t="shared" si="2"/>
        <v>157435</v>
      </c>
      <c r="M32" s="18">
        <f t="shared" si="2"/>
        <v>158125</v>
      </c>
      <c r="N32" s="18">
        <f t="shared" si="2"/>
        <v>158470</v>
      </c>
      <c r="O32" s="18">
        <f t="shared" si="2"/>
        <v>159321</v>
      </c>
      <c r="P32" s="18">
        <f t="shared" si="2"/>
        <v>160765</v>
      </c>
      <c r="Q32" s="18">
        <f t="shared" si="2"/>
        <v>161741</v>
      </c>
      <c r="R32" s="18">
        <f t="shared" si="2"/>
        <v>162504</v>
      </c>
      <c r="S32" s="18">
        <f t="shared" si="2"/>
        <v>163653</v>
      </c>
      <c r="T32" s="18">
        <f t="shared" si="2"/>
        <v>164329</v>
      </c>
      <c r="U32" s="18">
        <f t="shared" si="2"/>
        <v>163909</v>
      </c>
      <c r="V32" s="18">
        <f t="shared" si="2"/>
        <v>163662</v>
      </c>
      <c r="W32" s="18">
        <f t="shared" ref="W32:AG32" si="3">W26</f>
        <v>163619</v>
      </c>
      <c r="X32" s="18">
        <f t="shared" si="3"/>
        <v>161799</v>
      </c>
      <c r="Y32" s="18">
        <f t="shared" si="3"/>
        <v>160620</v>
      </c>
      <c r="Z32" s="18">
        <f t="shared" si="3"/>
        <v>159514</v>
      </c>
      <c r="AA32" s="18">
        <f t="shared" si="3"/>
        <v>158434</v>
      </c>
      <c r="AB32" s="18">
        <f t="shared" si="3"/>
        <v>157586</v>
      </c>
      <c r="AC32" s="18">
        <f t="shared" si="3"/>
        <v>156688</v>
      </c>
      <c r="AD32" s="18">
        <f t="shared" si="3"/>
        <v>155296</v>
      </c>
      <c r="AE32" s="18">
        <f t="shared" si="3"/>
        <v>154250</v>
      </c>
      <c r="AF32" s="18">
        <f t="shared" si="3"/>
        <v>152580</v>
      </c>
      <c r="AG32" s="18">
        <f t="shared" si="3"/>
        <v>152644</v>
      </c>
      <c r="AH32" s="61">
        <v>151696</v>
      </c>
      <c r="AI32" s="113">
        <v>151196</v>
      </c>
      <c r="AJ32" s="61">
        <v>150590</v>
      </c>
      <c r="AM32"/>
    </row>
    <row r="33" spans="1:39" ht="15.75" x14ac:dyDescent="0.25">
      <c r="A33" s="16" t="s">
        <v>181</v>
      </c>
      <c r="B33" s="17" t="s">
        <v>46</v>
      </c>
      <c r="C33" s="18">
        <v>2848425</v>
      </c>
      <c r="D33" s="18">
        <v>2844461</v>
      </c>
      <c r="E33" s="18">
        <v>2842760</v>
      </c>
      <c r="F33" s="18">
        <v>2843891</v>
      </c>
      <c r="G33" s="18">
        <v>2843398</v>
      </c>
      <c r="H33" s="18">
        <v>2838845</v>
      </c>
      <c r="I33" s="18">
        <v>2835344</v>
      </c>
      <c r="J33" s="18">
        <v>2833679</v>
      </c>
      <c r="K33" s="18">
        <v>2834208</v>
      </c>
      <c r="L33" s="18">
        <v>2832754</v>
      </c>
      <c r="M33" s="18">
        <v>2840108</v>
      </c>
      <c r="N33" s="18">
        <v>2846976</v>
      </c>
      <c r="O33" s="18">
        <v>2852112</v>
      </c>
      <c r="P33" s="18">
        <v>2865388</v>
      </c>
      <c r="Q33" s="18">
        <v>2885828</v>
      </c>
      <c r="R33" s="18">
        <v>2904567</v>
      </c>
      <c r="S33" s="18">
        <v>2932154</v>
      </c>
      <c r="T33" s="18">
        <v>2952865</v>
      </c>
      <c r="U33" s="18">
        <v>2970930</v>
      </c>
      <c r="V33" s="18">
        <v>2991386</v>
      </c>
      <c r="W33" s="18">
        <v>3016041</v>
      </c>
      <c r="X33" s="18">
        <v>3005005</v>
      </c>
      <c r="Y33" s="18">
        <v>2996539</v>
      </c>
      <c r="Z33" s="18">
        <v>2991955</v>
      </c>
      <c r="AA33" s="18">
        <v>2997627</v>
      </c>
      <c r="AB33" s="18">
        <v>3003736</v>
      </c>
      <c r="AC33" s="18">
        <v>3006547</v>
      </c>
      <c r="AD33" s="18">
        <v>3002677</v>
      </c>
      <c r="AE33" s="18">
        <v>3007491</v>
      </c>
      <c r="AF33" s="18">
        <v>3002736</v>
      </c>
      <c r="AG33" s="18">
        <v>2992416</v>
      </c>
      <c r="AH33" s="61">
        <v>3012744</v>
      </c>
      <c r="AI33" s="113">
        <v>3046971</v>
      </c>
      <c r="AJ33" s="61">
        <v>3068013</v>
      </c>
      <c r="AM33"/>
    </row>
    <row r="34" spans="1:39" ht="30" customHeight="1" x14ac:dyDescent="0.25">
      <c r="A34" s="17" t="s">
        <v>47</v>
      </c>
      <c r="B34" s="17" t="s">
        <v>22</v>
      </c>
      <c r="C34" s="18">
        <v>145243</v>
      </c>
      <c r="D34" s="18">
        <v>146204</v>
      </c>
      <c r="E34" s="18">
        <v>147547</v>
      </c>
      <c r="F34" s="18">
        <v>148322</v>
      </c>
      <c r="G34" s="18">
        <v>148724</v>
      </c>
      <c r="H34" s="18">
        <v>148184</v>
      </c>
      <c r="I34" s="18">
        <v>147665</v>
      </c>
      <c r="J34" s="18">
        <v>146673</v>
      </c>
      <c r="K34" s="18">
        <v>146182</v>
      </c>
      <c r="L34" s="18">
        <v>145302</v>
      </c>
      <c r="M34" s="18">
        <v>144778</v>
      </c>
      <c r="N34" s="18">
        <v>144123</v>
      </c>
      <c r="O34" s="18">
        <v>143332</v>
      </c>
      <c r="P34" s="18">
        <v>142686</v>
      </c>
      <c r="Q34" s="18">
        <v>143912</v>
      </c>
      <c r="R34" s="18">
        <v>145188</v>
      </c>
      <c r="S34" s="18">
        <v>148037</v>
      </c>
      <c r="T34" s="18">
        <v>149671</v>
      </c>
      <c r="U34" s="18">
        <v>152776</v>
      </c>
      <c r="V34" s="21">
        <v>155364</v>
      </c>
      <c r="W34" s="21">
        <v>157979</v>
      </c>
      <c r="X34" s="21">
        <v>157941</v>
      </c>
      <c r="Y34" s="21">
        <v>158202</v>
      </c>
      <c r="Z34" s="21">
        <v>157860</v>
      </c>
      <c r="AA34" s="21">
        <v>157880</v>
      </c>
      <c r="AB34" s="21">
        <v>155824</v>
      </c>
      <c r="AC34" s="21">
        <v>153797</v>
      </c>
      <c r="AD34" s="21">
        <v>151806</v>
      </c>
      <c r="AE34" s="21">
        <v>151882</v>
      </c>
      <c r="AF34" s="18">
        <v>151316</v>
      </c>
      <c r="AG34" s="18">
        <v>148384</v>
      </c>
      <c r="AH34" s="61">
        <v>150356</v>
      </c>
      <c r="AI34" s="139">
        <v>152789</v>
      </c>
      <c r="AJ34" s="138">
        <v>154153</v>
      </c>
      <c r="AM34"/>
    </row>
    <row r="35" spans="1:39" ht="15.75" x14ac:dyDescent="0.25">
      <c r="A35" s="16" t="s">
        <v>47</v>
      </c>
      <c r="B35" s="17" t="s">
        <v>23</v>
      </c>
      <c r="C35" s="18">
        <v>138410</v>
      </c>
      <c r="D35" s="18">
        <v>141510</v>
      </c>
      <c r="E35" s="18">
        <v>143860</v>
      </c>
      <c r="F35" s="18">
        <v>145649</v>
      </c>
      <c r="G35" s="18">
        <v>146255</v>
      </c>
      <c r="H35" s="18">
        <v>147180</v>
      </c>
      <c r="I35" s="18">
        <v>146311</v>
      </c>
      <c r="J35" s="18">
        <v>146470</v>
      </c>
      <c r="K35" s="18">
        <v>147341</v>
      </c>
      <c r="L35" s="18">
        <v>147295</v>
      </c>
      <c r="M35" s="18">
        <v>146858</v>
      </c>
      <c r="N35" s="18">
        <v>148551</v>
      </c>
      <c r="O35" s="18">
        <v>150519</v>
      </c>
      <c r="P35" s="18">
        <v>153093</v>
      </c>
      <c r="Q35" s="18">
        <v>155039</v>
      </c>
      <c r="R35" s="18">
        <v>157752</v>
      </c>
      <c r="S35" s="18">
        <v>159977</v>
      </c>
      <c r="T35" s="18">
        <v>161372</v>
      </c>
      <c r="U35" s="18">
        <v>162513</v>
      </c>
      <c r="V35" s="21">
        <v>164131</v>
      </c>
      <c r="W35" s="21">
        <v>165016</v>
      </c>
      <c r="X35" s="21">
        <v>165147</v>
      </c>
      <c r="Y35" s="21">
        <v>165765</v>
      </c>
      <c r="Z35" s="21">
        <v>166901</v>
      </c>
      <c r="AA35" s="21">
        <v>167645</v>
      </c>
      <c r="AB35" s="21">
        <v>166680</v>
      </c>
      <c r="AC35" s="21">
        <v>165042</v>
      </c>
      <c r="AD35" s="21">
        <v>163195</v>
      </c>
      <c r="AE35" s="21">
        <v>161473</v>
      </c>
      <c r="AF35" s="18">
        <v>159949</v>
      </c>
      <c r="AG35" s="18">
        <v>160049</v>
      </c>
      <c r="AH35" s="61">
        <v>159266</v>
      </c>
      <c r="AI35" s="139">
        <v>159029</v>
      </c>
      <c r="AJ35" s="138">
        <v>158834</v>
      </c>
      <c r="AM35"/>
    </row>
    <row r="36" spans="1:39" ht="15.75" x14ac:dyDescent="0.25">
      <c r="A36" s="16" t="s">
        <v>47</v>
      </c>
      <c r="B36" s="17" t="s">
        <v>29</v>
      </c>
      <c r="C36" s="18">
        <v>68637</v>
      </c>
      <c r="D36" s="18">
        <v>69614</v>
      </c>
      <c r="E36" s="18">
        <v>70169</v>
      </c>
      <c r="F36" s="18">
        <v>70625</v>
      </c>
      <c r="G36" s="18">
        <v>70571</v>
      </c>
      <c r="H36" s="18">
        <v>69753</v>
      </c>
      <c r="I36" s="18">
        <v>69432</v>
      </c>
      <c r="J36" s="18">
        <v>69344</v>
      </c>
      <c r="K36" s="18">
        <v>69220</v>
      </c>
      <c r="L36" s="18">
        <v>68791</v>
      </c>
      <c r="M36" s="18">
        <v>68382</v>
      </c>
      <c r="N36" s="18">
        <v>68618</v>
      </c>
      <c r="O36" s="18">
        <v>68340</v>
      </c>
      <c r="P36" s="18">
        <v>69389</v>
      </c>
      <c r="Q36" s="18">
        <v>70031</v>
      </c>
      <c r="R36" s="18">
        <v>70808</v>
      </c>
      <c r="S36" s="18">
        <v>71569</v>
      </c>
      <c r="T36" s="18">
        <v>72057</v>
      </c>
      <c r="U36" s="18">
        <v>72020</v>
      </c>
      <c r="V36" s="21">
        <v>72311</v>
      </c>
      <c r="W36" s="21">
        <v>72755</v>
      </c>
      <c r="X36" s="21">
        <v>72003</v>
      </c>
      <c r="Y36" s="21">
        <v>71564</v>
      </c>
      <c r="Z36" s="21">
        <v>71404</v>
      </c>
      <c r="AA36" s="21">
        <v>71322</v>
      </c>
      <c r="AB36" s="21">
        <v>70728</v>
      </c>
      <c r="AC36" s="21">
        <v>70191</v>
      </c>
      <c r="AD36" s="21">
        <v>69376</v>
      </c>
      <c r="AE36" s="21">
        <v>68866</v>
      </c>
      <c r="AF36" s="18">
        <v>68308</v>
      </c>
      <c r="AG36" s="18">
        <v>68134</v>
      </c>
      <c r="AH36" s="61">
        <v>67601</v>
      </c>
      <c r="AI36" s="139">
        <v>67577</v>
      </c>
      <c r="AJ36" s="138">
        <v>67191</v>
      </c>
      <c r="AM36"/>
    </row>
    <row r="37" spans="1:39" ht="15.75" x14ac:dyDescent="0.25">
      <c r="A37" s="16" t="s">
        <v>47</v>
      </c>
      <c r="B37" s="17" t="s">
        <v>24</v>
      </c>
      <c r="C37" s="18">
        <v>58729</v>
      </c>
      <c r="D37" s="18">
        <v>57342</v>
      </c>
      <c r="E37" s="18">
        <v>56915</v>
      </c>
      <c r="F37" s="18">
        <v>57558</v>
      </c>
      <c r="G37" s="18">
        <v>57630</v>
      </c>
      <c r="H37" s="18">
        <v>57733</v>
      </c>
      <c r="I37" s="18">
        <v>57788</v>
      </c>
      <c r="J37" s="18">
        <v>57738</v>
      </c>
      <c r="K37" s="18">
        <v>57811</v>
      </c>
      <c r="L37" s="18">
        <v>57346</v>
      </c>
      <c r="M37" s="18">
        <v>57360</v>
      </c>
      <c r="N37" s="18">
        <v>57252</v>
      </c>
      <c r="O37" s="18">
        <v>57249</v>
      </c>
      <c r="P37" s="18">
        <v>56921</v>
      </c>
      <c r="Q37" s="18">
        <v>56722</v>
      </c>
      <c r="R37" s="18">
        <v>57337</v>
      </c>
      <c r="S37" s="18">
        <v>57162</v>
      </c>
      <c r="T37" s="18">
        <v>56377</v>
      </c>
      <c r="U37" s="18">
        <v>55889</v>
      </c>
      <c r="V37" s="21">
        <v>54990</v>
      </c>
      <c r="W37" s="21">
        <v>55083</v>
      </c>
      <c r="X37" s="21">
        <v>53010</v>
      </c>
      <c r="Y37" s="21">
        <v>54187</v>
      </c>
      <c r="Z37" s="21">
        <v>53882</v>
      </c>
      <c r="AA37" s="21">
        <v>53355</v>
      </c>
      <c r="AB37" s="21">
        <v>53497</v>
      </c>
      <c r="AC37" s="21">
        <v>53060</v>
      </c>
      <c r="AD37" s="21">
        <v>52455</v>
      </c>
      <c r="AE37" s="21">
        <v>51902</v>
      </c>
      <c r="AF37" s="18">
        <v>51668</v>
      </c>
      <c r="AG37" s="18">
        <v>52107</v>
      </c>
      <c r="AH37" s="61">
        <v>51875</v>
      </c>
      <c r="AI37" s="139">
        <v>51647</v>
      </c>
      <c r="AJ37" s="138">
        <v>51191</v>
      </c>
      <c r="AM37"/>
    </row>
    <row r="38" spans="1:39" ht="15.75" x14ac:dyDescent="0.25">
      <c r="A38" s="16" t="s">
        <v>47</v>
      </c>
      <c r="B38" s="17" t="s">
        <v>25</v>
      </c>
      <c r="C38" s="18">
        <v>292293</v>
      </c>
      <c r="D38" s="18">
        <v>291867</v>
      </c>
      <c r="E38" s="18">
        <v>292443</v>
      </c>
      <c r="F38" s="18">
        <v>293597</v>
      </c>
      <c r="G38" s="18">
        <v>296693</v>
      </c>
      <c r="H38" s="18">
        <v>298201</v>
      </c>
      <c r="I38" s="18">
        <v>299585</v>
      </c>
      <c r="J38" s="18">
        <v>300917</v>
      </c>
      <c r="K38" s="18">
        <v>302515</v>
      </c>
      <c r="L38" s="18">
        <v>304451</v>
      </c>
      <c r="M38" s="18">
        <v>306559</v>
      </c>
      <c r="N38" s="18">
        <v>306160</v>
      </c>
      <c r="O38" s="18">
        <v>305247</v>
      </c>
      <c r="P38" s="18">
        <v>307126</v>
      </c>
      <c r="Q38" s="18">
        <v>311845</v>
      </c>
      <c r="R38" s="18">
        <v>314961</v>
      </c>
      <c r="S38" s="18">
        <v>319239</v>
      </c>
      <c r="T38" s="18">
        <v>321541</v>
      </c>
      <c r="U38" s="18">
        <v>325019</v>
      </c>
      <c r="V38" s="21">
        <v>330297</v>
      </c>
      <c r="W38" s="21">
        <v>336611</v>
      </c>
      <c r="X38" s="21">
        <v>336164</v>
      </c>
      <c r="Y38" s="21">
        <v>335844</v>
      </c>
      <c r="Z38" s="21">
        <v>335572</v>
      </c>
      <c r="AA38" s="21">
        <v>338805</v>
      </c>
      <c r="AB38" s="21">
        <v>342440</v>
      </c>
      <c r="AC38" s="21">
        <v>345495</v>
      </c>
      <c r="AD38" s="21">
        <v>348551</v>
      </c>
      <c r="AE38" s="21">
        <v>352331</v>
      </c>
      <c r="AF38" s="18">
        <v>354142</v>
      </c>
      <c r="AG38" s="18">
        <v>349621</v>
      </c>
      <c r="AH38" s="61">
        <v>356758</v>
      </c>
      <c r="AI38" s="139">
        <v>364084</v>
      </c>
      <c r="AJ38" s="138">
        <v>369218</v>
      </c>
      <c r="AM38"/>
    </row>
    <row r="39" spans="1:39" ht="15.75" x14ac:dyDescent="0.25">
      <c r="A39" s="16" t="s">
        <v>47</v>
      </c>
      <c r="B39" s="17" t="s">
        <v>2</v>
      </c>
      <c r="C39" s="18">
        <v>31171</v>
      </c>
      <c r="D39" s="18">
        <v>31188</v>
      </c>
      <c r="E39" s="18">
        <v>31190</v>
      </c>
      <c r="F39" s="18">
        <v>31249</v>
      </c>
      <c r="G39" s="18">
        <v>31152</v>
      </c>
      <c r="H39" s="18">
        <v>31257</v>
      </c>
      <c r="I39" s="18">
        <v>31295</v>
      </c>
      <c r="J39" s="18">
        <v>31216</v>
      </c>
      <c r="K39" s="18">
        <v>31100</v>
      </c>
      <c r="L39" s="18">
        <v>31110</v>
      </c>
      <c r="M39" s="18">
        <v>31138</v>
      </c>
      <c r="N39" s="18">
        <v>31255</v>
      </c>
      <c r="O39" s="18">
        <v>31380</v>
      </c>
      <c r="P39" s="18">
        <v>31929</v>
      </c>
      <c r="Q39" s="18">
        <v>32321</v>
      </c>
      <c r="R39" s="18">
        <v>32808</v>
      </c>
      <c r="S39" s="18">
        <v>33522</v>
      </c>
      <c r="T39" s="18">
        <v>33854</v>
      </c>
      <c r="U39" s="18">
        <v>33889</v>
      </c>
      <c r="V39" s="21">
        <v>33793</v>
      </c>
      <c r="W39" s="21">
        <v>33884</v>
      </c>
      <c r="X39" s="21">
        <v>33462</v>
      </c>
      <c r="Y39" s="21">
        <v>33254</v>
      </c>
      <c r="Z39" s="21">
        <v>33030</v>
      </c>
      <c r="AA39" s="21">
        <v>32959</v>
      </c>
      <c r="AB39" s="21">
        <v>32749</v>
      </c>
      <c r="AC39" s="21">
        <v>32686</v>
      </c>
      <c r="AD39" s="21">
        <v>32469</v>
      </c>
      <c r="AE39" s="21">
        <v>32372</v>
      </c>
      <c r="AF39" s="18">
        <v>32007</v>
      </c>
      <c r="AG39" s="18">
        <v>32120</v>
      </c>
      <c r="AH39" s="61">
        <v>32190</v>
      </c>
      <c r="AI39" s="139">
        <v>32334</v>
      </c>
      <c r="AJ39" s="138">
        <v>32352</v>
      </c>
      <c r="AM39"/>
    </row>
    <row r="40" spans="1:39" ht="15.75" x14ac:dyDescent="0.25">
      <c r="A40" s="16" t="s">
        <v>47</v>
      </c>
      <c r="B40" s="17" t="s">
        <v>3</v>
      </c>
      <c r="C40" s="18">
        <v>92820</v>
      </c>
      <c r="D40" s="18">
        <v>92930</v>
      </c>
      <c r="E40" s="18">
        <v>92711</v>
      </c>
      <c r="F40" s="18">
        <v>92506</v>
      </c>
      <c r="G40" s="18">
        <v>92583</v>
      </c>
      <c r="H40" s="18">
        <v>92446</v>
      </c>
      <c r="I40" s="18">
        <v>92353</v>
      </c>
      <c r="J40" s="18">
        <v>92318</v>
      </c>
      <c r="K40" s="18">
        <v>91798</v>
      </c>
      <c r="L40" s="18">
        <v>91288</v>
      </c>
      <c r="M40" s="18">
        <v>91585</v>
      </c>
      <c r="N40" s="18">
        <v>91459</v>
      </c>
      <c r="O40" s="18">
        <v>91732</v>
      </c>
      <c r="P40" s="18">
        <v>92516</v>
      </c>
      <c r="Q40" s="18">
        <v>93035</v>
      </c>
      <c r="R40" s="18">
        <v>93154</v>
      </c>
      <c r="S40" s="18">
        <v>93381</v>
      </c>
      <c r="T40" s="18">
        <v>93500</v>
      </c>
      <c r="U40" s="18">
        <v>93213</v>
      </c>
      <c r="V40" s="21">
        <v>93085</v>
      </c>
      <c r="W40" s="21">
        <v>93029</v>
      </c>
      <c r="X40" s="21">
        <v>91895</v>
      </c>
      <c r="Y40" s="21">
        <v>90992</v>
      </c>
      <c r="Z40" s="21">
        <v>90196</v>
      </c>
      <c r="AA40" s="21">
        <v>89338</v>
      </c>
      <c r="AB40" s="21">
        <v>88476</v>
      </c>
      <c r="AC40" s="21">
        <v>87591</v>
      </c>
      <c r="AD40" s="21">
        <v>86418</v>
      </c>
      <c r="AE40" s="21">
        <v>85665</v>
      </c>
      <c r="AF40" s="18">
        <v>84527</v>
      </c>
      <c r="AG40" s="18">
        <v>84337</v>
      </c>
      <c r="AH40" s="61">
        <v>83896</v>
      </c>
      <c r="AI40" s="139">
        <v>83723</v>
      </c>
      <c r="AJ40" s="138">
        <v>83403</v>
      </c>
      <c r="AM40"/>
    </row>
    <row r="41" spans="1:39" ht="15.75" x14ac:dyDescent="0.25">
      <c r="A41" s="16" t="s">
        <v>47</v>
      </c>
      <c r="B41" s="17" t="s">
        <v>30</v>
      </c>
      <c r="C41" s="18">
        <v>100618</v>
      </c>
      <c r="D41" s="18">
        <v>99855</v>
      </c>
      <c r="E41" s="18">
        <v>98765</v>
      </c>
      <c r="F41" s="18">
        <v>97066</v>
      </c>
      <c r="G41" s="18">
        <v>97388</v>
      </c>
      <c r="H41" s="18">
        <v>97399</v>
      </c>
      <c r="I41" s="18">
        <v>97058</v>
      </c>
      <c r="J41" s="18">
        <v>96067</v>
      </c>
      <c r="K41" s="18">
        <v>94989</v>
      </c>
      <c r="L41" s="18">
        <v>94357</v>
      </c>
      <c r="M41" s="18">
        <v>93991</v>
      </c>
      <c r="N41" s="18">
        <v>93327</v>
      </c>
      <c r="O41" s="18">
        <v>93592</v>
      </c>
      <c r="P41" s="18">
        <v>93174</v>
      </c>
      <c r="Q41" s="18">
        <v>93920</v>
      </c>
      <c r="R41" s="18">
        <v>94128</v>
      </c>
      <c r="S41" s="18">
        <v>94703</v>
      </c>
      <c r="T41" s="18">
        <v>95347</v>
      </c>
      <c r="U41" s="18">
        <v>96358</v>
      </c>
      <c r="V41" s="21">
        <v>97318</v>
      </c>
      <c r="W41" s="21">
        <v>98831</v>
      </c>
      <c r="X41" s="21">
        <v>98646</v>
      </c>
      <c r="Y41" s="21">
        <v>98139</v>
      </c>
      <c r="Z41" s="21">
        <v>97351</v>
      </c>
      <c r="AA41" s="21">
        <v>96943</v>
      </c>
      <c r="AB41" s="21">
        <v>96555</v>
      </c>
      <c r="AC41" s="21">
        <v>96969</v>
      </c>
      <c r="AD41" s="21">
        <v>96997</v>
      </c>
      <c r="AE41" s="21">
        <v>97799</v>
      </c>
      <c r="AF41" s="18">
        <v>97888</v>
      </c>
      <c r="AG41" s="18">
        <v>96600</v>
      </c>
      <c r="AH41" s="61">
        <v>98015</v>
      </c>
      <c r="AI41" s="139">
        <v>98725</v>
      </c>
      <c r="AJ41" s="138">
        <v>98226</v>
      </c>
      <c r="AM41"/>
    </row>
    <row r="42" spans="1:39" ht="15.75" x14ac:dyDescent="0.25">
      <c r="A42" s="16" t="s">
        <v>47</v>
      </c>
      <c r="B42" s="17" t="s">
        <v>4</v>
      </c>
      <c r="C42" s="18">
        <v>79869</v>
      </c>
      <c r="D42" s="18">
        <v>79520</v>
      </c>
      <c r="E42" s="18">
        <v>78974</v>
      </c>
      <c r="F42" s="18">
        <v>78588</v>
      </c>
      <c r="G42" s="18">
        <v>78153</v>
      </c>
      <c r="H42" s="18">
        <v>77612</v>
      </c>
      <c r="I42" s="18">
        <v>77252</v>
      </c>
      <c r="J42" s="18">
        <v>77052</v>
      </c>
      <c r="K42" s="18">
        <v>76935</v>
      </c>
      <c r="L42" s="18">
        <v>76717</v>
      </c>
      <c r="M42" s="18">
        <v>77023</v>
      </c>
      <c r="N42" s="18">
        <v>76985</v>
      </c>
      <c r="O42" s="18">
        <v>77257</v>
      </c>
      <c r="P42" s="18">
        <v>77657</v>
      </c>
      <c r="Q42" s="18">
        <v>77924</v>
      </c>
      <c r="R42" s="18">
        <v>78213</v>
      </c>
      <c r="S42" s="18">
        <v>78757</v>
      </c>
      <c r="T42" s="18">
        <v>79225</v>
      </c>
      <c r="U42" s="18">
        <v>79515</v>
      </c>
      <c r="V42" s="21">
        <v>79593</v>
      </c>
      <c r="W42" s="21">
        <v>79707</v>
      </c>
      <c r="X42" s="21">
        <v>78922</v>
      </c>
      <c r="Y42" s="21">
        <v>78240</v>
      </c>
      <c r="Z42" s="21">
        <v>77688</v>
      </c>
      <c r="AA42" s="21">
        <v>77115</v>
      </c>
      <c r="AB42" s="21">
        <v>76640</v>
      </c>
      <c r="AC42" s="21">
        <v>76057</v>
      </c>
      <c r="AD42" s="21">
        <v>75409</v>
      </c>
      <c r="AE42" s="21">
        <v>75181</v>
      </c>
      <c r="AF42" s="18">
        <v>74532</v>
      </c>
      <c r="AG42" s="18">
        <v>74445</v>
      </c>
      <c r="AH42" s="61">
        <v>74077</v>
      </c>
      <c r="AI42" s="139">
        <v>74216</v>
      </c>
      <c r="AJ42" s="138">
        <v>74313</v>
      </c>
      <c r="AM42"/>
    </row>
    <row r="43" spans="1:39" ht="15.75" x14ac:dyDescent="0.25">
      <c r="A43" s="16" t="s">
        <v>47</v>
      </c>
      <c r="B43" s="17" t="s">
        <v>32</v>
      </c>
      <c r="C43" s="18">
        <v>72641</v>
      </c>
      <c r="D43" s="18">
        <v>72194</v>
      </c>
      <c r="E43" s="18">
        <v>71797</v>
      </c>
      <c r="F43" s="18">
        <v>71787</v>
      </c>
      <c r="G43" s="18">
        <v>71836</v>
      </c>
      <c r="H43" s="18">
        <v>71153</v>
      </c>
      <c r="I43" s="18">
        <v>70977</v>
      </c>
      <c r="J43" s="18">
        <v>70546</v>
      </c>
      <c r="K43" s="18">
        <v>70072</v>
      </c>
      <c r="L43" s="18">
        <v>69993</v>
      </c>
      <c r="M43" s="18">
        <v>69431</v>
      </c>
      <c r="N43" s="18">
        <v>68561</v>
      </c>
      <c r="O43" s="18">
        <v>68155</v>
      </c>
      <c r="P43" s="18">
        <v>67770</v>
      </c>
      <c r="Q43" s="18">
        <v>67321</v>
      </c>
      <c r="R43" s="18">
        <v>66952</v>
      </c>
      <c r="S43" s="18">
        <v>66605</v>
      </c>
      <c r="T43" s="18">
        <v>66430</v>
      </c>
      <c r="U43" s="18">
        <v>66232</v>
      </c>
      <c r="V43" s="21">
        <v>66022</v>
      </c>
      <c r="W43" s="21">
        <v>65761</v>
      </c>
      <c r="X43" s="21">
        <v>66043</v>
      </c>
      <c r="Y43" s="21">
        <v>65719</v>
      </c>
      <c r="Z43" s="21">
        <v>66027</v>
      </c>
      <c r="AA43" s="21">
        <v>65828</v>
      </c>
      <c r="AB43" s="21">
        <v>65646</v>
      </c>
      <c r="AC43" s="21">
        <v>65699</v>
      </c>
      <c r="AD43" s="21">
        <v>65197</v>
      </c>
      <c r="AE43" s="21">
        <v>64896</v>
      </c>
      <c r="AF43" s="18">
        <v>64424</v>
      </c>
      <c r="AG43" s="18">
        <v>64024</v>
      </c>
      <c r="AH43" s="61">
        <v>63295</v>
      </c>
      <c r="AI43" s="139">
        <v>63221</v>
      </c>
      <c r="AJ43" s="138">
        <v>63025</v>
      </c>
      <c r="AM43"/>
    </row>
    <row r="44" spans="1:39" ht="15.75" x14ac:dyDescent="0.25">
      <c r="A44" s="16" t="s">
        <v>47</v>
      </c>
      <c r="B44" s="17" t="s">
        <v>5</v>
      </c>
      <c r="C44" s="18">
        <v>53339</v>
      </c>
      <c r="D44" s="18">
        <v>53218</v>
      </c>
      <c r="E44" s="18">
        <v>53387</v>
      </c>
      <c r="F44" s="18">
        <v>53906</v>
      </c>
      <c r="G44" s="18">
        <v>54187</v>
      </c>
      <c r="H44" s="18">
        <v>54310</v>
      </c>
      <c r="I44" s="18">
        <v>54649</v>
      </c>
      <c r="J44" s="18">
        <v>54951</v>
      </c>
      <c r="K44" s="18">
        <v>55286</v>
      </c>
      <c r="L44" s="18">
        <v>55739</v>
      </c>
      <c r="M44" s="18">
        <v>55782</v>
      </c>
      <c r="N44" s="18">
        <v>56637</v>
      </c>
      <c r="O44" s="18">
        <v>57225</v>
      </c>
      <c r="P44" s="18">
        <v>57706</v>
      </c>
      <c r="Q44" s="18">
        <v>58141</v>
      </c>
      <c r="R44" s="18">
        <v>58897</v>
      </c>
      <c r="S44" s="18">
        <v>60287</v>
      </c>
      <c r="T44" s="18">
        <v>61934</v>
      </c>
      <c r="U44" s="18">
        <v>62426</v>
      </c>
      <c r="V44" s="21">
        <v>63066</v>
      </c>
      <c r="W44" s="21">
        <v>63333</v>
      </c>
      <c r="X44" s="21">
        <v>63672</v>
      </c>
      <c r="Y44" s="21">
        <v>63938</v>
      </c>
      <c r="Z44" s="21">
        <v>64389</v>
      </c>
      <c r="AA44" s="21">
        <v>64963</v>
      </c>
      <c r="AB44" s="21">
        <v>65446</v>
      </c>
      <c r="AC44" s="21">
        <v>65761</v>
      </c>
      <c r="AD44" s="21">
        <v>66074</v>
      </c>
      <c r="AE44" s="21">
        <v>66543</v>
      </c>
      <c r="AF44" s="18">
        <v>67064</v>
      </c>
      <c r="AG44" s="18">
        <v>68041</v>
      </c>
      <c r="AH44" s="61">
        <v>68412</v>
      </c>
      <c r="AI44" s="139">
        <v>69105</v>
      </c>
      <c r="AJ44" s="138">
        <v>69818</v>
      </c>
      <c r="AM44"/>
    </row>
    <row r="45" spans="1:39" ht="15.75" x14ac:dyDescent="0.25">
      <c r="A45" s="16" t="s">
        <v>47</v>
      </c>
      <c r="B45" s="17" t="s">
        <v>6</v>
      </c>
      <c r="C45" s="18">
        <v>55423</v>
      </c>
      <c r="D45" s="18">
        <v>55471</v>
      </c>
      <c r="E45" s="18">
        <v>55635</v>
      </c>
      <c r="F45" s="18">
        <v>55535</v>
      </c>
      <c r="G45" s="18">
        <v>55961</v>
      </c>
      <c r="H45" s="18">
        <v>55706</v>
      </c>
      <c r="I45" s="18">
        <v>55838</v>
      </c>
      <c r="J45" s="18">
        <v>55856</v>
      </c>
      <c r="K45" s="18">
        <v>55858</v>
      </c>
      <c r="L45" s="18">
        <v>56161</v>
      </c>
      <c r="M45" s="18">
        <v>56163</v>
      </c>
      <c r="N45" s="18">
        <v>56524</v>
      </c>
      <c r="O45" s="18">
        <v>56411</v>
      </c>
      <c r="P45" s="18">
        <v>56298</v>
      </c>
      <c r="Q45" s="18">
        <v>56373</v>
      </c>
      <c r="R45" s="18">
        <v>56176</v>
      </c>
      <c r="S45" s="18">
        <v>56297</v>
      </c>
      <c r="T45" s="18">
        <v>56247</v>
      </c>
      <c r="U45" s="18">
        <v>56153</v>
      </c>
      <c r="V45" s="21">
        <v>56423</v>
      </c>
      <c r="W45" s="21">
        <v>56523</v>
      </c>
      <c r="X45" s="21">
        <v>56394</v>
      </c>
      <c r="Y45" s="21">
        <v>56512</v>
      </c>
      <c r="Z45" s="21">
        <v>56769</v>
      </c>
      <c r="AA45" s="21">
        <v>56812</v>
      </c>
      <c r="AB45" s="21">
        <v>56958</v>
      </c>
      <c r="AC45" s="21">
        <v>57136</v>
      </c>
      <c r="AD45" s="21">
        <v>56872</v>
      </c>
      <c r="AE45" s="21">
        <v>56682</v>
      </c>
      <c r="AF45" s="18">
        <v>56560</v>
      </c>
      <c r="AG45" s="18">
        <v>56364</v>
      </c>
      <c r="AH45" s="61">
        <v>56613</v>
      </c>
      <c r="AI45" s="139">
        <v>57421</v>
      </c>
      <c r="AJ45" s="138">
        <v>57881</v>
      </c>
      <c r="AM45"/>
    </row>
    <row r="46" spans="1:39" ht="15.75" x14ac:dyDescent="0.25">
      <c r="A46" s="16" t="s">
        <v>47</v>
      </c>
      <c r="B46" s="17" t="s">
        <v>8</v>
      </c>
      <c r="C46" s="18">
        <v>93279</v>
      </c>
      <c r="D46" s="18">
        <v>92988</v>
      </c>
      <c r="E46" s="18">
        <v>92641</v>
      </c>
      <c r="F46" s="18">
        <v>92547</v>
      </c>
      <c r="G46" s="18">
        <v>92745</v>
      </c>
      <c r="H46" s="18">
        <v>93038</v>
      </c>
      <c r="I46" s="18">
        <v>93264</v>
      </c>
      <c r="J46" s="18">
        <v>93636</v>
      </c>
      <c r="K46" s="18">
        <v>94065</v>
      </c>
      <c r="L46" s="18">
        <v>93953</v>
      </c>
      <c r="M46" s="18">
        <v>94525</v>
      </c>
      <c r="N46" s="18">
        <v>95270</v>
      </c>
      <c r="O46" s="18">
        <v>95942</v>
      </c>
      <c r="P46" s="18">
        <v>97113</v>
      </c>
      <c r="Q46" s="18">
        <v>98538</v>
      </c>
      <c r="R46" s="18">
        <v>99312</v>
      </c>
      <c r="S46" s="18">
        <v>100360</v>
      </c>
      <c r="T46" s="18">
        <v>100794</v>
      </c>
      <c r="U46" s="18">
        <v>101306</v>
      </c>
      <c r="V46" s="21">
        <v>101540</v>
      </c>
      <c r="W46" s="21">
        <v>102375</v>
      </c>
      <c r="X46" s="21">
        <v>101870</v>
      </c>
      <c r="Y46" s="21">
        <v>101657</v>
      </c>
      <c r="Z46" s="21">
        <v>101424</v>
      </c>
      <c r="AA46" s="21">
        <v>101481</v>
      </c>
      <c r="AB46" s="21">
        <v>101676</v>
      </c>
      <c r="AC46" s="21">
        <v>102000</v>
      </c>
      <c r="AD46" s="21">
        <v>101549</v>
      </c>
      <c r="AE46" s="21">
        <v>101634</v>
      </c>
      <c r="AF46" s="18">
        <v>101080</v>
      </c>
      <c r="AG46" s="18">
        <v>100714</v>
      </c>
      <c r="AH46" s="61">
        <v>100330</v>
      </c>
      <c r="AI46" s="139">
        <v>100603</v>
      </c>
      <c r="AJ46" s="138">
        <v>101276</v>
      </c>
      <c r="AM46"/>
    </row>
    <row r="47" spans="1:39" ht="15.75" x14ac:dyDescent="0.25">
      <c r="A47" s="16" t="s">
        <v>47</v>
      </c>
      <c r="B47" s="17" t="s">
        <v>9</v>
      </c>
      <c r="C47" s="18">
        <v>222284</v>
      </c>
      <c r="D47" s="18">
        <v>222380</v>
      </c>
      <c r="E47" s="18">
        <v>223161</v>
      </c>
      <c r="F47" s="18">
        <v>223285</v>
      </c>
      <c r="G47" s="18">
        <v>222834</v>
      </c>
      <c r="H47" s="18">
        <v>221308</v>
      </c>
      <c r="I47" s="18">
        <v>220898</v>
      </c>
      <c r="J47" s="18">
        <v>221305</v>
      </c>
      <c r="K47" s="18">
        <v>221843</v>
      </c>
      <c r="L47" s="18">
        <v>222950</v>
      </c>
      <c r="M47" s="18">
        <v>224277</v>
      </c>
      <c r="N47" s="18">
        <v>225869</v>
      </c>
      <c r="O47" s="18">
        <v>227281</v>
      </c>
      <c r="P47" s="18">
        <v>229179</v>
      </c>
      <c r="Q47" s="18">
        <v>231460</v>
      </c>
      <c r="R47" s="18">
        <v>233108</v>
      </c>
      <c r="S47" s="18">
        <v>234047</v>
      </c>
      <c r="T47" s="18">
        <v>234459</v>
      </c>
      <c r="U47" s="18">
        <v>234634</v>
      </c>
      <c r="V47" s="21">
        <v>234749</v>
      </c>
      <c r="W47" s="21">
        <v>236218</v>
      </c>
      <c r="X47" s="21">
        <v>234767</v>
      </c>
      <c r="Y47" s="21">
        <v>233612</v>
      </c>
      <c r="Z47" s="21">
        <v>231733</v>
      </c>
      <c r="AA47" s="21">
        <v>231159</v>
      </c>
      <c r="AB47" s="21">
        <v>231654</v>
      </c>
      <c r="AC47" s="21">
        <v>231356</v>
      </c>
      <c r="AD47" s="21">
        <v>230615</v>
      </c>
      <c r="AE47" s="21">
        <v>230339</v>
      </c>
      <c r="AF47" s="18">
        <v>229723</v>
      </c>
      <c r="AG47" s="18">
        <v>228978</v>
      </c>
      <c r="AH47" s="61">
        <v>229273</v>
      </c>
      <c r="AI47" s="139">
        <v>230350</v>
      </c>
      <c r="AJ47" s="138">
        <v>230443</v>
      </c>
      <c r="AM47"/>
    </row>
    <row r="48" spans="1:39" ht="15.75" x14ac:dyDescent="0.25">
      <c r="A48" s="16" t="s">
        <v>47</v>
      </c>
      <c r="B48" s="17" t="s">
        <v>33</v>
      </c>
      <c r="C48" s="18">
        <v>407229</v>
      </c>
      <c r="D48" s="18">
        <v>401806</v>
      </c>
      <c r="E48" s="18">
        <v>397616</v>
      </c>
      <c r="F48" s="18">
        <v>394555</v>
      </c>
      <c r="G48" s="18">
        <v>389000</v>
      </c>
      <c r="H48" s="18">
        <v>386343</v>
      </c>
      <c r="I48" s="18">
        <v>380981</v>
      </c>
      <c r="J48" s="18">
        <v>379543</v>
      </c>
      <c r="K48" s="18">
        <v>378968</v>
      </c>
      <c r="L48" s="18">
        <v>376473</v>
      </c>
      <c r="M48" s="18">
        <v>381723</v>
      </c>
      <c r="N48" s="18">
        <v>382113</v>
      </c>
      <c r="O48" s="18">
        <v>380869</v>
      </c>
      <c r="P48" s="18">
        <v>380835</v>
      </c>
      <c r="Q48" s="18">
        <v>383553</v>
      </c>
      <c r="R48" s="18">
        <v>385401</v>
      </c>
      <c r="S48" s="18">
        <v>390262</v>
      </c>
      <c r="T48" s="18">
        <v>395838</v>
      </c>
      <c r="U48" s="18">
        <v>402333</v>
      </c>
      <c r="V48" s="21">
        <v>407854</v>
      </c>
      <c r="W48" s="21">
        <v>414985</v>
      </c>
      <c r="X48" s="21">
        <v>413974</v>
      </c>
      <c r="Y48" s="21">
        <v>412400</v>
      </c>
      <c r="Z48" s="21">
        <v>411869</v>
      </c>
      <c r="AA48" s="21">
        <v>414386</v>
      </c>
      <c r="AB48" s="21">
        <v>418922</v>
      </c>
      <c r="AC48" s="21">
        <v>421809</v>
      </c>
      <c r="AD48" s="21">
        <v>425358</v>
      </c>
      <c r="AE48" s="21">
        <v>429345</v>
      </c>
      <c r="AF48" s="18">
        <v>430514</v>
      </c>
      <c r="AG48" s="18">
        <v>428580</v>
      </c>
      <c r="AH48" s="61">
        <v>438434</v>
      </c>
      <c r="AI48" s="139">
        <v>451943</v>
      </c>
      <c r="AJ48" s="138">
        <v>460452</v>
      </c>
      <c r="AM48"/>
    </row>
    <row r="49" spans="1:39" ht="15.75" x14ac:dyDescent="0.25">
      <c r="A49" s="16" t="s">
        <v>47</v>
      </c>
      <c r="B49" s="17" t="s">
        <v>10</v>
      </c>
      <c r="C49" s="18">
        <v>129746</v>
      </c>
      <c r="D49" s="18">
        <v>130935</v>
      </c>
      <c r="E49" s="18">
        <v>131649</v>
      </c>
      <c r="F49" s="18">
        <v>131738</v>
      </c>
      <c r="G49" s="18">
        <v>132467</v>
      </c>
      <c r="H49" s="18">
        <v>132693</v>
      </c>
      <c r="I49" s="18">
        <v>132914</v>
      </c>
      <c r="J49" s="18">
        <v>133093</v>
      </c>
      <c r="K49" s="18">
        <v>133207</v>
      </c>
      <c r="L49" s="18">
        <v>133263</v>
      </c>
      <c r="M49" s="18">
        <v>133241</v>
      </c>
      <c r="N49" s="18">
        <v>134048</v>
      </c>
      <c r="O49" s="18">
        <v>135497</v>
      </c>
      <c r="P49" s="18">
        <v>137602</v>
      </c>
      <c r="Q49" s="18">
        <v>139926</v>
      </c>
      <c r="R49" s="18">
        <v>141870</v>
      </c>
      <c r="S49" s="18">
        <v>144042</v>
      </c>
      <c r="T49" s="18">
        <v>145545</v>
      </c>
      <c r="U49" s="18">
        <v>145924</v>
      </c>
      <c r="V49" s="21">
        <v>147072</v>
      </c>
      <c r="W49" s="21">
        <v>147972</v>
      </c>
      <c r="X49" s="21">
        <v>147266</v>
      </c>
      <c r="Y49" s="21">
        <v>146417</v>
      </c>
      <c r="Z49" s="21">
        <v>145586</v>
      </c>
      <c r="AA49" s="21">
        <v>145682</v>
      </c>
      <c r="AB49" s="21">
        <v>145320</v>
      </c>
      <c r="AC49" s="21">
        <v>145038</v>
      </c>
      <c r="AD49" s="21">
        <v>144018</v>
      </c>
      <c r="AE49" s="21">
        <v>143048</v>
      </c>
      <c r="AF49" s="18">
        <v>141949</v>
      </c>
      <c r="AG49" s="18">
        <v>143028</v>
      </c>
      <c r="AH49" s="61">
        <v>142309</v>
      </c>
      <c r="AI49" s="139">
        <v>142290</v>
      </c>
      <c r="AJ49" s="138">
        <v>142144</v>
      </c>
      <c r="AM49"/>
    </row>
    <row r="50" spans="1:39" ht="15.75" x14ac:dyDescent="0.25">
      <c r="A50" s="16" t="s">
        <v>47</v>
      </c>
      <c r="B50" s="17" t="s">
        <v>11</v>
      </c>
      <c r="C50" s="18">
        <v>58143</v>
      </c>
      <c r="D50" s="18">
        <v>57763</v>
      </c>
      <c r="E50" s="18">
        <v>57061</v>
      </c>
      <c r="F50" s="18">
        <v>56599</v>
      </c>
      <c r="G50" s="18">
        <v>56132</v>
      </c>
      <c r="H50" s="18">
        <v>55146</v>
      </c>
      <c r="I50" s="18">
        <v>54854</v>
      </c>
      <c r="J50" s="18">
        <v>54575</v>
      </c>
      <c r="K50" s="18">
        <v>54237</v>
      </c>
      <c r="L50" s="18">
        <v>53919</v>
      </c>
      <c r="M50" s="18">
        <v>53831</v>
      </c>
      <c r="N50" s="18">
        <v>53824</v>
      </c>
      <c r="O50" s="18">
        <v>53649</v>
      </c>
      <c r="P50" s="18">
        <v>53392</v>
      </c>
      <c r="Q50" s="18">
        <v>53426</v>
      </c>
      <c r="R50" s="18">
        <v>53290</v>
      </c>
      <c r="S50" s="18">
        <v>53320</v>
      </c>
      <c r="T50" s="18">
        <v>53346</v>
      </c>
      <c r="U50" s="18">
        <v>53050</v>
      </c>
      <c r="V50" s="21">
        <v>52970</v>
      </c>
      <c r="W50" s="21">
        <v>52709</v>
      </c>
      <c r="X50" s="21">
        <v>52371</v>
      </c>
      <c r="Y50" s="21">
        <v>52150</v>
      </c>
      <c r="Z50" s="21">
        <v>51657</v>
      </c>
      <c r="AA50" s="21">
        <v>51414</v>
      </c>
      <c r="AB50" s="21">
        <v>51007</v>
      </c>
      <c r="AC50" s="21">
        <v>50714</v>
      </c>
      <c r="AD50" s="21">
        <v>50199</v>
      </c>
      <c r="AE50" s="21">
        <v>49801</v>
      </c>
      <c r="AF50" s="18">
        <v>49340</v>
      </c>
      <c r="AG50" s="18">
        <v>49039</v>
      </c>
      <c r="AH50" s="61">
        <v>48724</v>
      </c>
      <c r="AI50" s="139">
        <v>48784</v>
      </c>
      <c r="AJ50" s="138">
        <v>48557</v>
      </c>
      <c r="AM50"/>
    </row>
    <row r="51" spans="1:39" ht="15.75" x14ac:dyDescent="0.25">
      <c r="A51" s="16" t="s">
        <v>47</v>
      </c>
      <c r="B51" s="17" t="s">
        <v>12</v>
      </c>
      <c r="C51" s="18">
        <v>52006</v>
      </c>
      <c r="D51" s="18">
        <v>51682</v>
      </c>
      <c r="E51" s="18">
        <v>51642</v>
      </c>
      <c r="F51" s="18">
        <v>51544</v>
      </c>
      <c r="G51" s="18">
        <v>51233</v>
      </c>
      <c r="H51" s="18">
        <v>51271</v>
      </c>
      <c r="I51" s="18">
        <v>51478</v>
      </c>
      <c r="J51" s="18">
        <v>51838</v>
      </c>
      <c r="K51" s="18">
        <v>52002</v>
      </c>
      <c r="L51" s="18">
        <v>52176</v>
      </c>
      <c r="M51" s="18">
        <v>51809</v>
      </c>
      <c r="N51" s="18">
        <v>51996</v>
      </c>
      <c r="O51" s="18">
        <v>51740</v>
      </c>
      <c r="P51" s="18">
        <v>51840</v>
      </c>
      <c r="Q51" s="18">
        <v>51790</v>
      </c>
      <c r="R51" s="18">
        <v>51827</v>
      </c>
      <c r="S51" s="18">
        <v>52210</v>
      </c>
      <c r="T51" s="18">
        <v>53135</v>
      </c>
      <c r="U51" s="18">
        <v>53047</v>
      </c>
      <c r="V51" s="21">
        <v>53129</v>
      </c>
      <c r="W51" s="21">
        <v>53723</v>
      </c>
      <c r="X51" s="21">
        <v>53771</v>
      </c>
      <c r="Y51" s="21">
        <v>53914</v>
      </c>
      <c r="Z51" s="21">
        <v>54910</v>
      </c>
      <c r="AA51" s="21">
        <v>55601</v>
      </c>
      <c r="AB51" s="21">
        <v>56256</v>
      </c>
      <c r="AC51" s="21">
        <v>57217</v>
      </c>
      <c r="AD51" s="21">
        <v>57716</v>
      </c>
      <c r="AE51" s="21">
        <v>58165</v>
      </c>
      <c r="AF51" s="18">
        <v>58610</v>
      </c>
      <c r="AG51" s="18">
        <v>59594</v>
      </c>
      <c r="AH51" s="61">
        <v>60303</v>
      </c>
      <c r="AI51" s="139">
        <v>61008</v>
      </c>
      <c r="AJ51" s="138">
        <v>61784</v>
      </c>
      <c r="AM51"/>
    </row>
    <row r="52" spans="1:39" ht="15.75" x14ac:dyDescent="0.25">
      <c r="A52" s="16" t="s">
        <v>47</v>
      </c>
      <c r="B52" s="17" t="s">
        <v>13</v>
      </c>
      <c r="C52" s="18">
        <v>53549</v>
      </c>
      <c r="D52" s="18">
        <v>54670</v>
      </c>
      <c r="E52" s="18">
        <v>55532</v>
      </c>
      <c r="F52" s="18">
        <v>56477</v>
      </c>
      <c r="G52" s="18">
        <v>56411</v>
      </c>
      <c r="H52" s="18">
        <v>55973</v>
      </c>
      <c r="I52" s="18">
        <v>55643</v>
      </c>
      <c r="J52" s="18">
        <v>55208</v>
      </c>
      <c r="K52" s="18">
        <v>55157</v>
      </c>
      <c r="L52" s="18">
        <v>55064</v>
      </c>
      <c r="M52" s="18">
        <v>55299</v>
      </c>
      <c r="N52" s="18">
        <v>56048</v>
      </c>
      <c r="O52" s="18">
        <v>56915</v>
      </c>
      <c r="P52" s="18">
        <v>57294</v>
      </c>
      <c r="Q52" s="18">
        <v>57916</v>
      </c>
      <c r="R52" s="18">
        <v>58614</v>
      </c>
      <c r="S52" s="18">
        <v>58892</v>
      </c>
      <c r="T52" s="18">
        <v>59845</v>
      </c>
      <c r="U52" s="18">
        <v>59642</v>
      </c>
      <c r="V52" s="21">
        <v>59747</v>
      </c>
      <c r="W52" s="21">
        <v>59181</v>
      </c>
      <c r="X52" s="21">
        <v>58241</v>
      </c>
      <c r="Y52" s="21">
        <v>59122</v>
      </c>
      <c r="Z52" s="21">
        <v>59037</v>
      </c>
      <c r="AA52" s="21">
        <v>59457</v>
      </c>
      <c r="AB52" s="21">
        <v>59484</v>
      </c>
      <c r="AC52" s="21">
        <v>58979</v>
      </c>
      <c r="AD52" s="21">
        <v>58265</v>
      </c>
      <c r="AE52" s="21">
        <v>58024</v>
      </c>
      <c r="AF52" s="18">
        <v>57402</v>
      </c>
      <c r="AG52" s="18">
        <v>57402</v>
      </c>
      <c r="AH52" s="61">
        <v>57119</v>
      </c>
      <c r="AI52" s="139">
        <v>57335</v>
      </c>
      <c r="AJ52" s="138">
        <v>57266</v>
      </c>
      <c r="AM52"/>
    </row>
    <row r="53" spans="1:39" ht="15.75" x14ac:dyDescent="0.25">
      <c r="A53" s="16" t="s">
        <v>47</v>
      </c>
      <c r="B53" s="17" t="s">
        <v>7</v>
      </c>
      <c r="C53" s="18">
        <v>17653</v>
      </c>
      <c r="D53" s="18">
        <v>17686</v>
      </c>
      <c r="E53" s="18">
        <v>17761</v>
      </c>
      <c r="F53" s="18">
        <v>17740</v>
      </c>
      <c r="G53" s="18">
        <v>17655</v>
      </c>
      <c r="H53" s="18">
        <v>17585</v>
      </c>
      <c r="I53" s="18">
        <v>17189</v>
      </c>
      <c r="J53" s="18">
        <v>16941</v>
      </c>
      <c r="K53" s="18">
        <v>16726</v>
      </c>
      <c r="L53" s="18">
        <v>16439</v>
      </c>
      <c r="M53" s="18">
        <v>16240</v>
      </c>
      <c r="N53" s="18">
        <v>16194</v>
      </c>
      <c r="O53" s="18">
        <v>16235</v>
      </c>
      <c r="P53" s="18">
        <v>16452</v>
      </c>
      <c r="Q53" s="18">
        <v>16671</v>
      </c>
      <c r="R53" s="18">
        <v>16791</v>
      </c>
      <c r="S53" s="18">
        <v>16897</v>
      </c>
      <c r="T53" s="18">
        <v>16889</v>
      </c>
      <c r="U53" s="18">
        <v>16877</v>
      </c>
      <c r="V53" s="21">
        <v>17042</v>
      </c>
      <c r="W53" s="21">
        <v>17014</v>
      </c>
      <c r="X53" s="21">
        <v>16832</v>
      </c>
      <c r="Y53" s="21">
        <v>16690</v>
      </c>
      <c r="Z53" s="21">
        <v>16386</v>
      </c>
      <c r="AA53" s="21">
        <v>16131</v>
      </c>
      <c r="AB53" s="21">
        <v>15890</v>
      </c>
      <c r="AC53" s="21">
        <v>15742</v>
      </c>
      <c r="AD53" s="21">
        <v>15529</v>
      </c>
      <c r="AE53" s="21">
        <v>15376</v>
      </c>
      <c r="AF53" s="18">
        <v>15171</v>
      </c>
      <c r="AG53" s="18">
        <v>15239</v>
      </c>
      <c r="AH53" s="61">
        <v>15176</v>
      </c>
      <c r="AI53" s="139">
        <v>15136</v>
      </c>
      <c r="AJ53" s="138">
        <v>15101</v>
      </c>
      <c r="AM53"/>
    </row>
    <row r="54" spans="1:39" ht="15.75" x14ac:dyDescent="0.25">
      <c r="A54" s="16" t="s">
        <v>47</v>
      </c>
      <c r="B54" s="17" t="s">
        <v>14</v>
      </c>
      <c r="C54" s="18">
        <v>87850</v>
      </c>
      <c r="D54" s="18">
        <v>87749</v>
      </c>
      <c r="E54" s="18">
        <v>87620</v>
      </c>
      <c r="F54" s="18">
        <v>87467</v>
      </c>
      <c r="G54" s="18">
        <v>87624</v>
      </c>
      <c r="H54" s="18">
        <v>87620</v>
      </c>
      <c r="I54" s="18">
        <v>87795</v>
      </c>
      <c r="J54" s="18">
        <v>87850</v>
      </c>
      <c r="K54" s="18">
        <v>87613</v>
      </c>
      <c r="L54" s="18">
        <v>86981</v>
      </c>
      <c r="M54" s="18">
        <v>86705</v>
      </c>
      <c r="N54" s="18">
        <v>86810</v>
      </c>
      <c r="O54" s="18">
        <v>86974</v>
      </c>
      <c r="P54" s="18">
        <v>87318</v>
      </c>
      <c r="Q54" s="18">
        <v>87506</v>
      </c>
      <c r="R54" s="18">
        <v>87554</v>
      </c>
      <c r="S54" s="18">
        <v>88012</v>
      </c>
      <c r="T54" s="18">
        <v>88126</v>
      </c>
      <c r="U54" s="18">
        <v>87722</v>
      </c>
      <c r="V54" s="21">
        <v>87583</v>
      </c>
      <c r="W54" s="21">
        <v>87621</v>
      </c>
      <c r="X54" s="21">
        <v>86491</v>
      </c>
      <c r="Y54" s="21">
        <v>85791</v>
      </c>
      <c r="Z54" s="21">
        <v>84971</v>
      </c>
      <c r="AA54" s="21">
        <v>84382</v>
      </c>
      <c r="AB54" s="21">
        <v>83792</v>
      </c>
      <c r="AC54" s="21">
        <v>83382</v>
      </c>
      <c r="AD54" s="21">
        <v>82526</v>
      </c>
      <c r="AE54" s="21">
        <v>81782</v>
      </c>
      <c r="AF54" s="18">
        <v>81045</v>
      </c>
      <c r="AG54" s="18">
        <v>80798</v>
      </c>
      <c r="AH54" s="61">
        <v>80451</v>
      </c>
      <c r="AI54" s="139">
        <v>80294</v>
      </c>
      <c r="AJ54" s="138">
        <v>80108</v>
      </c>
      <c r="AM54"/>
    </row>
    <row r="55" spans="1:39" ht="15.75" x14ac:dyDescent="0.25">
      <c r="A55" s="16" t="s">
        <v>47</v>
      </c>
      <c r="B55" s="17" t="s">
        <v>31</v>
      </c>
      <c r="C55" s="18">
        <v>213626</v>
      </c>
      <c r="D55" s="18">
        <v>212901</v>
      </c>
      <c r="E55" s="18">
        <v>211557</v>
      </c>
      <c r="F55" s="18">
        <v>211152</v>
      </c>
      <c r="G55" s="18">
        <v>210997</v>
      </c>
      <c r="H55" s="18">
        <v>210698</v>
      </c>
      <c r="I55" s="18">
        <v>211150</v>
      </c>
      <c r="J55" s="18">
        <v>211075</v>
      </c>
      <c r="K55" s="18">
        <v>211062</v>
      </c>
      <c r="L55" s="18">
        <v>210597</v>
      </c>
      <c r="M55" s="18">
        <v>211122</v>
      </c>
      <c r="N55" s="18">
        <v>212299</v>
      </c>
      <c r="O55" s="18">
        <v>213219</v>
      </c>
      <c r="P55" s="18">
        <v>214628</v>
      </c>
      <c r="Q55" s="18">
        <v>215698</v>
      </c>
      <c r="R55" s="18">
        <v>217018</v>
      </c>
      <c r="S55" s="18">
        <v>218837</v>
      </c>
      <c r="T55" s="18">
        <v>220202</v>
      </c>
      <c r="U55" s="18">
        <v>220983</v>
      </c>
      <c r="V55" s="21">
        <v>221560</v>
      </c>
      <c r="W55" s="21">
        <v>222222</v>
      </c>
      <c r="X55" s="21">
        <v>221383</v>
      </c>
      <c r="Y55" s="21">
        <v>220854</v>
      </c>
      <c r="Z55" s="21">
        <v>220460</v>
      </c>
      <c r="AA55" s="21">
        <v>220254</v>
      </c>
      <c r="AB55" s="21">
        <v>220670</v>
      </c>
      <c r="AC55" s="21">
        <v>220805</v>
      </c>
      <c r="AD55" s="21">
        <v>220435</v>
      </c>
      <c r="AE55" s="21">
        <v>220634</v>
      </c>
      <c r="AF55" s="18">
        <v>220493</v>
      </c>
      <c r="AG55" s="18">
        <v>220031</v>
      </c>
      <c r="AH55" s="61">
        <v>219473</v>
      </c>
      <c r="AI55" s="139">
        <v>220217</v>
      </c>
      <c r="AJ55" s="138">
        <v>221015</v>
      </c>
      <c r="AM55"/>
    </row>
    <row r="56" spans="1:39" ht="15.75" x14ac:dyDescent="0.25">
      <c r="A56" s="16" t="s">
        <v>47</v>
      </c>
      <c r="B56" s="17" t="s">
        <v>15</v>
      </c>
      <c r="C56" s="18">
        <v>12137</v>
      </c>
      <c r="D56" s="18">
        <v>12300</v>
      </c>
      <c r="E56" s="18">
        <v>12336</v>
      </c>
      <c r="F56" s="18">
        <v>12400</v>
      </c>
      <c r="G56" s="18">
        <v>12404</v>
      </c>
      <c r="H56" s="18">
        <v>12391</v>
      </c>
      <c r="I56" s="18">
        <v>12426</v>
      </c>
      <c r="J56" s="18">
        <v>12354</v>
      </c>
      <c r="K56" s="18">
        <v>12275</v>
      </c>
      <c r="L56" s="18">
        <v>12195</v>
      </c>
      <c r="M56" s="18">
        <v>12182</v>
      </c>
      <c r="N56" s="18">
        <v>12242</v>
      </c>
      <c r="O56" s="18">
        <v>12404</v>
      </c>
      <c r="P56" s="18">
        <v>12628</v>
      </c>
      <c r="Q56" s="18">
        <v>12720</v>
      </c>
      <c r="R56" s="18">
        <v>12986</v>
      </c>
      <c r="S56" s="18">
        <v>13120</v>
      </c>
      <c r="T56" s="18">
        <v>13179</v>
      </c>
      <c r="U56" s="18">
        <v>13259</v>
      </c>
      <c r="V56" s="21">
        <v>13423</v>
      </c>
      <c r="W56" s="21">
        <v>13554</v>
      </c>
      <c r="X56" s="21">
        <v>13503</v>
      </c>
      <c r="Y56" s="21">
        <v>13459</v>
      </c>
      <c r="Z56" s="21">
        <v>13337</v>
      </c>
      <c r="AA56" s="21">
        <v>13294</v>
      </c>
      <c r="AB56" s="21">
        <v>13272</v>
      </c>
      <c r="AC56" s="21">
        <v>13244</v>
      </c>
      <c r="AD56" s="21">
        <v>13210</v>
      </c>
      <c r="AE56" s="21">
        <v>13120</v>
      </c>
      <c r="AF56" s="18">
        <v>13110</v>
      </c>
      <c r="AG56" s="18">
        <v>13090</v>
      </c>
      <c r="AH56" s="61">
        <v>13022</v>
      </c>
      <c r="AI56" s="139">
        <v>12960</v>
      </c>
      <c r="AJ56" s="138">
        <v>12896</v>
      </c>
      <c r="AM56"/>
    </row>
    <row r="57" spans="1:39" ht="15.75" x14ac:dyDescent="0.25">
      <c r="A57" s="16" t="s">
        <v>47</v>
      </c>
      <c r="B57" s="17" t="s">
        <v>16</v>
      </c>
      <c r="C57" s="18">
        <v>79409</v>
      </c>
      <c r="D57" s="18">
        <v>80544</v>
      </c>
      <c r="E57" s="18">
        <v>81330</v>
      </c>
      <c r="F57" s="18">
        <v>82495</v>
      </c>
      <c r="G57" s="18">
        <v>83270</v>
      </c>
      <c r="H57" s="18">
        <v>83150</v>
      </c>
      <c r="I57" s="18">
        <v>83777</v>
      </c>
      <c r="J57" s="18">
        <v>84164</v>
      </c>
      <c r="K57" s="18">
        <v>84666</v>
      </c>
      <c r="L57" s="18">
        <v>84487</v>
      </c>
      <c r="M57" s="18">
        <v>84300</v>
      </c>
      <c r="N57" s="18">
        <v>84577</v>
      </c>
      <c r="O57" s="18">
        <v>85236</v>
      </c>
      <c r="P57" s="18">
        <v>85667</v>
      </c>
      <c r="Q57" s="18">
        <v>86396</v>
      </c>
      <c r="R57" s="18">
        <v>87334</v>
      </c>
      <c r="S57" s="18">
        <v>88540</v>
      </c>
      <c r="T57" s="18">
        <v>89893</v>
      </c>
      <c r="U57" s="18">
        <v>90710</v>
      </c>
      <c r="V57" s="21">
        <v>91415</v>
      </c>
      <c r="W57" s="21">
        <v>91903</v>
      </c>
      <c r="X57" s="21">
        <v>91473</v>
      </c>
      <c r="Y57" s="21">
        <v>90953</v>
      </c>
      <c r="Z57" s="21">
        <v>91191</v>
      </c>
      <c r="AA57" s="21">
        <v>91131</v>
      </c>
      <c r="AB57" s="21">
        <v>91301</v>
      </c>
      <c r="AC57" s="21">
        <v>91179</v>
      </c>
      <c r="AD57" s="21">
        <v>90345</v>
      </c>
      <c r="AE57" s="21">
        <v>89973</v>
      </c>
      <c r="AF57" s="18">
        <v>89307</v>
      </c>
      <c r="AG57" s="18">
        <v>90025</v>
      </c>
      <c r="AH57" s="61">
        <v>89737</v>
      </c>
      <c r="AI57" s="139">
        <v>90709</v>
      </c>
      <c r="AJ57" s="138">
        <v>91593</v>
      </c>
      <c r="AM57"/>
    </row>
    <row r="58" spans="1:39" ht="15.75" x14ac:dyDescent="0.25">
      <c r="A58" s="16" t="s">
        <v>47</v>
      </c>
      <c r="B58" s="17" t="s">
        <v>26</v>
      </c>
      <c r="C58" s="18">
        <v>115633</v>
      </c>
      <c r="D58" s="18">
        <v>114991</v>
      </c>
      <c r="E58" s="18">
        <v>114579</v>
      </c>
      <c r="F58" s="18">
        <v>114548</v>
      </c>
      <c r="G58" s="18">
        <v>115188</v>
      </c>
      <c r="H58" s="18">
        <v>115141</v>
      </c>
      <c r="I58" s="18">
        <v>114788</v>
      </c>
      <c r="J58" s="18">
        <v>114324</v>
      </c>
      <c r="K58" s="18">
        <v>113669</v>
      </c>
      <c r="L58" s="18">
        <v>113153</v>
      </c>
      <c r="M58" s="18">
        <v>112723</v>
      </c>
      <c r="N58" s="18">
        <v>112463</v>
      </c>
      <c r="O58" s="18">
        <v>112375</v>
      </c>
      <c r="P58" s="18">
        <v>112393</v>
      </c>
      <c r="Q58" s="18">
        <v>112225</v>
      </c>
      <c r="R58" s="18">
        <v>112176</v>
      </c>
      <c r="S58" s="18">
        <v>112640</v>
      </c>
      <c r="T58" s="18">
        <v>113142</v>
      </c>
      <c r="U58" s="18">
        <v>113416</v>
      </c>
      <c r="V58" s="21">
        <v>113959</v>
      </c>
      <c r="W58" s="21">
        <v>114467</v>
      </c>
      <c r="X58" s="21">
        <v>113718</v>
      </c>
      <c r="Y58" s="21">
        <v>113432</v>
      </c>
      <c r="Z58" s="21">
        <v>113479</v>
      </c>
      <c r="AA58" s="21">
        <v>113772</v>
      </c>
      <c r="AB58" s="21">
        <v>114567</v>
      </c>
      <c r="AC58" s="21">
        <v>115255</v>
      </c>
      <c r="AD58" s="21">
        <v>115724</v>
      </c>
      <c r="AE58" s="21">
        <v>116572</v>
      </c>
      <c r="AF58" s="18">
        <v>116784</v>
      </c>
      <c r="AG58" s="18">
        <v>117411</v>
      </c>
      <c r="AH58" s="61">
        <v>118482</v>
      </c>
      <c r="AI58" s="139">
        <v>119797</v>
      </c>
      <c r="AJ58" s="138">
        <v>120701</v>
      </c>
      <c r="AM58"/>
    </row>
    <row r="59" spans="1:39" ht="15.75" x14ac:dyDescent="0.25">
      <c r="A59" s="16" t="s">
        <v>47</v>
      </c>
      <c r="B59" s="17" t="s">
        <v>17</v>
      </c>
      <c r="C59" s="18">
        <v>64724</v>
      </c>
      <c r="D59" s="18">
        <v>65054</v>
      </c>
      <c r="E59" s="18">
        <v>65272</v>
      </c>
      <c r="F59" s="18">
        <v>65572</v>
      </c>
      <c r="G59" s="18">
        <v>65869</v>
      </c>
      <c r="H59" s="18">
        <v>65822</v>
      </c>
      <c r="I59" s="18">
        <v>65934</v>
      </c>
      <c r="J59" s="18">
        <v>65937</v>
      </c>
      <c r="K59" s="18">
        <v>65827</v>
      </c>
      <c r="L59" s="18">
        <v>66147</v>
      </c>
      <c r="M59" s="18">
        <v>66540</v>
      </c>
      <c r="N59" s="18">
        <v>67011</v>
      </c>
      <c r="O59" s="18">
        <v>67589</v>
      </c>
      <c r="P59" s="18">
        <v>68249</v>
      </c>
      <c r="Q59" s="18">
        <v>68706</v>
      </c>
      <c r="R59" s="18">
        <v>69350</v>
      </c>
      <c r="S59" s="18">
        <v>70272</v>
      </c>
      <c r="T59" s="18">
        <v>70829</v>
      </c>
      <c r="U59" s="18">
        <v>70696</v>
      </c>
      <c r="V59" s="21">
        <v>70577</v>
      </c>
      <c r="W59" s="21">
        <v>70590</v>
      </c>
      <c r="X59" s="21">
        <v>69904</v>
      </c>
      <c r="Y59" s="21">
        <v>69628</v>
      </c>
      <c r="Z59" s="21">
        <v>69318</v>
      </c>
      <c r="AA59" s="21">
        <v>69096</v>
      </c>
      <c r="AB59" s="21">
        <v>69110</v>
      </c>
      <c r="AC59" s="21">
        <v>69097</v>
      </c>
      <c r="AD59" s="21">
        <v>68878</v>
      </c>
      <c r="AE59" s="21">
        <v>68585</v>
      </c>
      <c r="AF59" s="18">
        <v>68053</v>
      </c>
      <c r="AG59" s="18">
        <v>68307</v>
      </c>
      <c r="AH59" s="61">
        <v>67800</v>
      </c>
      <c r="AI59" s="139">
        <v>67473</v>
      </c>
      <c r="AJ59" s="138">
        <v>67187</v>
      </c>
      <c r="AM59"/>
    </row>
    <row r="60" spans="1:39" ht="15.75" x14ac:dyDescent="0.25">
      <c r="A60" s="16" t="s">
        <v>47</v>
      </c>
      <c r="B60" s="17" t="s">
        <v>18</v>
      </c>
      <c r="C60" s="18">
        <v>14150</v>
      </c>
      <c r="D60" s="18">
        <v>14261</v>
      </c>
      <c r="E60" s="18">
        <v>14454</v>
      </c>
      <c r="F60" s="18">
        <v>14533</v>
      </c>
      <c r="G60" s="18">
        <v>14687</v>
      </c>
      <c r="H60" s="18">
        <v>14702</v>
      </c>
      <c r="I60" s="18">
        <v>14708</v>
      </c>
      <c r="J60" s="18">
        <v>14634</v>
      </c>
      <c r="K60" s="18">
        <v>14473</v>
      </c>
      <c r="L60" s="18">
        <v>14196</v>
      </c>
      <c r="M60" s="18">
        <v>14090</v>
      </c>
      <c r="N60" s="18">
        <v>14121</v>
      </c>
      <c r="O60" s="18">
        <v>14131</v>
      </c>
      <c r="P60" s="18">
        <v>14245</v>
      </c>
      <c r="Q60" s="18">
        <v>14317</v>
      </c>
      <c r="R60" s="18">
        <v>14324</v>
      </c>
      <c r="S60" s="18">
        <v>14404</v>
      </c>
      <c r="T60" s="18">
        <v>14469</v>
      </c>
      <c r="U60" s="18">
        <v>14668</v>
      </c>
      <c r="V60" s="21">
        <v>14836</v>
      </c>
      <c r="W60" s="21">
        <v>14969</v>
      </c>
      <c r="X60" s="21">
        <v>14803</v>
      </c>
      <c r="Y60" s="21">
        <v>14693</v>
      </c>
      <c r="Z60" s="21">
        <v>14729</v>
      </c>
      <c r="AA60" s="21">
        <v>14714</v>
      </c>
      <c r="AB60" s="21">
        <v>14527</v>
      </c>
      <c r="AC60" s="21">
        <v>14302</v>
      </c>
      <c r="AD60" s="21">
        <v>14138</v>
      </c>
      <c r="AE60" s="21">
        <v>13889</v>
      </c>
      <c r="AF60" s="18">
        <v>13774</v>
      </c>
      <c r="AG60" s="18">
        <v>13760</v>
      </c>
      <c r="AH60" s="61">
        <v>13827</v>
      </c>
      <c r="AI60" s="139">
        <v>13941</v>
      </c>
      <c r="AJ60" s="138">
        <v>13990</v>
      </c>
      <c r="AM60"/>
    </row>
    <row r="61" spans="1:39" ht="15.75" x14ac:dyDescent="0.25">
      <c r="A61" s="16" t="s">
        <v>47</v>
      </c>
      <c r="B61" s="17" t="s">
        <v>19</v>
      </c>
      <c r="C61" s="18">
        <v>71093</v>
      </c>
      <c r="D61" s="18">
        <v>71074</v>
      </c>
      <c r="E61" s="18">
        <v>71155</v>
      </c>
      <c r="F61" s="18">
        <v>71393</v>
      </c>
      <c r="G61" s="18">
        <v>71558</v>
      </c>
      <c r="H61" s="18">
        <v>71479</v>
      </c>
      <c r="I61" s="18">
        <v>71569</v>
      </c>
      <c r="J61" s="18">
        <v>71252</v>
      </c>
      <c r="K61" s="18">
        <v>70820</v>
      </c>
      <c r="L61" s="18">
        <v>70441</v>
      </c>
      <c r="M61" s="18">
        <v>70381</v>
      </c>
      <c r="N61" s="18">
        <v>70080</v>
      </c>
      <c r="O61" s="18">
        <v>70088</v>
      </c>
      <c r="P61" s="18">
        <v>70488</v>
      </c>
      <c r="Q61" s="18">
        <v>70474</v>
      </c>
      <c r="R61" s="18">
        <v>70614</v>
      </c>
      <c r="S61" s="18">
        <v>70624</v>
      </c>
      <c r="T61" s="18">
        <v>70447</v>
      </c>
      <c r="U61" s="18">
        <v>70142</v>
      </c>
      <c r="V61" s="21">
        <v>70117</v>
      </c>
      <c r="W61" s="21">
        <v>70118</v>
      </c>
      <c r="X61" s="21">
        <v>69445</v>
      </c>
      <c r="Y61" s="21">
        <v>68952</v>
      </c>
      <c r="Z61" s="21">
        <v>68343</v>
      </c>
      <c r="AA61" s="21">
        <v>67844</v>
      </c>
      <c r="AB61" s="21">
        <v>67419</v>
      </c>
      <c r="AC61" s="21">
        <v>67167</v>
      </c>
      <c r="AD61" s="21">
        <v>66422</v>
      </c>
      <c r="AE61" s="21">
        <v>65846</v>
      </c>
      <c r="AF61" s="18">
        <v>65240</v>
      </c>
      <c r="AG61" s="18">
        <v>65107</v>
      </c>
      <c r="AH61" s="61">
        <v>64933</v>
      </c>
      <c r="AI61" s="139">
        <v>64896</v>
      </c>
      <c r="AJ61" s="138">
        <v>64856</v>
      </c>
      <c r="AM61"/>
    </row>
    <row r="62" spans="1:39" ht="15.75" x14ac:dyDescent="0.25">
      <c r="A62" s="16" t="s">
        <v>47</v>
      </c>
      <c r="B62" s="17" t="s">
        <v>20</v>
      </c>
      <c r="C62" s="18">
        <v>198827</v>
      </c>
      <c r="D62" s="18">
        <v>198836</v>
      </c>
      <c r="E62" s="18">
        <v>198630</v>
      </c>
      <c r="F62" s="18">
        <v>198943</v>
      </c>
      <c r="G62" s="18">
        <v>198337</v>
      </c>
      <c r="H62" s="18">
        <v>198269</v>
      </c>
      <c r="I62" s="18">
        <v>198153</v>
      </c>
      <c r="J62" s="18">
        <v>197233</v>
      </c>
      <c r="K62" s="18">
        <v>196570</v>
      </c>
      <c r="L62" s="18">
        <v>196461</v>
      </c>
      <c r="M62" s="18">
        <v>196745</v>
      </c>
      <c r="N62" s="18">
        <v>197422</v>
      </c>
      <c r="O62" s="18">
        <v>198206</v>
      </c>
      <c r="P62" s="18">
        <v>199946</v>
      </c>
      <c r="Q62" s="18">
        <v>200794</v>
      </c>
      <c r="R62" s="18">
        <v>201889</v>
      </c>
      <c r="S62" s="18">
        <v>203282</v>
      </c>
      <c r="T62" s="18">
        <v>203893</v>
      </c>
      <c r="U62" s="18">
        <v>204129</v>
      </c>
      <c r="V62" s="21">
        <v>204931</v>
      </c>
      <c r="W62" s="21">
        <v>205199</v>
      </c>
      <c r="X62" s="21">
        <v>204368</v>
      </c>
      <c r="Y62" s="21">
        <v>204322</v>
      </c>
      <c r="Z62" s="21">
        <v>204132</v>
      </c>
      <c r="AA62" s="21">
        <v>204418</v>
      </c>
      <c r="AB62" s="21">
        <v>204496</v>
      </c>
      <c r="AC62" s="21">
        <v>204688</v>
      </c>
      <c r="AD62" s="21">
        <v>204440</v>
      </c>
      <c r="AE62" s="21">
        <v>204445</v>
      </c>
      <c r="AF62" s="18">
        <v>204102</v>
      </c>
      <c r="AG62" s="18">
        <v>204763</v>
      </c>
      <c r="AH62" s="61">
        <v>205513</v>
      </c>
      <c r="AI62" s="139">
        <v>207113</v>
      </c>
      <c r="AJ62" s="138">
        <v>208205</v>
      </c>
      <c r="AM62"/>
    </row>
    <row r="63" spans="1:39" ht="15.75" x14ac:dyDescent="0.25">
      <c r="A63" s="16" t="s">
        <v>47</v>
      </c>
      <c r="B63" s="17" t="s">
        <v>21</v>
      </c>
      <c r="C63" s="18">
        <v>52774</v>
      </c>
      <c r="D63" s="18">
        <v>52813</v>
      </c>
      <c r="E63" s="18">
        <v>53146</v>
      </c>
      <c r="F63" s="18">
        <v>53458</v>
      </c>
      <c r="G63" s="18">
        <v>53756</v>
      </c>
      <c r="H63" s="18">
        <v>54273</v>
      </c>
      <c r="I63" s="18">
        <v>54953</v>
      </c>
      <c r="J63" s="18">
        <v>55301</v>
      </c>
      <c r="K63" s="18">
        <v>55906</v>
      </c>
      <c r="L63" s="18">
        <v>56430</v>
      </c>
      <c r="M63" s="18">
        <v>56137</v>
      </c>
      <c r="N63" s="18">
        <v>56453</v>
      </c>
      <c r="O63" s="18">
        <v>56952</v>
      </c>
      <c r="P63" s="18">
        <v>56527</v>
      </c>
      <c r="Q63" s="18">
        <v>56890</v>
      </c>
      <c r="R63" s="18">
        <v>57413</v>
      </c>
      <c r="S63" s="18">
        <v>57683</v>
      </c>
      <c r="T63" s="18">
        <v>57681</v>
      </c>
      <c r="U63" s="18">
        <v>57544</v>
      </c>
      <c r="V63" s="21">
        <v>58049</v>
      </c>
      <c r="W63" s="21">
        <v>58730</v>
      </c>
      <c r="X63" s="21">
        <v>58354</v>
      </c>
      <c r="Y63" s="21">
        <v>58085</v>
      </c>
      <c r="Z63" s="21">
        <v>57646</v>
      </c>
      <c r="AA63" s="21">
        <v>58094</v>
      </c>
      <c r="AB63" s="21">
        <v>58477</v>
      </c>
      <c r="AC63" s="21">
        <v>58470</v>
      </c>
      <c r="AD63" s="21">
        <v>58435</v>
      </c>
      <c r="AE63" s="21">
        <v>58570</v>
      </c>
      <c r="AF63" s="18">
        <v>58603</v>
      </c>
      <c r="AG63" s="18">
        <v>57934</v>
      </c>
      <c r="AH63" s="61">
        <v>58819</v>
      </c>
      <c r="AI63" s="139">
        <v>59489</v>
      </c>
      <c r="AJ63" s="138">
        <v>59645</v>
      </c>
      <c r="AM63"/>
    </row>
    <row r="64" spans="1:39" ht="15.75" x14ac:dyDescent="0.25">
      <c r="A64" s="16" t="s">
        <v>47</v>
      </c>
      <c r="B64" s="17" t="s">
        <v>27</v>
      </c>
      <c r="C64" s="18">
        <v>61787</v>
      </c>
      <c r="D64" s="18">
        <v>61635</v>
      </c>
      <c r="E64" s="18">
        <v>61636</v>
      </c>
      <c r="F64" s="18">
        <v>61393</v>
      </c>
      <c r="G64" s="18">
        <v>60652</v>
      </c>
      <c r="H64" s="18">
        <v>60318</v>
      </c>
      <c r="I64" s="18">
        <v>60475</v>
      </c>
      <c r="J64" s="18">
        <v>60307</v>
      </c>
      <c r="K64" s="18">
        <v>60143</v>
      </c>
      <c r="L64" s="18">
        <v>60087</v>
      </c>
      <c r="M64" s="18">
        <v>59989</v>
      </c>
      <c r="N64" s="18">
        <v>60140</v>
      </c>
      <c r="O64" s="18">
        <v>60006</v>
      </c>
      <c r="P64" s="18">
        <v>59942</v>
      </c>
      <c r="Q64" s="18">
        <v>59936</v>
      </c>
      <c r="R64" s="18">
        <v>60063</v>
      </c>
      <c r="S64" s="18">
        <v>60144</v>
      </c>
      <c r="T64" s="18">
        <v>60059</v>
      </c>
      <c r="U64" s="18">
        <v>59953</v>
      </c>
      <c r="V64" s="21">
        <v>59781</v>
      </c>
      <c r="W64" s="21">
        <v>59628</v>
      </c>
      <c r="X64" s="21">
        <v>59257</v>
      </c>
      <c r="Y64" s="21">
        <v>58660</v>
      </c>
      <c r="Z64" s="21">
        <v>58504</v>
      </c>
      <c r="AA64" s="21">
        <v>58335</v>
      </c>
      <c r="AB64" s="21">
        <v>58262</v>
      </c>
      <c r="AC64" s="21">
        <v>57921</v>
      </c>
      <c r="AD64" s="21">
        <v>57468</v>
      </c>
      <c r="AE64" s="21">
        <v>57040</v>
      </c>
      <c r="AF64" s="18">
        <v>56416</v>
      </c>
      <c r="AG64" s="18">
        <v>55863</v>
      </c>
      <c r="AH64" s="61">
        <v>55510</v>
      </c>
      <c r="AI64" s="139">
        <v>55757</v>
      </c>
      <c r="AJ64" s="138">
        <v>55730</v>
      </c>
      <c r="AM64"/>
    </row>
    <row r="65" spans="1:39" ht="15.75" x14ac:dyDescent="0.25">
      <c r="A65" s="16" t="s">
        <v>47</v>
      </c>
      <c r="B65" s="17" t="s">
        <v>28</v>
      </c>
      <c r="C65" s="18">
        <v>96841</v>
      </c>
      <c r="D65" s="18">
        <v>96658</v>
      </c>
      <c r="E65" s="18">
        <v>97219</v>
      </c>
      <c r="F65" s="18">
        <v>98188</v>
      </c>
      <c r="G65" s="18">
        <v>99152</v>
      </c>
      <c r="H65" s="18">
        <v>100036</v>
      </c>
      <c r="I65" s="18">
        <v>101147</v>
      </c>
      <c r="J65" s="18">
        <v>102184</v>
      </c>
      <c r="K65" s="18">
        <v>103146</v>
      </c>
      <c r="L65" s="18">
        <v>104730</v>
      </c>
      <c r="M65" s="18">
        <v>105736</v>
      </c>
      <c r="N65" s="18">
        <v>106919</v>
      </c>
      <c r="O65" s="18">
        <v>108117</v>
      </c>
      <c r="P65" s="18">
        <v>109292</v>
      </c>
      <c r="Q65" s="18">
        <v>110315</v>
      </c>
      <c r="R65" s="18">
        <v>111685</v>
      </c>
      <c r="S65" s="18">
        <v>113200</v>
      </c>
      <c r="T65" s="18">
        <v>114172</v>
      </c>
      <c r="U65" s="18">
        <v>115060</v>
      </c>
      <c r="V65" s="21">
        <v>115431</v>
      </c>
      <c r="W65" s="21">
        <v>115743</v>
      </c>
      <c r="X65" s="21">
        <v>115369</v>
      </c>
      <c r="Y65" s="21">
        <v>114580</v>
      </c>
      <c r="Z65" s="21">
        <v>114645</v>
      </c>
      <c r="AA65" s="21">
        <v>115084</v>
      </c>
      <c r="AB65" s="21">
        <v>115571</v>
      </c>
      <c r="AC65" s="21">
        <v>115751</v>
      </c>
      <c r="AD65" s="21">
        <v>115499</v>
      </c>
      <c r="AE65" s="21">
        <v>115320</v>
      </c>
      <c r="AF65" s="18">
        <v>115289</v>
      </c>
      <c r="AG65" s="18">
        <v>115797</v>
      </c>
      <c r="AH65" s="61">
        <v>116179</v>
      </c>
      <c r="AI65" s="139">
        <v>117510</v>
      </c>
      <c r="AJ65" s="138">
        <v>118637</v>
      </c>
      <c r="AM65"/>
    </row>
    <row r="66" spans="1:39" ht="29.1" customHeight="1" x14ac:dyDescent="0.25">
      <c r="A66" s="17" t="s">
        <v>182</v>
      </c>
      <c r="B66" s="17" t="s">
        <v>54</v>
      </c>
      <c r="C66" s="18" t="s">
        <v>190</v>
      </c>
      <c r="D66" s="18" t="s">
        <v>190</v>
      </c>
      <c r="E66" s="18" t="s">
        <v>190</v>
      </c>
      <c r="F66" s="18" t="s">
        <v>190</v>
      </c>
      <c r="G66" s="18" t="s">
        <v>190</v>
      </c>
      <c r="H66" s="18" t="s">
        <v>190</v>
      </c>
      <c r="I66" s="18" t="s">
        <v>190</v>
      </c>
      <c r="J66" s="18" t="s">
        <v>190</v>
      </c>
      <c r="K66" s="18" t="s">
        <v>190</v>
      </c>
      <c r="L66" s="18" t="s">
        <v>190</v>
      </c>
      <c r="M66" s="18">
        <v>235961</v>
      </c>
      <c r="N66" s="18">
        <v>237039</v>
      </c>
      <c r="O66" s="18">
        <v>238028</v>
      </c>
      <c r="P66" s="18">
        <v>239242</v>
      </c>
      <c r="Q66" s="18">
        <v>242297</v>
      </c>
      <c r="R66" s="18">
        <v>245533</v>
      </c>
      <c r="S66" s="18">
        <v>250077</v>
      </c>
      <c r="T66" s="18">
        <v>252793</v>
      </c>
      <c r="U66" s="18">
        <v>256657</v>
      </c>
      <c r="V66" s="21">
        <v>260416</v>
      </c>
      <c r="W66" s="21">
        <v>264028</v>
      </c>
      <c r="X66" s="21">
        <v>264585</v>
      </c>
      <c r="Y66" s="21">
        <v>265750</v>
      </c>
      <c r="Z66" s="21">
        <v>266409</v>
      </c>
      <c r="AA66" s="21">
        <v>266656</v>
      </c>
      <c r="AB66" s="21">
        <v>263851</v>
      </c>
      <c r="AC66" s="21">
        <v>260790</v>
      </c>
      <c r="AD66" s="21">
        <v>257535</v>
      </c>
      <c r="AE66" s="21">
        <v>256540</v>
      </c>
      <c r="AF66" s="18">
        <v>255142</v>
      </c>
      <c r="AG66" s="18">
        <v>252190</v>
      </c>
      <c r="AH66" s="61">
        <v>253453</v>
      </c>
      <c r="AI66" s="61" t="s">
        <v>190</v>
      </c>
      <c r="AJ66" s="61" t="s">
        <v>190</v>
      </c>
      <c r="AM66"/>
    </row>
    <row r="67" spans="1:39" ht="15.75" x14ac:dyDescent="0.25">
      <c r="A67" s="16" t="s">
        <v>182</v>
      </c>
      <c r="B67" s="16" t="s">
        <v>55</v>
      </c>
      <c r="C67" s="18" t="s">
        <v>190</v>
      </c>
      <c r="D67" s="18" t="s">
        <v>190</v>
      </c>
      <c r="E67" s="18" t="s">
        <v>190</v>
      </c>
      <c r="F67" s="18" t="s">
        <v>190</v>
      </c>
      <c r="G67" s="18" t="s">
        <v>190</v>
      </c>
      <c r="H67" s="18" t="s">
        <v>190</v>
      </c>
      <c r="I67" s="18" t="s">
        <v>190</v>
      </c>
      <c r="J67" s="18" t="s">
        <v>190</v>
      </c>
      <c r="K67" s="18" t="s">
        <v>190</v>
      </c>
      <c r="L67" s="18" t="s">
        <v>190</v>
      </c>
      <c r="M67" s="31">
        <v>13372</v>
      </c>
      <c r="N67" s="31">
        <v>13449</v>
      </c>
      <c r="O67" s="31">
        <v>13457</v>
      </c>
      <c r="P67" s="31">
        <v>13551</v>
      </c>
      <c r="Q67" s="31">
        <v>13692</v>
      </c>
      <c r="R67" s="31">
        <v>13783</v>
      </c>
      <c r="S67" s="31">
        <v>13894</v>
      </c>
      <c r="T67" s="31">
        <v>14033</v>
      </c>
      <c r="U67" s="31">
        <v>13997</v>
      </c>
      <c r="V67" s="21">
        <v>14002</v>
      </c>
      <c r="W67" s="21">
        <v>14043</v>
      </c>
      <c r="X67" s="21">
        <v>13884</v>
      </c>
      <c r="Y67" s="21">
        <v>13744</v>
      </c>
      <c r="Z67" s="21">
        <v>13532</v>
      </c>
      <c r="AA67" s="21">
        <v>13389</v>
      </c>
      <c r="AB67" s="21">
        <v>13322</v>
      </c>
      <c r="AC67" s="21">
        <v>13327</v>
      </c>
      <c r="AD67" s="21">
        <v>13257</v>
      </c>
      <c r="AE67" s="21">
        <v>13118</v>
      </c>
      <c r="AF67" s="18">
        <v>12951</v>
      </c>
      <c r="AG67" s="18">
        <v>12942</v>
      </c>
      <c r="AH67" s="61">
        <v>12839</v>
      </c>
      <c r="AI67" s="61" t="s">
        <v>190</v>
      </c>
      <c r="AJ67" s="61" t="s">
        <v>190</v>
      </c>
      <c r="AM67"/>
    </row>
    <row r="68" spans="1:39" ht="15.75" x14ac:dyDescent="0.25">
      <c r="A68" s="16" t="s">
        <v>182</v>
      </c>
      <c r="B68" s="16" t="s">
        <v>56</v>
      </c>
      <c r="C68" s="18" t="s">
        <v>190</v>
      </c>
      <c r="D68" s="18" t="s">
        <v>190</v>
      </c>
      <c r="E68" s="18" t="s">
        <v>190</v>
      </c>
      <c r="F68" s="18" t="s">
        <v>190</v>
      </c>
      <c r="G68" s="18" t="s">
        <v>190</v>
      </c>
      <c r="H68" s="18" t="s">
        <v>190</v>
      </c>
      <c r="I68" s="18" t="s">
        <v>190</v>
      </c>
      <c r="J68" s="18" t="s">
        <v>190</v>
      </c>
      <c r="K68" s="18" t="s">
        <v>190</v>
      </c>
      <c r="L68" s="18" t="s">
        <v>190</v>
      </c>
      <c r="M68" s="31">
        <v>26291</v>
      </c>
      <c r="N68" s="31">
        <v>26392</v>
      </c>
      <c r="O68" s="31">
        <v>26052</v>
      </c>
      <c r="P68" s="31">
        <v>26403</v>
      </c>
      <c r="Q68" s="31">
        <v>26594</v>
      </c>
      <c r="R68" s="31">
        <v>26905</v>
      </c>
      <c r="S68" s="31">
        <v>27217</v>
      </c>
      <c r="T68" s="31">
        <v>27588</v>
      </c>
      <c r="U68" s="31">
        <v>27773</v>
      </c>
      <c r="V68" s="21">
        <v>27887</v>
      </c>
      <c r="W68" s="21">
        <v>28262</v>
      </c>
      <c r="X68" s="21">
        <v>28003</v>
      </c>
      <c r="Y68" s="21">
        <v>27973</v>
      </c>
      <c r="Z68" s="21">
        <v>27920</v>
      </c>
      <c r="AA68" s="21">
        <v>27926</v>
      </c>
      <c r="AB68" s="21">
        <v>27654</v>
      </c>
      <c r="AC68" s="21">
        <v>27353</v>
      </c>
      <c r="AD68" s="21">
        <v>26916</v>
      </c>
      <c r="AE68" s="21">
        <v>26666</v>
      </c>
      <c r="AF68" s="18">
        <v>26191</v>
      </c>
      <c r="AG68" s="18">
        <v>26084</v>
      </c>
      <c r="AH68" s="61">
        <v>25908</v>
      </c>
      <c r="AI68" s="61" t="s">
        <v>190</v>
      </c>
      <c r="AJ68" s="61" t="s">
        <v>190</v>
      </c>
      <c r="AM68"/>
    </row>
    <row r="69" spans="1:39" ht="15.75" x14ac:dyDescent="0.25">
      <c r="A69" s="16" t="s">
        <v>182</v>
      </c>
      <c r="B69" s="16" t="s">
        <v>57</v>
      </c>
      <c r="C69" s="18" t="s">
        <v>190</v>
      </c>
      <c r="D69" s="18" t="s">
        <v>190</v>
      </c>
      <c r="E69" s="18" t="s">
        <v>190</v>
      </c>
      <c r="F69" s="18" t="s">
        <v>190</v>
      </c>
      <c r="G69" s="18" t="s">
        <v>190</v>
      </c>
      <c r="H69" s="18" t="s">
        <v>190</v>
      </c>
      <c r="I69" s="18" t="s">
        <v>190</v>
      </c>
      <c r="J69" s="18" t="s">
        <v>190</v>
      </c>
      <c r="K69" s="18" t="s">
        <v>190</v>
      </c>
      <c r="L69" s="18" t="s">
        <v>190</v>
      </c>
      <c r="M69" s="31">
        <v>7349</v>
      </c>
      <c r="N69" s="31">
        <v>7438</v>
      </c>
      <c r="O69" s="31">
        <v>7586</v>
      </c>
      <c r="P69" s="31">
        <v>7763</v>
      </c>
      <c r="Q69" s="31">
        <v>7964</v>
      </c>
      <c r="R69" s="31">
        <v>8079</v>
      </c>
      <c r="S69" s="31">
        <v>8229</v>
      </c>
      <c r="T69" s="31">
        <v>8297</v>
      </c>
      <c r="U69" s="31">
        <v>8300</v>
      </c>
      <c r="V69" s="21">
        <v>8521</v>
      </c>
      <c r="W69" s="21">
        <v>8608</v>
      </c>
      <c r="X69" s="21">
        <v>8602</v>
      </c>
      <c r="Y69" s="21">
        <v>8492</v>
      </c>
      <c r="Z69" s="21">
        <v>8522</v>
      </c>
      <c r="AA69" s="21">
        <v>8413</v>
      </c>
      <c r="AB69" s="21">
        <v>8380</v>
      </c>
      <c r="AC69" s="21">
        <v>8311</v>
      </c>
      <c r="AD69" s="21">
        <v>8223</v>
      </c>
      <c r="AE69" s="21">
        <v>8036</v>
      </c>
      <c r="AF69" s="18">
        <v>7813</v>
      </c>
      <c r="AG69" s="18">
        <v>7707</v>
      </c>
      <c r="AH69" s="61">
        <v>7463</v>
      </c>
      <c r="AI69" s="61" t="s">
        <v>190</v>
      </c>
      <c r="AJ69" s="61" t="s">
        <v>190</v>
      </c>
      <c r="AM69"/>
    </row>
    <row r="70" spans="1:39" ht="15.75" x14ac:dyDescent="0.25">
      <c r="A70" s="16" t="s">
        <v>182</v>
      </c>
      <c r="B70" s="16" t="s">
        <v>58</v>
      </c>
      <c r="C70" s="18" t="s">
        <v>190</v>
      </c>
      <c r="D70" s="18" t="s">
        <v>190</v>
      </c>
      <c r="E70" s="18" t="s">
        <v>190</v>
      </c>
      <c r="F70" s="18" t="s">
        <v>190</v>
      </c>
      <c r="G70" s="18" t="s">
        <v>190</v>
      </c>
      <c r="H70" s="18" t="s">
        <v>190</v>
      </c>
      <c r="I70" s="18" t="s">
        <v>190</v>
      </c>
      <c r="J70" s="18" t="s">
        <v>190</v>
      </c>
      <c r="K70" s="18" t="s">
        <v>190</v>
      </c>
      <c r="L70" s="18" t="s">
        <v>190</v>
      </c>
      <c r="M70" s="31">
        <v>88786</v>
      </c>
      <c r="N70" s="31">
        <v>88261</v>
      </c>
      <c r="O70" s="31">
        <v>88305</v>
      </c>
      <c r="P70" s="31">
        <v>88919</v>
      </c>
      <c r="Q70" s="31">
        <v>89109</v>
      </c>
      <c r="R70" s="31">
        <v>89348</v>
      </c>
      <c r="S70" s="31">
        <v>89697</v>
      </c>
      <c r="T70" s="31">
        <v>89524</v>
      </c>
      <c r="U70" s="31">
        <v>89339</v>
      </c>
      <c r="V70" s="21">
        <v>89369</v>
      </c>
      <c r="W70" s="21">
        <v>89372</v>
      </c>
      <c r="X70" s="21">
        <v>88502</v>
      </c>
      <c r="Y70" s="21">
        <v>87774</v>
      </c>
      <c r="Z70" s="21">
        <v>86980</v>
      </c>
      <c r="AA70" s="21">
        <v>86159</v>
      </c>
      <c r="AB70" s="21">
        <v>85483</v>
      </c>
      <c r="AC70" s="21">
        <v>84883</v>
      </c>
      <c r="AD70" s="21">
        <v>83815</v>
      </c>
      <c r="AE70" s="21">
        <v>83052</v>
      </c>
      <c r="AF70" s="18">
        <v>82266</v>
      </c>
      <c r="AG70" s="18">
        <v>82103</v>
      </c>
      <c r="AH70" s="61">
        <v>81857</v>
      </c>
      <c r="AI70" s="61" t="s">
        <v>190</v>
      </c>
      <c r="AJ70" s="61" t="s">
        <v>190</v>
      </c>
      <c r="AM70"/>
    </row>
    <row r="71" spans="1:39" ht="15.75" x14ac:dyDescent="0.25">
      <c r="A71" s="16" t="s">
        <v>182</v>
      </c>
      <c r="B71" s="16" t="s">
        <v>96</v>
      </c>
      <c r="C71" s="18" t="s">
        <v>190</v>
      </c>
      <c r="D71" s="18" t="s">
        <v>190</v>
      </c>
      <c r="E71" s="18" t="s">
        <v>190</v>
      </c>
      <c r="F71" s="18" t="s">
        <v>190</v>
      </c>
      <c r="G71" s="18" t="s">
        <v>190</v>
      </c>
      <c r="H71" s="18" t="s">
        <v>190</v>
      </c>
      <c r="I71" s="18" t="s">
        <v>190</v>
      </c>
      <c r="J71" s="18" t="s">
        <v>190</v>
      </c>
      <c r="K71" s="18" t="s">
        <v>190</v>
      </c>
      <c r="L71" s="18" t="s">
        <v>190</v>
      </c>
      <c r="M71" s="31">
        <v>10951</v>
      </c>
      <c r="N71" s="31">
        <v>10997</v>
      </c>
      <c r="O71" s="31">
        <v>11143</v>
      </c>
      <c r="P71" s="31">
        <v>11325</v>
      </c>
      <c r="Q71" s="31">
        <v>11440</v>
      </c>
      <c r="R71" s="31">
        <v>11466</v>
      </c>
      <c r="S71" s="31">
        <v>11704</v>
      </c>
      <c r="T71" s="31">
        <v>11896</v>
      </c>
      <c r="U71" s="31">
        <v>11855</v>
      </c>
      <c r="V71" s="21">
        <v>11681</v>
      </c>
      <c r="W71" s="21">
        <v>11674</v>
      </c>
      <c r="X71" s="21">
        <v>11507</v>
      </c>
      <c r="Y71" s="21">
        <v>11406</v>
      </c>
      <c r="Z71" s="21">
        <v>11273</v>
      </c>
      <c r="AA71" s="21">
        <v>11302</v>
      </c>
      <c r="AB71" s="21">
        <v>11313</v>
      </c>
      <c r="AC71" s="21">
        <v>11242</v>
      </c>
      <c r="AD71" s="21">
        <v>11230</v>
      </c>
      <c r="AE71" s="21">
        <v>11179</v>
      </c>
      <c r="AF71" s="18">
        <v>11142</v>
      </c>
      <c r="AG71" s="18">
        <v>11398</v>
      </c>
      <c r="AH71" s="61">
        <v>11325</v>
      </c>
      <c r="AI71" s="61" t="s">
        <v>190</v>
      </c>
      <c r="AJ71" s="61" t="s">
        <v>190</v>
      </c>
      <c r="AM71"/>
    </row>
    <row r="72" spans="1:39" ht="15.75" x14ac:dyDescent="0.25">
      <c r="A72" s="16" t="s">
        <v>182</v>
      </c>
      <c r="B72" s="16" t="s">
        <v>59</v>
      </c>
      <c r="C72" s="18" t="s">
        <v>190</v>
      </c>
      <c r="D72" s="18" t="s">
        <v>190</v>
      </c>
      <c r="E72" s="18" t="s">
        <v>190</v>
      </c>
      <c r="F72" s="18" t="s">
        <v>190</v>
      </c>
      <c r="G72" s="18" t="s">
        <v>190</v>
      </c>
      <c r="H72" s="18" t="s">
        <v>190</v>
      </c>
      <c r="I72" s="18" t="s">
        <v>190</v>
      </c>
      <c r="J72" s="18" t="s">
        <v>190</v>
      </c>
      <c r="K72" s="18" t="s">
        <v>190</v>
      </c>
      <c r="L72" s="18" t="s">
        <v>190</v>
      </c>
      <c r="M72" s="31">
        <v>4271</v>
      </c>
      <c r="N72" s="31">
        <v>4324</v>
      </c>
      <c r="O72" s="31">
        <v>4395</v>
      </c>
      <c r="P72" s="31">
        <v>4422</v>
      </c>
      <c r="Q72" s="31">
        <v>4458</v>
      </c>
      <c r="R72" s="31">
        <v>4532</v>
      </c>
      <c r="S72" s="31">
        <v>4503</v>
      </c>
      <c r="T72" s="31">
        <v>4461</v>
      </c>
      <c r="U72" s="31">
        <v>4407</v>
      </c>
      <c r="V72" s="21">
        <v>4400</v>
      </c>
      <c r="W72" s="21">
        <v>4361</v>
      </c>
      <c r="X72" s="21">
        <v>4343</v>
      </c>
      <c r="Y72" s="21">
        <v>4333</v>
      </c>
      <c r="Z72" s="21">
        <v>4260</v>
      </c>
      <c r="AA72" s="21">
        <v>4211</v>
      </c>
      <c r="AB72" s="21">
        <v>4167</v>
      </c>
      <c r="AC72" s="21">
        <v>4199</v>
      </c>
      <c r="AD72" s="21">
        <v>4175</v>
      </c>
      <c r="AE72" s="21">
        <v>4186</v>
      </c>
      <c r="AF72" s="18">
        <v>4109</v>
      </c>
      <c r="AG72" s="18">
        <v>4232</v>
      </c>
      <c r="AH72" s="61">
        <v>4259</v>
      </c>
      <c r="AI72" s="61" t="s">
        <v>190</v>
      </c>
      <c r="AJ72" s="61" t="s">
        <v>190</v>
      </c>
      <c r="AM72"/>
    </row>
    <row r="73" spans="1:39" ht="15.75" x14ac:dyDescent="0.25">
      <c r="A73" s="16" t="s">
        <v>182</v>
      </c>
      <c r="B73" s="16" t="s">
        <v>60</v>
      </c>
      <c r="C73" s="18" t="s">
        <v>190</v>
      </c>
      <c r="D73" s="18" t="s">
        <v>190</v>
      </c>
      <c r="E73" s="18" t="s">
        <v>190</v>
      </c>
      <c r="F73" s="18" t="s">
        <v>190</v>
      </c>
      <c r="G73" s="18" t="s">
        <v>190</v>
      </c>
      <c r="H73" s="18" t="s">
        <v>190</v>
      </c>
      <c r="I73" s="18" t="s">
        <v>190</v>
      </c>
      <c r="J73" s="18" t="s">
        <v>190</v>
      </c>
      <c r="K73" s="18" t="s">
        <v>190</v>
      </c>
      <c r="L73" s="18" t="s">
        <v>190</v>
      </c>
      <c r="M73" s="31">
        <v>4913</v>
      </c>
      <c r="N73" s="31">
        <v>4865</v>
      </c>
      <c r="O73" s="31">
        <v>4837</v>
      </c>
      <c r="P73" s="31">
        <v>4890</v>
      </c>
      <c r="Q73" s="31">
        <v>4837</v>
      </c>
      <c r="R73" s="31">
        <v>4890</v>
      </c>
      <c r="S73" s="31">
        <v>4832</v>
      </c>
      <c r="T73" s="31">
        <v>4780</v>
      </c>
      <c r="U73" s="31">
        <v>4738</v>
      </c>
      <c r="V73" s="21">
        <v>4734</v>
      </c>
      <c r="W73" s="21">
        <v>4660</v>
      </c>
      <c r="X73" s="21">
        <v>4550</v>
      </c>
      <c r="Y73" s="21">
        <v>4600</v>
      </c>
      <c r="Z73" s="21">
        <v>4598</v>
      </c>
      <c r="AA73" s="21">
        <v>4535</v>
      </c>
      <c r="AB73" s="21">
        <v>4463</v>
      </c>
      <c r="AC73" s="21">
        <v>4361</v>
      </c>
      <c r="AD73" s="21">
        <v>4341</v>
      </c>
      <c r="AE73" s="21">
        <v>4280</v>
      </c>
      <c r="AF73" s="18">
        <v>4280</v>
      </c>
      <c r="AG73" s="18">
        <v>4248</v>
      </c>
      <c r="AH73" s="61">
        <v>4253</v>
      </c>
      <c r="AI73" s="61" t="s">
        <v>190</v>
      </c>
      <c r="AJ73" s="61" t="s">
        <v>190</v>
      </c>
      <c r="AM73"/>
    </row>
    <row r="74" spans="1:39" ht="15.75" x14ac:dyDescent="0.25">
      <c r="A74" s="16" t="s">
        <v>182</v>
      </c>
      <c r="B74" s="16" t="s">
        <v>97</v>
      </c>
      <c r="C74" s="18" t="s">
        <v>190</v>
      </c>
      <c r="D74" s="18" t="s">
        <v>190</v>
      </c>
      <c r="E74" s="18" t="s">
        <v>190</v>
      </c>
      <c r="F74" s="18" t="s">
        <v>190</v>
      </c>
      <c r="G74" s="18" t="s">
        <v>190</v>
      </c>
      <c r="H74" s="18" t="s">
        <v>190</v>
      </c>
      <c r="I74" s="18" t="s">
        <v>190</v>
      </c>
      <c r="J74" s="18" t="s">
        <v>190</v>
      </c>
      <c r="K74" s="18" t="s">
        <v>190</v>
      </c>
      <c r="L74" s="18" t="s">
        <v>190</v>
      </c>
      <c r="M74" s="31">
        <v>6305</v>
      </c>
      <c r="N74" s="31">
        <v>6262</v>
      </c>
      <c r="O74" s="31">
        <v>6296</v>
      </c>
      <c r="P74" s="31">
        <v>6379</v>
      </c>
      <c r="Q74" s="31">
        <v>6381</v>
      </c>
      <c r="R74" s="31">
        <v>6395</v>
      </c>
      <c r="S74" s="31">
        <v>6387</v>
      </c>
      <c r="T74" s="31">
        <v>6332</v>
      </c>
      <c r="U74" s="31">
        <v>6217</v>
      </c>
      <c r="V74" s="21">
        <v>6202</v>
      </c>
      <c r="W74" s="21">
        <v>6225</v>
      </c>
      <c r="X74" s="21">
        <v>6119</v>
      </c>
      <c r="Y74" s="21">
        <v>6010</v>
      </c>
      <c r="Z74" s="21">
        <v>5918</v>
      </c>
      <c r="AA74" s="21">
        <v>5847</v>
      </c>
      <c r="AB74" s="21">
        <v>5798</v>
      </c>
      <c r="AC74" s="21">
        <v>5686</v>
      </c>
      <c r="AD74" s="21">
        <v>5630</v>
      </c>
      <c r="AE74" s="21">
        <v>5535</v>
      </c>
      <c r="AF74" s="18">
        <v>5464</v>
      </c>
      <c r="AG74" s="18">
        <v>5415</v>
      </c>
      <c r="AH74" s="61">
        <v>5357</v>
      </c>
      <c r="AI74" s="61" t="s">
        <v>190</v>
      </c>
      <c r="AJ74" s="61" t="s">
        <v>190</v>
      </c>
      <c r="AM74"/>
    </row>
    <row r="75" spans="1:39" ht="15.75" x14ac:dyDescent="0.25">
      <c r="A75" s="16" t="s">
        <v>182</v>
      </c>
      <c r="B75" s="16" t="s">
        <v>61</v>
      </c>
      <c r="C75" s="18" t="s">
        <v>190</v>
      </c>
      <c r="D75" s="18" t="s">
        <v>190</v>
      </c>
      <c r="E75" s="18" t="s">
        <v>190</v>
      </c>
      <c r="F75" s="18" t="s">
        <v>190</v>
      </c>
      <c r="G75" s="18" t="s">
        <v>190</v>
      </c>
      <c r="H75" s="18" t="s">
        <v>190</v>
      </c>
      <c r="I75" s="18" t="s">
        <v>190</v>
      </c>
      <c r="J75" s="18" t="s">
        <v>190</v>
      </c>
      <c r="K75" s="18" t="s">
        <v>190</v>
      </c>
      <c r="L75" s="18" t="s">
        <v>190</v>
      </c>
      <c r="M75" s="31">
        <v>11218</v>
      </c>
      <c r="N75" s="31">
        <v>11222</v>
      </c>
      <c r="O75" s="31">
        <v>11195</v>
      </c>
      <c r="P75" s="31">
        <v>11385</v>
      </c>
      <c r="Q75" s="31">
        <v>11346</v>
      </c>
      <c r="R75" s="31">
        <v>11322</v>
      </c>
      <c r="S75" s="31">
        <v>11347</v>
      </c>
      <c r="T75" s="31">
        <v>11419</v>
      </c>
      <c r="U75" s="31">
        <v>11373</v>
      </c>
      <c r="V75" s="21">
        <v>11323</v>
      </c>
      <c r="W75" s="21">
        <v>11195</v>
      </c>
      <c r="X75" s="21">
        <v>11086</v>
      </c>
      <c r="Y75" s="21">
        <v>10972</v>
      </c>
      <c r="Z75" s="21">
        <v>10773</v>
      </c>
      <c r="AA75" s="21">
        <v>10753</v>
      </c>
      <c r="AB75" s="21">
        <v>10672</v>
      </c>
      <c r="AC75" s="21">
        <v>10603</v>
      </c>
      <c r="AD75" s="21">
        <v>10428</v>
      </c>
      <c r="AE75" s="21">
        <v>10329</v>
      </c>
      <c r="AF75" s="18">
        <v>10103</v>
      </c>
      <c r="AG75" s="18">
        <v>10062</v>
      </c>
      <c r="AH75" s="61">
        <v>10004</v>
      </c>
      <c r="AI75" s="61" t="s">
        <v>190</v>
      </c>
      <c r="AJ75" s="61" t="s">
        <v>190</v>
      </c>
      <c r="AM75"/>
    </row>
    <row r="76" spans="1:39" ht="15.75" x14ac:dyDescent="0.25">
      <c r="A76" s="16" t="s">
        <v>182</v>
      </c>
      <c r="B76" s="16" t="s">
        <v>62</v>
      </c>
      <c r="C76" s="18" t="s">
        <v>190</v>
      </c>
      <c r="D76" s="18" t="s">
        <v>190</v>
      </c>
      <c r="E76" s="18" t="s">
        <v>190</v>
      </c>
      <c r="F76" s="18" t="s">
        <v>190</v>
      </c>
      <c r="G76" s="18" t="s">
        <v>190</v>
      </c>
      <c r="H76" s="18" t="s">
        <v>190</v>
      </c>
      <c r="I76" s="18" t="s">
        <v>190</v>
      </c>
      <c r="J76" s="18" t="s">
        <v>190</v>
      </c>
      <c r="K76" s="18" t="s">
        <v>190</v>
      </c>
      <c r="L76" s="18" t="s">
        <v>190</v>
      </c>
      <c r="M76" s="31">
        <v>49586</v>
      </c>
      <c r="N76" s="31">
        <v>49776</v>
      </c>
      <c r="O76" s="31">
        <v>49385</v>
      </c>
      <c r="P76" s="31">
        <v>48646</v>
      </c>
      <c r="Q76" s="31">
        <v>48397</v>
      </c>
      <c r="R76" s="31">
        <v>49209</v>
      </c>
      <c r="S76" s="31">
        <v>49178</v>
      </c>
      <c r="T76" s="31">
        <v>48656</v>
      </c>
      <c r="U76" s="31">
        <v>48313</v>
      </c>
      <c r="V76" s="21">
        <v>47546</v>
      </c>
      <c r="W76" s="21">
        <v>47922</v>
      </c>
      <c r="X76" s="21">
        <v>46055</v>
      </c>
      <c r="Y76" s="21">
        <v>47006</v>
      </c>
      <c r="Z76" s="21">
        <v>47003</v>
      </c>
      <c r="AA76" s="21">
        <v>46855</v>
      </c>
      <c r="AB76" s="21">
        <v>47235</v>
      </c>
      <c r="AC76" s="21">
        <v>46770</v>
      </c>
      <c r="AD76" s="21">
        <v>46217</v>
      </c>
      <c r="AE76" s="21">
        <v>45731</v>
      </c>
      <c r="AF76" s="18">
        <v>45615</v>
      </c>
      <c r="AG76" s="18">
        <v>45578</v>
      </c>
      <c r="AH76" s="61">
        <v>45236</v>
      </c>
      <c r="AI76" s="61" t="s">
        <v>190</v>
      </c>
      <c r="AJ76" s="61" t="s">
        <v>190</v>
      </c>
      <c r="AM76"/>
    </row>
    <row r="77" spans="1:39" ht="15.75" x14ac:dyDescent="0.25">
      <c r="A77" s="16" t="s">
        <v>182</v>
      </c>
      <c r="B77" s="16" t="s">
        <v>63</v>
      </c>
      <c r="C77" s="18" t="s">
        <v>190</v>
      </c>
      <c r="D77" s="18" t="s">
        <v>190</v>
      </c>
      <c r="E77" s="18" t="s">
        <v>190</v>
      </c>
      <c r="F77" s="18" t="s">
        <v>190</v>
      </c>
      <c r="G77" s="18" t="s">
        <v>190</v>
      </c>
      <c r="H77" s="18" t="s">
        <v>190</v>
      </c>
      <c r="I77" s="18" t="s">
        <v>190</v>
      </c>
      <c r="J77" s="18" t="s">
        <v>190</v>
      </c>
      <c r="K77" s="18" t="s">
        <v>190</v>
      </c>
      <c r="L77" s="18" t="s">
        <v>190</v>
      </c>
      <c r="M77" s="31">
        <v>55780</v>
      </c>
      <c r="N77" s="31">
        <v>55861</v>
      </c>
      <c r="O77" s="31">
        <v>56153</v>
      </c>
      <c r="P77" s="31">
        <v>56632</v>
      </c>
      <c r="Q77" s="31">
        <v>57023</v>
      </c>
      <c r="R77" s="31">
        <v>57277</v>
      </c>
      <c r="S77" s="31">
        <v>57564</v>
      </c>
      <c r="T77" s="31">
        <v>57649</v>
      </c>
      <c r="U77" s="31">
        <v>57574</v>
      </c>
      <c r="V77" s="21">
        <v>57651</v>
      </c>
      <c r="W77" s="21">
        <v>57784</v>
      </c>
      <c r="X77" s="21">
        <v>57219</v>
      </c>
      <c r="Y77" s="21">
        <v>56792</v>
      </c>
      <c r="Z77" s="21">
        <v>56474</v>
      </c>
      <c r="AA77" s="21">
        <v>55959</v>
      </c>
      <c r="AB77" s="21">
        <v>55396</v>
      </c>
      <c r="AC77" s="21">
        <v>54890</v>
      </c>
      <c r="AD77" s="21">
        <v>54323</v>
      </c>
      <c r="AE77" s="21">
        <v>53908</v>
      </c>
      <c r="AF77" s="18">
        <v>53301</v>
      </c>
      <c r="AG77" s="18">
        <v>53335</v>
      </c>
      <c r="AH77" s="61">
        <v>53114</v>
      </c>
      <c r="AI77" s="61" t="s">
        <v>190</v>
      </c>
      <c r="AJ77" s="61" t="s">
        <v>190</v>
      </c>
      <c r="AM77"/>
    </row>
    <row r="78" spans="1:39" ht="15.75" x14ac:dyDescent="0.25">
      <c r="A78" s="16" t="s">
        <v>182</v>
      </c>
      <c r="B78" s="16" t="s">
        <v>64</v>
      </c>
      <c r="C78" s="18" t="s">
        <v>190</v>
      </c>
      <c r="D78" s="18" t="s">
        <v>190</v>
      </c>
      <c r="E78" s="18" t="s">
        <v>190</v>
      </c>
      <c r="F78" s="18" t="s">
        <v>190</v>
      </c>
      <c r="G78" s="18" t="s">
        <v>190</v>
      </c>
      <c r="H78" s="18" t="s">
        <v>190</v>
      </c>
      <c r="I78" s="18" t="s">
        <v>190</v>
      </c>
      <c r="J78" s="18" t="s">
        <v>190</v>
      </c>
      <c r="K78" s="18" t="s">
        <v>190</v>
      </c>
      <c r="L78" s="18" t="s">
        <v>190</v>
      </c>
      <c r="M78" s="31">
        <v>148433</v>
      </c>
      <c r="N78" s="31">
        <v>148015</v>
      </c>
      <c r="O78" s="31">
        <v>148477</v>
      </c>
      <c r="P78" s="31">
        <v>148764</v>
      </c>
      <c r="Q78" s="31">
        <v>150024</v>
      </c>
      <c r="R78" s="31">
        <v>150859</v>
      </c>
      <c r="S78" s="31">
        <v>151978</v>
      </c>
      <c r="T78" s="31">
        <v>152615</v>
      </c>
      <c r="U78" s="31">
        <v>153452</v>
      </c>
      <c r="V78" s="21">
        <v>154622</v>
      </c>
      <c r="W78" s="21">
        <v>156182</v>
      </c>
      <c r="X78" s="21">
        <v>155414</v>
      </c>
      <c r="Y78" s="21">
        <v>154449</v>
      </c>
      <c r="Z78" s="21">
        <v>153631</v>
      </c>
      <c r="AA78" s="21">
        <v>153108</v>
      </c>
      <c r="AB78" s="21">
        <v>152307</v>
      </c>
      <c r="AC78" s="21">
        <v>152378</v>
      </c>
      <c r="AD78" s="21">
        <v>151928</v>
      </c>
      <c r="AE78" s="21">
        <v>152305</v>
      </c>
      <c r="AF78" s="18">
        <v>152098</v>
      </c>
      <c r="AG78" s="18">
        <v>150855</v>
      </c>
      <c r="AH78" s="61">
        <v>151703</v>
      </c>
      <c r="AI78" s="61" t="s">
        <v>190</v>
      </c>
      <c r="AJ78" s="61" t="s">
        <v>190</v>
      </c>
      <c r="AM78"/>
    </row>
    <row r="79" spans="1:39" ht="15.75" x14ac:dyDescent="0.25">
      <c r="A79" s="16" t="s">
        <v>182</v>
      </c>
      <c r="B79" s="16" t="s">
        <v>65</v>
      </c>
      <c r="C79" s="18" t="s">
        <v>190</v>
      </c>
      <c r="D79" s="18" t="s">
        <v>190</v>
      </c>
      <c r="E79" s="18" t="s">
        <v>190</v>
      </c>
      <c r="F79" s="18" t="s">
        <v>190</v>
      </c>
      <c r="G79" s="18" t="s">
        <v>190</v>
      </c>
      <c r="H79" s="18" t="s">
        <v>190</v>
      </c>
      <c r="I79" s="18" t="s">
        <v>190</v>
      </c>
      <c r="J79" s="18" t="s">
        <v>190</v>
      </c>
      <c r="K79" s="18" t="s">
        <v>190</v>
      </c>
      <c r="L79" s="18" t="s">
        <v>190</v>
      </c>
      <c r="M79" s="31">
        <v>179633</v>
      </c>
      <c r="N79" s="31">
        <v>180281</v>
      </c>
      <c r="O79" s="31">
        <v>180825</v>
      </c>
      <c r="P79" s="31">
        <v>182471</v>
      </c>
      <c r="Q79" s="31">
        <v>183778</v>
      </c>
      <c r="R79" s="31">
        <v>185132</v>
      </c>
      <c r="S79" s="31">
        <v>186323</v>
      </c>
      <c r="T79" s="31">
        <v>187357</v>
      </c>
      <c r="U79" s="31">
        <v>187742</v>
      </c>
      <c r="V79" s="21">
        <v>188542</v>
      </c>
      <c r="W79" s="21">
        <v>190088</v>
      </c>
      <c r="X79" s="21">
        <v>188782</v>
      </c>
      <c r="Y79" s="21">
        <v>187501</v>
      </c>
      <c r="Z79" s="21">
        <v>186378</v>
      </c>
      <c r="AA79" s="21">
        <v>186008</v>
      </c>
      <c r="AB79" s="21">
        <v>185822</v>
      </c>
      <c r="AC79" s="21">
        <v>185432</v>
      </c>
      <c r="AD79" s="21">
        <v>184938</v>
      </c>
      <c r="AE79" s="21">
        <v>184891</v>
      </c>
      <c r="AF79" s="18">
        <v>184725</v>
      </c>
      <c r="AG79" s="18">
        <v>185263</v>
      </c>
      <c r="AH79" s="61">
        <v>185142</v>
      </c>
      <c r="AI79" s="61" t="s">
        <v>190</v>
      </c>
      <c r="AJ79" s="61" t="s">
        <v>190</v>
      </c>
      <c r="AM79"/>
    </row>
    <row r="80" spans="1:39" ht="15.75" x14ac:dyDescent="0.25">
      <c r="A80" s="16" t="s">
        <v>182</v>
      </c>
      <c r="B80" s="16" t="s">
        <v>66</v>
      </c>
      <c r="C80" s="18" t="s">
        <v>190</v>
      </c>
      <c r="D80" s="18" t="s">
        <v>190</v>
      </c>
      <c r="E80" s="18" t="s">
        <v>190</v>
      </c>
      <c r="F80" s="18" t="s">
        <v>190</v>
      </c>
      <c r="G80" s="18" t="s">
        <v>190</v>
      </c>
      <c r="H80" s="18" t="s">
        <v>190</v>
      </c>
      <c r="I80" s="18" t="s">
        <v>190</v>
      </c>
      <c r="J80" s="18" t="s">
        <v>190</v>
      </c>
      <c r="K80" s="18" t="s">
        <v>190</v>
      </c>
      <c r="L80" s="18" t="s">
        <v>190</v>
      </c>
      <c r="M80" s="31">
        <v>13242</v>
      </c>
      <c r="N80" s="31">
        <v>13069</v>
      </c>
      <c r="O80" s="31">
        <v>13218</v>
      </c>
      <c r="P80" s="31">
        <v>13344</v>
      </c>
      <c r="Q80" s="31">
        <v>13322</v>
      </c>
      <c r="R80" s="31">
        <v>13292</v>
      </c>
      <c r="S80" s="31">
        <v>13247</v>
      </c>
      <c r="T80" s="31">
        <v>13054</v>
      </c>
      <c r="U80" s="31">
        <v>12931</v>
      </c>
      <c r="V80" s="21">
        <v>12738</v>
      </c>
      <c r="W80" s="21">
        <v>12592</v>
      </c>
      <c r="X80" s="21">
        <v>12367</v>
      </c>
      <c r="Y80" s="21">
        <v>12201</v>
      </c>
      <c r="Z80" s="21">
        <v>11958</v>
      </c>
      <c r="AA80" s="21">
        <v>11760</v>
      </c>
      <c r="AB80" s="21">
        <v>11675</v>
      </c>
      <c r="AC80" s="21">
        <v>11650</v>
      </c>
      <c r="AD80" s="21">
        <v>11395</v>
      </c>
      <c r="AE80" s="21">
        <v>11264</v>
      </c>
      <c r="AF80" s="18">
        <v>11081</v>
      </c>
      <c r="AG80" s="18">
        <v>11238</v>
      </c>
      <c r="AH80" s="61">
        <v>11107</v>
      </c>
      <c r="AI80" s="61" t="s">
        <v>190</v>
      </c>
      <c r="AJ80" s="61" t="s">
        <v>190</v>
      </c>
      <c r="AM80"/>
    </row>
    <row r="81" spans="1:39" ht="15.75" x14ac:dyDescent="0.25">
      <c r="A81" s="16" t="s">
        <v>182</v>
      </c>
      <c r="B81" s="16" t="s">
        <v>67</v>
      </c>
      <c r="C81" s="18" t="s">
        <v>190</v>
      </c>
      <c r="D81" s="18" t="s">
        <v>190</v>
      </c>
      <c r="E81" s="18" t="s">
        <v>190</v>
      </c>
      <c r="F81" s="18" t="s">
        <v>190</v>
      </c>
      <c r="G81" s="18" t="s">
        <v>190</v>
      </c>
      <c r="H81" s="18" t="s">
        <v>190</v>
      </c>
      <c r="I81" s="18" t="s">
        <v>190</v>
      </c>
      <c r="J81" s="18" t="s">
        <v>190</v>
      </c>
      <c r="K81" s="18" t="s">
        <v>190</v>
      </c>
      <c r="L81" s="18" t="s">
        <v>190</v>
      </c>
      <c r="M81" s="31">
        <v>416677</v>
      </c>
      <c r="N81" s="31">
        <v>417298</v>
      </c>
      <c r="O81" s="31">
        <v>416728</v>
      </c>
      <c r="P81" s="31">
        <v>419157</v>
      </c>
      <c r="Q81" s="31">
        <v>424280</v>
      </c>
      <c r="R81" s="31">
        <v>428256</v>
      </c>
      <c r="S81" s="31">
        <v>434362</v>
      </c>
      <c r="T81" s="31">
        <v>439184</v>
      </c>
      <c r="U81" s="31">
        <v>443077</v>
      </c>
      <c r="V81" s="21">
        <v>449030</v>
      </c>
      <c r="W81" s="21">
        <v>456193</v>
      </c>
      <c r="X81" s="21">
        <v>456123</v>
      </c>
      <c r="Y81" s="21">
        <v>456269</v>
      </c>
      <c r="Z81" s="21">
        <v>457459</v>
      </c>
      <c r="AA81" s="21">
        <v>462008</v>
      </c>
      <c r="AB81" s="21">
        <v>466803</v>
      </c>
      <c r="AC81" s="21">
        <v>471192</v>
      </c>
      <c r="AD81" s="21">
        <v>474984</v>
      </c>
      <c r="AE81" s="21">
        <v>479659</v>
      </c>
      <c r="AF81" s="18">
        <v>482386</v>
      </c>
      <c r="AG81" s="18">
        <v>479845</v>
      </c>
      <c r="AH81" s="61">
        <v>487997</v>
      </c>
      <c r="AI81" s="61" t="s">
        <v>190</v>
      </c>
      <c r="AJ81" s="61" t="s">
        <v>190</v>
      </c>
      <c r="AM81"/>
    </row>
    <row r="82" spans="1:39" ht="15.75" x14ac:dyDescent="0.25">
      <c r="A82" s="16" t="s">
        <v>182</v>
      </c>
      <c r="B82" s="16" t="s">
        <v>68</v>
      </c>
      <c r="C82" s="18" t="s">
        <v>190</v>
      </c>
      <c r="D82" s="18" t="s">
        <v>190</v>
      </c>
      <c r="E82" s="18" t="s">
        <v>190</v>
      </c>
      <c r="F82" s="18" t="s">
        <v>190</v>
      </c>
      <c r="G82" s="18" t="s">
        <v>190</v>
      </c>
      <c r="H82" s="18" t="s">
        <v>190</v>
      </c>
      <c r="I82" s="18" t="s">
        <v>190</v>
      </c>
      <c r="J82" s="18" t="s">
        <v>190</v>
      </c>
      <c r="K82" s="18" t="s">
        <v>190</v>
      </c>
      <c r="L82" s="18" t="s">
        <v>190</v>
      </c>
      <c r="M82" s="31">
        <v>58839</v>
      </c>
      <c r="N82" s="31">
        <v>59633</v>
      </c>
      <c r="O82" s="31">
        <v>60542</v>
      </c>
      <c r="P82" s="31">
        <v>60962</v>
      </c>
      <c r="Q82" s="31">
        <v>61637</v>
      </c>
      <c r="R82" s="31">
        <v>62351</v>
      </c>
      <c r="S82" s="31">
        <v>62692</v>
      </c>
      <c r="T82" s="31">
        <v>63627</v>
      </c>
      <c r="U82" s="31">
        <v>63487</v>
      </c>
      <c r="V82" s="21">
        <v>63628</v>
      </c>
      <c r="W82" s="21">
        <v>63116</v>
      </c>
      <c r="X82" s="21">
        <v>62119</v>
      </c>
      <c r="Y82" s="21">
        <v>62994</v>
      </c>
      <c r="Z82" s="21">
        <v>62884</v>
      </c>
      <c r="AA82" s="21">
        <v>63359</v>
      </c>
      <c r="AB82" s="21">
        <v>63372</v>
      </c>
      <c r="AC82" s="21">
        <v>62765</v>
      </c>
      <c r="AD82" s="21">
        <v>62015</v>
      </c>
      <c r="AE82" s="21">
        <v>61704</v>
      </c>
      <c r="AF82" s="18">
        <v>60996</v>
      </c>
      <c r="AG82" s="18">
        <v>61021</v>
      </c>
      <c r="AH82" s="61">
        <v>60666</v>
      </c>
      <c r="AI82" s="61" t="s">
        <v>190</v>
      </c>
      <c r="AJ82" s="61" t="s">
        <v>190</v>
      </c>
      <c r="AM82"/>
    </row>
    <row r="83" spans="1:39" ht="15.75" x14ac:dyDescent="0.25">
      <c r="A83" s="16" t="s">
        <v>182</v>
      </c>
      <c r="B83" s="16" t="s">
        <v>69</v>
      </c>
      <c r="C83" s="18" t="s">
        <v>190</v>
      </c>
      <c r="D83" s="18" t="s">
        <v>190</v>
      </c>
      <c r="E83" s="18" t="s">
        <v>190</v>
      </c>
      <c r="F83" s="18" t="s">
        <v>190</v>
      </c>
      <c r="G83" s="18" t="s">
        <v>190</v>
      </c>
      <c r="H83" s="18" t="s">
        <v>190</v>
      </c>
      <c r="I83" s="18" t="s">
        <v>190</v>
      </c>
      <c r="J83" s="18" t="s">
        <v>190</v>
      </c>
      <c r="K83" s="18" t="s">
        <v>190</v>
      </c>
      <c r="L83" s="18" t="s">
        <v>190</v>
      </c>
      <c r="M83" s="31">
        <v>171066</v>
      </c>
      <c r="N83" s="31">
        <v>172452</v>
      </c>
      <c r="O83" s="31">
        <v>173592</v>
      </c>
      <c r="P83" s="31">
        <v>174767</v>
      </c>
      <c r="Q83" s="31">
        <v>176794</v>
      </c>
      <c r="R83" s="31">
        <v>178587</v>
      </c>
      <c r="S83" s="31">
        <v>180457</v>
      </c>
      <c r="T83" s="31">
        <v>181280</v>
      </c>
      <c r="U83" s="31">
        <v>181729</v>
      </c>
      <c r="V83" s="21">
        <v>182506</v>
      </c>
      <c r="W83" s="21">
        <v>184139</v>
      </c>
      <c r="X83" s="21">
        <v>183013</v>
      </c>
      <c r="Y83" s="21">
        <v>182512</v>
      </c>
      <c r="Z83" s="21">
        <v>181705</v>
      </c>
      <c r="AA83" s="21">
        <v>182146</v>
      </c>
      <c r="AB83" s="21">
        <v>182736</v>
      </c>
      <c r="AC83" s="21">
        <v>182842</v>
      </c>
      <c r="AD83" s="21">
        <v>182370</v>
      </c>
      <c r="AE83" s="21">
        <v>182447</v>
      </c>
      <c r="AF83" s="18">
        <v>181573</v>
      </c>
      <c r="AG83" s="18">
        <v>180663</v>
      </c>
      <c r="AH83" s="61">
        <v>181361</v>
      </c>
      <c r="AI83" s="61" t="s">
        <v>190</v>
      </c>
      <c r="AJ83" s="61" t="s">
        <v>190</v>
      </c>
      <c r="AM83"/>
    </row>
    <row r="84" spans="1:39" ht="15.75" x14ac:dyDescent="0.25">
      <c r="A84" s="16" t="s">
        <v>182</v>
      </c>
      <c r="B84" s="16" t="s">
        <v>70</v>
      </c>
      <c r="C84" s="18" t="s">
        <v>190</v>
      </c>
      <c r="D84" s="18" t="s">
        <v>190</v>
      </c>
      <c r="E84" s="18" t="s">
        <v>190</v>
      </c>
      <c r="F84" s="18" t="s">
        <v>190</v>
      </c>
      <c r="G84" s="18" t="s">
        <v>190</v>
      </c>
      <c r="H84" s="18" t="s">
        <v>190</v>
      </c>
      <c r="I84" s="18" t="s">
        <v>190</v>
      </c>
      <c r="J84" s="18" t="s">
        <v>190</v>
      </c>
      <c r="K84" s="18" t="s">
        <v>190</v>
      </c>
      <c r="L84" s="18" t="s">
        <v>190</v>
      </c>
      <c r="M84" s="31">
        <v>12552</v>
      </c>
      <c r="N84" s="31">
        <v>12483</v>
      </c>
      <c r="O84" s="31">
        <v>12631</v>
      </c>
      <c r="P84" s="31">
        <v>12823</v>
      </c>
      <c r="Q84" s="31">
        <v>13016</v>
      </c>
      <c r="R84" s="31">
        <v>13148</v>
      </c>
      <c r="S84" s="31">
        <v>13337</v>
      </c>
      <c r="T84" s="31">
        <v>13386</v>
      </c>
      <c r="U84" s="31">
        <v>13308</v>
      </c>
      <c r="V84" s="21">
        <v>13352</v>
      </c>
      <c r="W84" s="21">
        <v>13306</v>
      </c>
      <c r="X84" s="21">
        <v>13272</v>
      </c>
      <c r="Y84" s="21">
        <v>13242</v>
      </c>
      <c r="Z84" s="21">
        <v>13039</v>
      </c>
      <c r="AA84" s="21">
        <v>13021</v>
      </c>
      <c r="AB84" s="21">
        <v>12997</v>
      </c>
      <c r="AC84" s="21">
        <v>13032</v>
      </c>
      <c r="AD84" s="21">
        <v>13041</v>
      </c>
      <c r="AE84" s="21">
        <v>12958</v>
      </c>
      <c r="AF84" s="18">
        <v>12868</v>
      </c>
      <c r="AG84" s="18">
        <v>13228</v>
      </c>
      <c r="AH84" s="61">
        <v>13129</v>
      </c>
      <c r="AI84" s="61" t="s">
        <v>190</v>
      </c>
      <c r="AJ84" s="61" t="s">
        <v>190</v>
      </c>
      <c r="AM84"/>
    </row>
    <row r="85" spans="1:39" ht="15.75" x14ac:dyDescent="0.25">
      <c r="A85" s="16" t="s">
        <v>182</v>
      </c>
      <c r="B85" s="16" t="s">
        <v>71</v>
      </c>
      <c r="C85" s="18" t="s">
        <v>190</v>
      </c>
      <c r="D85" s="18" t="s">
        <v>190</v>
      </c>
      <c r="E85" s="18" t="s">
        <v>190</v>
      </c>
      <c r="F85" s="18" t="s">
        <v>190</v>
      </c>
      <c r="G85" s="18" t="s">
        <v>190</v>
      </c>
      <c r="H85" s="18" t="s">
        <v>190</v>
      </c>
      <c r="I85" s="18" t="s">
        <v>190</v>
      </c>
      <c r="J85" s="18" t="s">
        <v>190</v>
      </c>
      <c r="K85" s="18" t="s">
        <v>190</v>
      </c>
      <c r="L85" s="18" t="s">
        <v>190</v>
      </c>
      <c r="M85" s="31">
        <v>13866</v>
      </c>
      <c r="N85" s="31">
        <v>13732</v>
      </c>
      <c r="O85" s="31">
        <v>13721</v>
      </c>
      <c r="P85" s="31">
        <v>13892</v>
      </c>
      <c r="Q85" s="31">
        <v>14084</v>
      </c>
      <c r="R85" s="31">
        <v>14322</v>
      </c>
      <c r="S85" s="31">
        <v>14491</v>
      </c>
      <c r="T85" s="31">
        <v>14393</v>
      </c>
      <c r="U85" s="31">
        <v>14499</v>
      </c>
      <c r="V85" s="21">
        <v>14641</v>
      </c>
      <c r="W85" s="21">
        <v>14716</v>
      </c>
      <c r="X85" s="21">
        <v>14630</v>
      </c>
      <c r="Y85" s="21">
        <v>14514</v>
      </c>
      <c r="Z85" s="21">
        <v>14512</v>
      </c>
      <c r="AA85" s="21">
        <v>14648</v>
      </c>
      <c r="AB85" s="21">
        <v>14535</v>
      </c>
      <c r="AC85" s="21">
        <v>14344</v>
      </c>
      <c r="AD85" s="21">
        <v>14183</v>
      </c>
      <c r="AE85" s="21">
        <v>13946</v>
      </c>
      <c r="AF85" s="18">
        <v>13727</v>
      </c>
      <c r="AG85" s="18">
        <v>13620</v>
      </c>
      <c r="AH85" s="61">
        <v>13671</v>
      </c>
      <c r="AI85" s="61" t="s">
        <v>190</v>
      </c>
      <c r="AJ85" s="61" t="s">
        <v>190</v>
      </c>
      <c r="AM85"/>
    </row>
    <row r="86" spans="1:39" ht="15.75" x14ac:dyDescent="0.25">
      <c r="A86" s="16" t="s">
        <v>182</v>
      </c>
      <c r="B86" s="16" t="s">
        <v>72</v>
      </c>
      <c r="C86" s="18" t="s">
        <v>190</v>
      </c>
      <c r="D86" s="18" t="s">
        <v>190</v>
      </c>
      <c r="E86" s="18" t="s">
        <v>190</v>
      </c>
      <c r="F86" s="18" t="s">
        <v>190</v>
      </c>
      <c r="G86" s="18" t="s">
        <v>190</v>
      </c>
      <c r="H86" s="18" t="s">
        <v>190</v>
      </c>
      <c r="I86" s="18" t="s">
        <v>190</v>
      </c>
      <c r="J86" s="18" t="s">
        <v>190</v>
      </c>
      <c r="K86" s="18" t="s">
        <v>190</v>
      </c>
      <c r="L86" s="18" t="s">
        <v>190</v>
      </c>
      <c r="M86" s="31">
        <v>32703</v>
      </c>
      <c r="N86" s="31">
        <v>33108</v>
      </c>
      <c r="O86" s="31">
        <v>33578</v>
      </c>
      <c r="P86" s="31">
        <v>34128</v>
      </c>
      <c r="Q86" s="31">
        <v>34338</v>
      </c>
      <c r="R86" s="31">
        <v>34843</v>
      </c>
      <c r="S86" s="31">
        <v>35383</v>
      </c>
      <c r="T86" s="31">
        <v>35571</v>
      </c>
      <c r="U86" s="31">
        <v>35640</v>
      </c>
      <c r="V86" s="21">
        <v>35716</v>
      </c>
      <c r="W86" s="21">
        <v>35793</v>
      </c>
      <c r="X86" s="21">
        <v>35554</v>
      </c>
      <c r="Y86" s="21">
        <v>35495</v>
      </c>
      <c r="Z86" s="21">
        <v>35530</v>
      </c>
      <c r="AA86" s="21">
        <v>35470</v>
      </c>
      <c r="AB86" s="21">
        <v>35653</v>
      </c>
      <c r="AC86" s="21">
        <v>35556</v>
      </c>
      <c r="AD86" s="21">
        <v>35545</v>
      </c>
      <c r="AE86" s="21">
        <v>35575</v>
      </c>
      <c r="AF86" s="18">
        <v>35312</v>
      </c>
      <c r="AG86" s="18">
        <v>35239</v>
      </c>
      <c r="AH86" s="61">
        <v>35035</v>
      </c>
      <c r="AI86" s="61" t="s">
        <v>190</v>
      </c>
      <c r="AJ86" s="61" t="s">
        <v>190</v>
      </c>
      <c r="AM86"/>
    </row>
    <row r="87" spans="1:39" ht="15.75" x14ac:dyDescent="0.25">
      <c r="A87" s="16" t="s">
        <v>182</v>
      </c>
      <c r="B87" s="16" t="s">
        <v>73</v>
      </c>
      <c r="C87" s="18" t="s">
        <v>190</v>
      </c>
      <c r="D87" s="18" t="s">
        <v>190</v>
      </c>
      <c r="E87" s="18" t="s">
        <v>190</v>
      </c>
      <c r="F87" s="18" t="s">
        <v>190</v>
      </c>
      <c r="G87" s="18" t="s">
        <v>190</v>
      </c>
      <c r="H87" s="18" t="s">
        <v>190</v>
      </c>
      <c r="I87" s="18" t="s">
        <v>190</v>
      </c>
      <c r="J87" s="18" t="s">
        <v>190</v>
      </c>
      <c r="K87" s="18" t="s">
        <v>190</v>
      </c>
      <c r="L87" s="18" t="s">
        <v>190</v>
      </c>
      <c r="M87" s="31">
        <v>7289</v>
      </c>
      <c r="N87" s="31">
        <v>7297</v>
      </c>
      <c r="O87" s="31">
        <v>7256</v>
      </c>
      <c r="P87" s="31">
        <v>7283</v>
      </c>
      <c r="Q87" s="31">
        <v>7249</v>
      </c>
      <c r="R87" s="31">
        <v>7252</v>
      </c>
      <c r="S87" s="31">
        <v>7177</v>
      </c>
      <c r="T87" s="31">
        <v>7062</v>
      </c>
      <c r="U87" s="31">
        <v>6978</v>
      </c>
      <c r="V87" s="21">
        <v>6853</v>
      </c>
      <c r="W87" s="21">
        <v>6771</v>
      </c>
      <c r="X87" s="21">
        <v>6644</v>
      </c>
      <c r="Y87" s="21">
        <v>6599</v>
      </c>
      <c r="Z87" s="21">
        <v>6533</v>
      </c>
      <c r="AA87" s="21">
        <v>6523</v>
      </c>
      <c r="AB87" s="21">
        <v>6460</v>
      </c>
      <c r="AC87" s="21">
        <v>6448</v>
      </c>
      <c r="AD87" s="21">
        <v>6378</v>
      </c>
      <c r="AE87" s="21">
        <v>6324</v>
      </c>
      <c r="AF87" s="18">
        <v>6222</v>
      </c>
      <c r="AG87" s="18">
        <v>6190</v>
      </c>
      <c r="AH87" s="61">
        <v>6152</v>
      </c>
      <c r="AI87" s="61" t="s">
        <v>190</v>
      </c>
      <c r="AJ87" s="61" t="s">
        <v>190</v>
      </c>
      <c r="AM87"/>
    </row>
    <row r="88" spans="1:39" ht="15.75" x14ac:dyDescent="0.25">
      <c r="A88" s="16" t="s">
        <v>182</v>
      </c>
      <c r="B88" s="16" t="s">
        <v>53</v>
      </c>
      <c r="C88" s="18" t="s">
        <v>190</v>
      </c>
      <c r="D88" s="18" t="s">
        <v>190</v>
      </c>
      <c r="E88" s="18" t="s">
        <v>190</v>
      </c>
      <c r="F88" s="18" t="s">
        <v>190</v>
      </c>
      <c r="G88" s="18" t="s">
        <v>190</v>
      </c>
      <c r="H88" s="18" t="s">
        <v>190</v>
      </c>
      <c r="I88" s="18" t="s">
        <v>190</v>
      </c>
      <c r="J88" s="18" t="s">
        <v>190</v>
      </c>
      <c r="K88" s="18" t="s">
        <v>190</v>
      </c>
      <c r="L88" s="18" t="s">
        <v>190</v>
      </c>
      <c r="M88" s="31">
        <v>799267</v>
      </c>
      <c r="N88" s="31">
        <v>799525</v>
      </c>
      <c r="O88" s="31">
        <v>798588</v>
      </c>
      <c r="P88" s="31">
        <v>798922</v>
      </c>
      <c r="Q88" s="31">
        <v>801269</v>
      </c>
      <c r="R88" s="31">
        <v>802814</v>
      </c>
      <c r="S88" s="31">
        <v>808914</v>
      </c>
      <c r="T88" s="31">
        <v>815258</v>
      </c>
      <c r="U88" s="31">
        <v>822168</v>
      </c>
      <c r="V88" s="21">
        <v>828819</v>
      </c>
      <c r="W88" s="21">
        <v>836572</v>
      </c>
      <c r="X88" s="21">
        <v>834330</v>
      </c>
      <c r="Y88" s="21">
        <v>831935</v>
      </c>
      <c r="Z88" s="21">
        <v>832091</v>
      </c>
      <c r="AA88" s="21">
        <v>834951</v>
      </c>
      <c r="AB88" s="21">
        <v>840370</v>
      </c>
      <c r="AC88" s="21">
        <v>844609</v>
      </c>
      <c r="AD88" s="21">
        <v>847861</v>
      </c>
      <c r="AE88" s="21">
        <v>852323</v>
      </c>
      <c r="AF88" s="18">
        <v>853065</v>
      </c>
      <c r="AG88" s="18">
        <v>851513</v>
      </c>
      <c r="AH88" s="61">
        <v>862986</v>
      </c>
      <c r="AI88" s="61" t="s">
        <v>190</v>
      </c>
      <c r="AJ88" s="61" t="s">
        <v>190</v>
      </c>
      <c r="AM88"/>
    </row>
    <row r="89" spans="1:39" ht="15.75" x14ac:dyDescent="0.25">
      <c r="A89" s="16" t="s">
        <v>182</v>
      </c>
      <c r="B89" s="16" t="s">
        <v>74</v>
      </c>
      <c r="C89" s="18" t="s">
        <v>190</v>
      </c>
      <c r="D89" s="18" t="s">
        <v>190</v>
      </c>
      <c r="E89" s="18" t="s">
        <v>190</v>
      </c>
      <c r="F89" s="18" t="s">
        <v>190</v>
      </c>
      <c r="G89" s="18" t="s">
        <v>190</v>
      </c>
      <c r="H89" s="18" t="s">
        <v>190</v>
      </c>
      <c r="I89" s="18" t="s">
        <v>190</v>
      </c>
      <c r="J89" s="18" t="s">
        <v>190</v>
      </c>
      <c r="K89" s="18" t="s">
        <v>190</v>
      </c>
      <c r="L89" s="18" t="s">
        <v>190</v>
      </c>
      <c r="M89" s="31">
        <v>5564</v>
      </c>
      <c r="N89" s="31">
        <v>5584</v>
      </c>
      <c r="O89" s="31">
        <v>5599</v>
      </c>
      <c r="P89" s="31">
        <v>5704</v>
      </c>
      <c r="Q89" s="31">
        <v>5748</v>
      </c>
      <c r="R89" s="31">
        <v>5733</v>
      </c>
      <c r="S89" s="31">
        <v>5737</v>
      </c>
      <c r="T89" s="31">
        <v>5739</v>
      </c>
      <c r="U89" s="31">
        <v>5700</v>
      </c>
      <c r="V89" s="21">
        <v>5736</v>
      </c>
      <c r="W89" s="21">
        <v>5717</v>
      </c>
      <c r="X89" s="21">
        <v>5683</v>
      </c>
      <c r="Y89" s="21">
        <v>5617</v>
      </c>
      <c r="Z89" s="21">
        <v>5571</v>
      </c>
      <c r="AA89" s="21">
        <v>5479</v>
      </c>
      <c r="AB89" s="21">
        <v>5454</v>
      </c>
      <c r="AC89" s="21">
        <v>5373</v>
      </c>
      <c r="AD89" s="21">
        <v>5319</v>
      </c>
      <c r="AE89" s="21">
        <v>5310</v>
      </c>
      <c r="AF89" s="18">
        <v>5309</v>
      </c>
      <c r="AG89" s="18">
        <v>5351</v>
      </c>
      <c r="AH89" s="61">
        <v>5247</v>
      </c>
      <c r="AI89" s="61" t="s">
        <v>190</v>
      </c>
      <c r="AJ89" s="61" t="s">
        <v>190</v>
      </c>
      <c r="AM89"/>
    </row>
    <row r="90" spans="1:39" ht="15.75" x14ac:dyDescent="0.25">
      <c r="A90" s="16" t="s">
        <v>182</v>
      </c>
      <c r="B90" s="16" t="s">
        <v>75</v>
      </c>
      <c r="C90" s="18" t="s">
        <v>190</v>
      </c>
      <c r="D90" s="18" t="s">
        <v>190</v>
      </c>
      <c r="E90" s="18" t="s">
        <v>190</v>
      </c>
      <c r="F90" s="18" t="s">
        <v>190</v>
      </c>
      <c r="G90" s="18" t="s">
        <v>190</v>
      </c>
      <c r="H90" s="18" t="s">
        <v>190</v>
      </c>
      <c r="I90" s="18" t="s">
        <v>190</v>
      </c>
      <c r="J90" s="18" t="s">
        <v>190</v>
      </c>
      <c r="K90" s="18" t="s">
        <v>190</v>
      </c>
      <c r="L90" s="18" t="s">
        <v>190</v>
      </c>
      <c r="M90" s="31">
        <v>55153</v>
      </c>
      <c r="N90" s="31">
        <v>55120</v>
      </c>
      <c r="O90" s="31">
        <v>54947</v>
      </c>
      <c r="P90" s="31">
        <v>54730</v>
      </c>
      <c r="Q90" s="31">
        <v>54724</v>
      </c>
      <c r="R90" s="31">
        <v>54574</v>
      </c>
      <c r="S90" s="31">
        <v>54626</v>
      </c>
      <c r="T90" s="31">
        <v>54680</v>
      </c>
      <c r="U90" s="31">
        <v>54392</v>
      </c>
      <c r="V90" s="21">
        <v>54305</v>
      </c>
      <c r="W90" s="21">
        <v>54033</v>
      </c>
      <c r="X90" s="21">
        <v>53662</v>
      </c>
      <c r="Y90" s="21">
        <v>53407</v>
      </c>
      <c r="Z90" s="21">
        <v>52923</v>
      </c>
      <c r="AA90" s="21">
        <v>52663</v>
      </c>
      <c r="AB90" s="21">
        <v>52221</v>
      </c>
      <c r="AC90" s="21">
        <v>51926</v>
      </c>
      <c r="AD90" s="21">
        <v>51380</v>
      </c>
      <c r="AE90" s="21">
        <v>50990</v>
      </c>
      <c r="AF90" s="18">
        <v>50498</v>
      </c>
      <c r="AG90" s="18">
        <v>50246</v>
      </c>
      <c r="AH90" s="61">
        <v>49904</v>
      </c>
      <c r="AI90" s="61" t="s">
        <v>190</v>
      </c>
      <c r="AJ90" s="61" t="s">
        <v>190</v>
      </c>
      <c r="AM90"/>
    </row>
    <row r="91" spans="1:39" ht="15.75" x14ac:dyDescent="0.25">
      <c r="A91" s="16" t="s">
        <v>182</v>
      </c>
      <c r="B91" s="16" t="s">
        <v>76</v>
      </c>
      <c r="C91" s="18" t="s">
        <v>190</v>
      </c>
      <c r="D91" s="18" t="s">
        <v>190</v>
      </c>
      <c r="E91" s="18" t="s">
        <v>190</v>
      </c>
      <c r="F91" s="18" t="s">
        <v>190</v>
      </c>
      <c r="G91" s="18" t="s">
        <v>190</v>
      </c>
      <c r="H91" s="18" t="s">
        <v>190</v>
      </c>
      <c r="I91" s="18" t="s">
        <v>190</v>
      </c>
      <c r="J91" s="18" t="s">
        <v>190</v>
      </c>
      <c r="K91" s="18" t="s">
        <v>190</v>
      </c>
      <c r="L91" s="18" t="s">
        <v>190</v>
      </c>
      <c r="M91" s="31">
        <v>20884</v>
      </c>
      <c r="N91" s="31">
        <v>20921</v>
      </c>
      <c r="O91" s="31">
        <v>20857</v>
      </c>
      <c r="P91" s="31">
        <v>20825</v>
      </c>
      <c r="Q91" s="31">
        <v>20919</v>
      </c>
      <c r="R91" s="31">
        <v>21008</v>
      </c>
      <c r="S91" s="31">
        <v>21125</v>
      </c>
      <c r="T91" s="31">
        <v>21330</v>
      </c>
      <c r="U91" s="31">
        <v>21166</v>
      </c>
      <c r="V91" s="21">
        <v>21175</v>
      </c>
      <c r="W91" s="21">
        <v>21118</v>
      </c>
      <c r="X91" s="21">
        <v>20847</v>
      </c>
      <c r="Y91" s="21">
        <v>20666</v>
      </c>
      <c r="Z91" s="21">
        <v>20449</v>
      </c>
      <c r="AA91" s="21">
        <v>20215</v>
      </c>
      <c r="AB91" s="21">
        <v>20012</v>
      </c>
      <c r="AC91" s="21">
        <v>20130</v>
      </c>
      <c r="AD91" s="21">
        <v>19995</v>
      </c>
      <c r="AE91" s="21">
        <v>19743</v>
      </c>
      <c r="AF91" s="18">
        <v>19576</v>
      </c>
      <c r="AG91" s="18">
        <v>19635</v>
      </c>
      <c r="AH91" s="61">
        <v>19475</v>
      </c>
      <c r="AI91" s="61" t="s">
        <v>190</v>
      </c>
      <c r="AJ91" s="61" t="s">
        <v>190</v>
      </c>
      <c r="AM91"/>
    </row>
    <row r="92" spans="1:39" ht="15.75" x14ac:dyDescent="0.25">
      <c r="A92" s="16" t="s">
        <v>182</v>
      </c>
      <c r="B92" s="16" t="s">
        <v>77</v>
      </c>
      <c r="C92" s="18" t="s">
        <v>190</v>
      </c>
      <c r="D92" s="18" t="s">
        <v>190</v>
      </c>
      <c r="E92" s="18" t="s">
        <v>190</v>
      </c>
      <c r="F92" s="18" t="s">
        <v>190</v>
      </c>
      <c r="G92" s="18" t="s">
        <v>190</v>
      </c>
      <c r="H92" s="18" t="s">
        <v>190</v>
      </c>
      <c r="I92" s="18" t="s">
        <v>190</v>
      </c>
      <c r="J92" s="18" t="s">
        <v>190</v>
      </c>
      <c r="K92" s="18" t="s">
        <v>190</v>
      </c>
      <c r="L92" s="18" t="s">
        <v>190</v>
      </c>
      <c r="M92" s="31">
        <v>64668</v>
      </c>
      <c r="N92" s="31">
        <v>65237</v>
      </c>
      <c r="O92" s="31">
        <v>66082</v>
      </c>
      <c r="P92" s="31">
        <v>67235</v>
      </c>
      <c r="Q92" s="31">
        <v>68765</v>
      </c>
      <c r="R92" s="31">
        <v>70234</v>
      </c>
      <c r="S92" s="31">
        <v>71760</v>
      </c>
      <c r="T92" s="31">
        <v>72846</v>
      </c>
      <c r="U92" s="31">
        <v>73429</v>
      </c>
      <c r="V92" s="21">
        <v>74324</v>
      </c>
      <c r="W92" s="21">
        <v>75366</v>
      </c>
      <c r="X92" s="21">
        <v>75180</v>
      </c>
      <c r="Y92" s="21">
        <v>75022</v>
      </c>
      <c r="Z92" s="21">
        <v>74928</v>
      </c>
      <c r="AA92" s="21">
        <v>75570</v>
      </c>
      <c r="AB92" s="21">
        <v>75578</v>
      </c>
      <c r="AC92" s="21">
        <v>75649</v>
      </c>
      <c r="AD92" s="21">
        <v>75206</v>
      </c>
      <c r="AE92" s="21">
        <v>74776</v>
      </c>
      <c r="AF92" s="18">
        <v>74559</v>
      </c>
      <c r="AG92" s="18">
        <v>74942</v>
      </c>
      <c r="AH92" s="61">
        <v>75195</v>
      </c>
      <c r="AI92" s="61" t="s">
        <v>190</v>
      </c>
      <c r="AJ92" s="61" t="s">
        <v>190</v>
      </c>
      <c r="AM92"/>
    </row>
    <row r="93" spans="1:39" ht="15.75" x14ac:dyDescent="0.25">
      <c r="A93" s="16" t="s">
        <v>182</v>
      </c>
      <c r="B93" s="16" t="s">
        <v>78</v>
      </c>
      <c r="C93" s="18" t="s">
        <v>190</v>
      </c>
      <c r="D93" s="18" t="s">
        <v>190</v>
      </c>
      <c r="E93" s="18" t="s">
        <v>190</v>
      </c>
      <c r="F93" s="18" t="s">
        <v>190</v>
      </c>
      <c r="G93" s="18" t="s">
        <v>190</v>
      </c>
      <c r="H93" s="18" t="s">
        <v>190</v>
      </c>
      <c r="I93" s="18" t="s">
        <v>190</v>
      </c>
      <c r="J93" s="18" t="s">
        <v>190</v>
      </c>
      <c r="K93" s="18" t="s">
        <v>190</v>
      </c>
      <c r="L93" s="18" t="s">
        <v>190</v>
      </c>
      <c r="M93" s="31">
        <v>131054</v>
      </c>
      <c r="N93" s="31">
        <v>131426</v>
      </c>
      <c r="O93" s="31">
        <v>131794</v>
      </c>
      <c r="P93" s="31">
        <v>132246</v>
      </c>
      <c r="Q93" s="31">
        <v>132544</v>
      </c>
      <c r="R93" s="31">
        <v>132768</v>
      </c>
      <c r="S93" s="31">
        <v>133432</v>
      </c>
      <c r="T93" s="31">
        <v>133977</v>
      </c>
      <c r="U93" s="31">
        <v>133726</v>
      </c>
      <c r="V93" s="21">
        <v>133720</v>
      </c>
      <c r="W93" s="21">
        <v>133917</v>
      </c>
      <c r="X93" s="21">
        <v>132380</v>
      </c>
      <c r="Y93" s="21">
        <v>131358</v>
      </c>
      <c r="Z93" s="21">
        <v>130235</v>
      </c>
      <c r="AA93" s="21">
        <v>129389</v>
      </c>
      <c r="AB93" s="21">
        <v>128636</v>
      </c>
      <c r="AC93" s="21">
        <v>127989</v>
      </c>
      <c r="AD93" s="21">
        <v>126903</v>
      </c>
      <c r="AE93" s="21">
        <v>126125</v>
      </c>
      <c r="AF93" s="18">
        <v>125078</v>
      </c>
      <c r="AG93" s="18">
        <v>124746</v>
      </c>
      <c r="AH93" s="61">
        <v>124162</v>
      </c>
      <c r="AI93" s="61" t="s">
        <v>190</v>
      </c>
      <c r="AJ93" s="61" t="s">
        <v>190</v>
      </c>
      <c r="AM93"/>
    </row>
    <row r="94" spans="1:39" ht="15.75" x14ac:dyDescent="0.25">
      <c r="A94" s="16" t="s">
        <v>182</v>
      </c>
      <c r="B94" s="16" t="s">
        <v>79</v>
      </c>
      <c r="C94" s="18" t="s">
        <v>190</v>
      </c>
      <c r="D94" s="18" t="s">
        <v>190</v>
      </c>
      <c r="E94" s="18" t="s">
        <v>190</v>
      </c>
      <c r="F94" s="18" t="s">
        <v>190</v>
      </c>
      <c r="G94" s="18" t="s">
        <v>190</v>
      </c>
      <c r="H94" s="18" t="s">
        <v>190</v>
      </c>
      <c r="I94" s="18" t="s">
        <v>190</v>
      </c>
      <c r="J94" s="18" t="s">
        <v>190</v>
      </c>
      <c r="K94" s="18" t="s">
        <v>190</v>
      </c>
      <c r="L94" s="18" t="s">
        <v>190</v>
      </c>
      <c r="M94" s="31">
        <v>118163</v>
      </c>
      <c r="N94" s="31">
        <v>119322</v>
      </c>
      <c r="O94" s="31">
        <v>120616</v>
      </c>
      <c r="P94" s="31">
        <v>121958</v>
      </c>
      <c r="Q94" s="31">
        <v>123073</v>
      </c>
      <c r="R94" s="31">
        <v>124523</v>
      </c>
      <c r="S94" s="31">
        <v>126145</v>
      </c>
      <c r="T94" s="31">
        <v>127168</v>
      </c>
      <c r="U94" s="31">
        <v>128001</v>
      </c>
      <c r="V94" s="21">
        <v>128345</v>
      </c>
      <c r="W94" s="21">
        <v>128691</v>
      </c>
      <c r="X94" s="21">
        <v>128172</v>
      </c>
      <c r="Y94" s="21">
        <v>127120</v>
      </c>
      <c r="Z94" s="21">
        <v>127078</v>
      </c>
      <c r="AA94" s="21">
        <v>127479</v>
      </c>
      <c r="AB94" s="21">
        <v>127810</v>
      </c>
      <c r="AC94" s="21">
        <v>128072</v>
      </c>
      <c r="AD94" s="21">
        <v>127637</v>
      </c>
      <c r="AE94" s="21">
        <v>127507</v>
      </c>
      <c r="AF94" s="18">
        <v>127414</v>
      </c>
      <c r="AG94" s="18">
        <v>128008</v>
      </c>
      <c r="AH94" s="61">
        <v>128366</v>
      </c>
      <c r="AI94" s="61" t="s">
        <v>190</v>
      </c>
      <c r="AJ94" s="61" t="s">
        <v>190</v>
      </c>
      <c r="AM94"/>
    </row>
    <row r="95" spans="1:39" ht="15.75" x14ac:dyDescent="0.25">
      <c r="A95" s="16" t="s">
        <v>182</v>
      </c>
      <c r="B95" s="16" t="s">
        <v>80</v>
      </c>
      <c r="C95" s="18" t="s">
        <v>190</v>
      </c>
      <c r="D95" s="18" t="s">
        <v>190</v>
      </c>
      <c r="E95" s="18" t="s">
        <v>190</v>
      </c>
      <c r="F95" s="18" t="s">
        <v>190</v>
      </c>
      <c r="G95" s="18" t="s">
        <v>190</v>
      </c>
      <c r="H95" s="18" t="s">
        <v>190</v>
      </c>
      <c r="I95" s="18" t="s">
        <v>190</v>
      </c>
      <c r="J95" s="18" t="s">
        <v>190</v>
      </c>
      <c r="K95" s="18" t="s">
        <v>190</v>
      </c>
      <c r="L95" s="18" t="s">
        <v>190</v>
      </c>
      <c r="M95" s="31">
        <v>6199</v>
      </c>
      <c r="N95" s="31">
        <v>6155</v>
      </c>
      <c r="O95" s="31">
        <v>6237</v>
      </c>
      <c r="P95" s="31">
        <v>6220</v>
      </c>
      <c r="Q95" s="31">
        <v>6314</v>
      </c>
      <c r="R95" s="31">
        <v>6309</v>
      </c>
      <c r="S95" s="31">
        <v>6305</v>
      </c>
      <c r="T95" s="31">
        <v>6219</v>
      </c>
      <c r="U95" s="31">
        <v>6147</v>
      </c>
      <c r="V95" s="21">
        <v>6025</v>
      </c>
      <c r="W95" s="21">
        <v>5901</v>
      </c>
      <c r="X95" s="21">
        <v>5861</v>
      </c>
      <c r="Y95" s="21">
        <v>5824</v>
      </c>
      <c r="Z95" s="21">
        <v>5778</v>
      </c>
      <c r="AA95" s="21">
        <v>5719</v>
      </c>
      <c r="AB95" s="21">
        <v>5581</v>
      </c>
      <c r="AC95" s="21">
        <v>5581</v>
      </c>
      <c r="AD95" s="21">
        <v>5615</v>
      </c>
      <c r="AE95" s="21">
        <v>5523</v>
      </c>
      <c r="AF95" s="18">
        <v>5438</v>
      </c>
      <c r="AG95" s="18">
        <v>5521</v>
      </c>
      <c r="AH95" s="61">
        <v>5535</v>
      </c>
      <c r="AI95" s="61" t="s">
        <v>190</v>
      </c>
      <c r="AJ95" s="61" t="s">
        <v>190</v>
      </c>
      <c r="AM95"/>
    </row>
    <row r="96" spans="1:39" ht="15.75" x14ac:dyDescent="0.25">
      <c r="A96" s="16" t="s">
        <v>182</v>
      </c>
      <c r="B96" s="16" t="s">
        <v>81</v>
      </c>
      <c r="C96" s="18" t="s">
        <v>190</v>
      </c>
      <c r="D96" s="18" t="s">
        <v>190</v>
      </c>
      <c r="E96" s="18" t="s">
        <v>190</v>
      </c>
      <c r="F96" s="18" t="s">
        <v>190</v>
      </c>
      <c r="G96" s="18" t="s">
        <v>190</v>
      </c>
      <c r="H96" s="18" t="s">
        <v>190</v>
      </c>
      <c r="I96" s="18" t="s">
        <v>190</v>
      </c>
      <c r="J96" s="18" t="s">
        <v>190</v>
      </c>
      <c r="K96" s="18" t="s">
        <v>190</v>
      </c>
      <c r="L96" s="18" t="s">
        <v>190</v>
      </c>
      <c r="M96" s="31">
        <v>264142</v>
      </c>
      <c r="N96" s="31">
        <v>265370</v>
      </c>
      <c r="O96" s="31">
        <v>266254</v>
      </c>
      <c r="P96" s="31">
        <v>268523</v>
      </c>
      <c r="Q96" s="31">
        <v>270285</v>
      </c>
      <c r="R96" s="31">
        <v>272309</v>
      </c>
      <c r="S96" s="31">
        <v>274505</v>
      </c>
      <c r="T96" s="31">
        <v>275979</v>
      </c>
      <c r="U96" s="31">
        <v>276673</v>
      </c>
      <c r="V96" s="21">
        <v>277420</v>
      </c>
      <c r="W96" s="21">
        <v>278027</v>
      </c>
      <c r="X96" s="21">
        <v>276746</v>
      </c>
      <c r="Y96" s="21">
        <v>276238</v>
      </c>
      <c r="Z96" s="21">
        <v>275497</v>
      </c>
      <c r="AA96" s="21">
        <v>275274</v>
      </c>
      <c r="AB96" s="21">
        <v>275612</v>
      </c>
      <c r="AC96" s="21">
        <v>275470</v>
      </c>
      <c r="AD96" s="21">
        <v>274752</v>
      </c>
      <c r="AE96" s="21">
        <v>274767</v>
      </c>
      <c r="AF96" s="18">
        <v>273961</v>
      </c>
      <c r="AG96" s="18">
        <v>273367</v>
      </c>
      <c r="AH96" s="61">
        <v>272367</v>
      </c>
      <c r="AI96" s="61" t="s">
        <v>190</v>
      </c>
      <c r="AJ96" s="61" t="s">
        <v>190</v>
      </c>
      <c r="AM96"/>
    </row>
    <row r="97" spans="1:39" ht="15.75" x14ac:dyDescent="0.25">
      <c r="A97" s="16" t="s">
        <v>182</v>
      </c>
      <c r="B97" s="16" t="s">
        <v>82</v>
      </c>
      <c r="C97" s="18" t="s">
        <v>190</v>
      </c>
      <c r="D97" s="18" t="s">
        <v>190</v>
      </c>
      <c r="E97" s="18" t="s">
        <v>190</v>
      </c>
      <c r="F97" s="18" t="s">
        <v>190</v>
      </c>
      <c r="G97" s="18" t="s">
        <v>190</v>
      </c>
      <c r="H97" s="18" t="s">
        <v>190</v>
      </c>
      <c r="I97" s="18" t="s">
        <v>190</v>
      </c>
      <c r="J97" s="18" t="s">
        <v>190</v>
      </c>
      <c r="K97" s="18" t="s">
        <v>190</v>
      </c>
      <c r="L97" s="18" t="s">
        <v>190</v>
      </c>
      <c r="M97" s="31">
        <v>4686</v>
      </c>
      <c r="N97" s="31">
        <v>4729</v>
      </c>
      <c r="O97" s="31">
        <v>4747</v>
      </c>
      <c r="P97" s="31">
        <v>4787</v>
      </c>
      <c r="Q97" s="31">
        <v>4849</v>
      </c>
      <c r="R97" s="31">
        <v>4767</v>
      </c>
      <c r="S97" s="31">
        <v>4729</v>
      </c>
      <c r="T97" s="31">
        <v>4692</v>
      </c>
      <c r="U97" s="31">
        <v>4667</v>
      </c>
      <c r="V97" s="21">
        <v>4576</v>
      </c>
      <c r="W97" s="21">
        <v>4558</v>
      </c>
      <c r="X97" s="21">
        <v>4499</v>
      </c>
      <c r="Y97" s="21">
        <v>4473</v>
      </c>
      <c r="Z97" s="21">
        <v>4463</v>
      </c>
      <c r="AA97" s="21">
        <v>4400</v>
      </c>
      <c r="AB97" s="21">
        <v>4343</v>
      </c>
      <c r="AC97" s="21">
        <v>4342</v>
      </c>
      <c r="AD97" s="21">
        <v>4343</v>
      </c>
      <c r="AE97" s="21">
        <v>4317</v>
      </c>
      <c r="AF97" s="18">
        <v>4263</v>
      </c>
      <c r="AG97" s="18">
        <v>4409</v>
      </c>
      <c r="AH97" s="61">
        <v>4408</v>
      </c>
      <c r="AI97" s="61" t="s">
        <v>190</v>
      </c>
      <c r="AJ97" s="61" t="s">
        <v>190</v>
      </c>
      <c r="AM97"/>
    </row>
    <row r="98" spans="1:39" ht="15.75" x14ac:dyDescent="0.25">
      <c r="A98" s="16" t="s">
        <v>182</v>
      </c>
      <c r="B98" s="16" t="s">
        <v>83</v>
      </c>
      <c r="C98" s="18" t="s">
        <v>190</v>
      </c>
      <c r="D98" s="18" t="s">
        <v>190</v>
      </c>
      <c r="E98" s="18" t="s">
        <v>190</v>
      </c>
      <c r="F98" s="18" t="s">
        <v>190</v>
      </c>
      <c r="G98" s="18" t="s">
        <v>190</v>
      </c>
      <c r="H98" s="18" t="s">
        <v>190</v>
      </c>
      <c r="I98" s="18" t="s">
        <v>190</v>
      </c>
      <c r="J98" s="18" t="s">
        <v>190</v>
      </c>
      <c r="K98" s="18" t="s">
        <v>190</v>
      </c>
      <c r="L98" s="18" t="s">
        <v>190</v>
      </c>
      <c r="M98" s="31">
        <v>7787</v>
      </c>
      <c r="N98" s="31">
        <v>7677</v>
      </c>
      <c r="O98" s="31">
        <v>7811</v>
      </c>
      <c r="P98" s="31">
        <v>7855</v>
      </c>
      <c r="Q98" s="31">
        <v>8007</v>
      </c>
      <c r="R98" s="31">
        <v>7959</v>
      </c>
      <c r="S98" s="31">
        <v>7949</v>
      </c>
      <c r="T98" s="31">
        <v>7891</v>
      </c>
      <c r="U98" s="31">
        <v>7912</v>
      </c>
      <c r="V98" s="21">
        <v>7818</v>
      </c>
      <c r="W98" s="21">
        <v>7777</v>
      </c>
      <c r="X98" s="21">
        <v>7628</v>
      </c>
      <c r="Y98" s="21">
        <v>7508</v>
      </c>
      <c r="Z98" s="21">
        <v>7399</v>
      </c>
      <c r="AA98" s="21">
        <v>7300</v>
      </c>
      <c r="AB98" s="21">
        <v>7252</v>
      </c>
      <c r="AC98" s="21">
        <v>7171</v>
      </c>
      <c r="AD98" s="21">
        <v>7036</v>
      </c>
      <c r="AE98" s="21">
        <v>6990</v>
      </c>
      <c r="AF98" s="18">
        <v>6886</v>
      </c>
      <c r="AG98" s="18">
        <v>6870</v>
      </c>
      <c r="AH98" s="61">
        <v>6836</v>
      </c>
      <c r="AI98" s="61" t="s">
        <v>190</v>
      </c>
      <c r="AJ98" s="61" t="s">
        <v>190</v>
      </c>
      <c r="AM98"/>
    </row>
    <row r="99" spans="1:39" ht="15.75" x14ac:dyDescent="0.25">
      <c r="A99" s="16" t="s">
        <v>182</v>
      </c>
      <c r="B99" s="16" t="s">
        <v>84</v>
      </c>
      <c r="C99" s="18" t="s">
        <v>190</v>
      </c>
      <c r="D99" s="18" t="s">
        <v>190</v>
      </c>
      <c r="E99" s="18" t="s">
        <v>190</v>
      </c>
      <c r="F99" s="18" t="s">
        <v>190</v>
      </c>
      <c r="G99" s="18" t="s">
        <v>190</v>
      </c>
      <c r="H99" s="18" t="s">
        <v>190</v>
      </c>
      <c r="I99" s="18" t="s">
        <v>190</v>
      </c>
      <c r="J99" s="18" t="s">
        <v>190</v>
      </c>
      <c r="K99" s="18" t="s">
        <v>190</v>
      </c>
      <c r="L99" s="18" t="s">
        <v>190</v>
      </c>
      <c r="M99" s="31">
        <v>9803</v>
      </c>
      <c r="N99" s="31">
        <v>9759</v>
      </c>
      <c r="O99" s="31">
        <v>9807</v>
      </c>
      <c r="P99" s="31">
        <v>9929</v>
      </c>
      <c r="Q99" s="31">
        <v>9948</v>
      </c>
      <c r="R99" s="31">
        <v>9960</v>
      </c>
      <c r="S99" s="31">
        <v>10012</v>
      </c>
      <c r="T99" s="31">
        <v>10096</v>
      </c>
      <c r="U99" s="31">
        <v>10095</v>
      </c>
      <c r="V99" s="21">
        <v>10304</v>
      </c>
      <c r="W99" s="21">
        <v>10273</v>
      </c>
      <c r="X99" s="21">
        <v>10288</v>
      </c>
      <c r="Y99" s="21">
        <v>10399</v>
      </c>
      <c r="Z99" s="21">
        <v>10325</v>
      </c>
      <c r="AA99" s="21">
        <v>10296</v>
      </c>
      <c r="AB99" s="21">
        <v>10377</v>
      </c>
      <c r="AC99" s="21">
        <v>10292</v>
      </c>
      <c r="AD99" s="21">
        <v>10158</v>
      </c>
      <c r="AE99" s="21">
        <v>10085</v>
      </c>
      <c r="AF99" s="18">
        <v>10041</v>
      </c>
      <c r="AG99" s="18">
        <v>9999</v>
      </c>
      <c r="AH99" s="61">
        <v>9941</v>
      </c>
      <c r="AI99" s="61" t="s">
        <v>190</v>
      </c>
      <c r="AJ99" s="61" t="s">
        <v>190</v>
      </c>
      <c r="AM99"/>
    </row>
    <row r="100" spans="1:39" ht="15.75" x14ac:dyDescent="0.25">
      <c r="A100" s="16" t="s">
        <v>182</v>
      </c>
      <c r="B100" s="16" t="s">
        <v>15</v>
      </c>
      <c r="C100" s="18" t="s">
        <v>190</v>
      </c>
      <c r="D100" s="18" t="s">
        <v>190</v>
      </c>
      <c r="E100" s="18" t="s">
        <v>190</v>
      </c>
      <c r="F100" s="18" t="s">
        <v>190</v>
      </c>
      <c r="G100" s="18" t="s">
        <v>190</v>
      </c>
      <c r="H100" s="18" t="s">
        <v>190</v>
      </c>
      <c r="I100" s="18" t="s">
        <v>190</v>
      </c>
      <c r="J100" s="18" t="s">
        <v>190</v>
      </c>
      <c r="K100" s="18" t="s">
        <v>190</v>
      </c>
      <c r="L100" s="18" t="s">
        <v>190</v>
      </c>
      <c r="M100" s="31">
        <v>12182</v>
      </c>
      <c r="N100" s="31">
        <v>12242</v>
      </c>
      <c r="O100" s="31">
        <v>12404</v>
      </c>
      <c r="P100" s="31">
        <v>12628</v>
      </c>
      <c r="Q100" s="31">
        <v>12720</v>
      </c>
      <c r="R100" s="31">
        <v>12986</v>
      </c>
      <c r="S100" s="31">
        <v>13120</v>
      </c>
      <c r="T100" s="31">
        <v>13179</v>
      </c>
      <c r="U100" s="31">
        <v>13259</v>
      </c>
      <c r="V100" s="21">
        <v>13423</v>
      </c>
      <c r="W100" s="21">
        <v>13554</v>
      </c>
      <c r="X100" s="21">
        <v>13503</v>
      </c>
      <c r="Y100" s="21">
        <v>13459</v>
      </c>
      <c r="Z100" s="21">
        <v>13337</v>
      </c>
      <c r="AA100" s="21">
        <v>13294</v>
      </c>
      <c r="AB100" s="21">
        <v>13272</v>
      </c>
      <c r="AC100" s="21">
        <v>13244</v>
      </c>
      <c r="AD100" s="21">
        <v>13210</v>
      </c>
      <c r="AE100" s="21">
        <v>13120</v>
      </c>
      <c r="AF100" s="18">
        <v>13110</v>
      </c>
      <c r="AG100" s="18">
        <v>13090</v>
      </c>
      <c r="AH100" s="61">
        <v>13022</v>
      </c>
      <c r="AI100" s="61" t="s">
        <v>190</v>
      </c>
      <c r="AJ100" s="61" t="s">
        <v>190</v>
      </c>
      <c r="AM100"/>
    </row>
    <row r="101" spans="1:39" ht="15.75" x14ac:dyDescent="0.25">
      <c r="A101" s="16" t="s">
        <v>182</v>
      </c>
      <c r="B101" s="16" t="s">
        <v>85</v>
      </c>
      <c r="C101" s="18" t="s">
        <v>190</v>
      </c>
      <c r="D101" s="18" t="s">
        <v>190</v>
      </c>
      <c r="E101" s="18" t="s">
        <v>190</v>
      </c>
      <c r="F101" s="18" t="s">
        <v>190</v>
      </c>
      <c r="G101" s="18" t="s">
        <v>190</v>
      </c>
      <c r="H101" s="18" t="s">
        <v>190</v>
      </c>
      <c r="I101" s="18" t="s">
        <v>190</v>
      </c>
      <c r="J101" s="18" t="s">
        <v>190</v>
      </c>
      <c r="K101" s="18" t="s">
        <v>190</v>
      </c>
      <c r="L101" s="18" t="s">
        <v>190</v>
      </c>
      <c r="M101" s="31">
        <v>70482</v>
      </c>
      <c r="N101" s="31">
        <v>70656</v>
      </c>
      <c r="O101" s="31">
        <v>71142</v>
      </c>
      <c r="P101" s="31">
        <v>71489</v>
      </c>
      <c r="Q101" s="31">
        <v>72221</v>
      </c>
      <c r="R101" s="31">
        <v>72868</v>
      </c>
      <c r="S101" s="31">
        <v>74006</v>
      </c>
      <c r="T101" s="31">
        <v>75385</v>
      </c>
      <c r="U101" s="31">
        <v>76081</v>
      </c>
      <c r="V101" s="21">
        <v>76688</v>
      </c>
      <c r="W101" s="21">
        <v>77190</v>
      </c>
      <c r="X101" s="21">
        <v>76788</v>
      </c>
      <c r="Y101" s="21">
        <v>76452</v>
      </c>
      <c r="Z101" s="21">
        <v>76452</v>
      </c>
      <c r="AA101" s="21">
        <v>76498</v>
      </c>
      <c r="AB101" s="21">
        <v>76715</v>
      </c>
      <c r="AC101" s="21">
        <v>76699</v>
      </c>
      <c r="AD101" s="21">
        <v>75998</v>
      </c>
      <c r="AE101" s="21">
        <v>75887</v>
      </c>
      <c r="AF101" s="18">
        <v>75644</v>
      </c>
      <c r="AG101" s="18">
        <v>76369</v>
      </c>
      <c r="AH101" s="61">
        <v>76319</v>
      </c>
      <c r="AI101" s="61" t="s">
        <v>190</v>
      </c>
      <c r="AJ101" s="61" t="s">
        <v>190</v>
      </c>
      <c r="AM101"/>
    </row>
    <row r="102" spans="1:39" ht="15.75" x14ac:dyDescent="0.25">
      <c r="A102" s="16" t="s">
        <v>182</v>
      </c>
      <c r="B102" s="16" t="s">
        <v>86</v>
      </c>
      <c r="C102" s="18" t="s">
        <v>190</v>
      </c>
      <c r="D102" s="18" t="s">
        <v>190</v>
      </c>
      <c r="E102" s="18" t="s">
        <v>190</v>
      </c>
      <c r="F102" s="18" t="s">
        <v>190</v>
      </c>
      <c r="G102" s="18" t="s">
        <v>190</v>
      </c>
      <c r="H102" s="18" t="s">
        <v>190</v>
      </c>
      <c r="I102" s="18" t="s">
        <v>190</v>
      </c>
      <c r="J102" s="18" t="s">
        <v>190</v>
      </c>
      <c r="K102" s="18" t="s">
        <v>190</v>
      </c>
      <c r="L102" s="18" t="s">
        <v>190</v>
      </c>
      <c r="M102" s="31">
        <v>22871</v>
      </c>
      <c r="N102" s="31">
        <v>22940</v>
      </c>
      <c r="O102" s="31">
        <v>23023</v>
      </c>
      <c r="P102" s="31">
        <v>23259</v>
      </c>
      <c r="Q102" s="31">
        <v>23049</v>
      </c>
      <c r="R102" s="31">
        <v>23423</v>
      </c>
      <c r="S102" s="31">
        <v>23526</v>
      </c>
      <c r="T102" s="31">
        <v>23752</v>
      </c>
      <c r="U102" s="31">
        <v>23975</v>
      </c>
      <c r="V102" s="21">
        <v>24222</v>
      </c>
      <c r="W102" s="21">
        <v>24086</v>
      </c>
      <c r="X102" s="21">
        <v>23891</v>
      </c>
      <c r="Y102" s="21">
        <v>23832</v>
      </c>
      <c r="Z102" s="21">
        <v>24061</v>
      </c>
      <c r="AA102" s="21">
        <v>24451</v>
      </c>
      <c r="AB102" s="21">
        <v>24483</v>
      </c>
      <c r="AC102" s="21">
        <v>24311</v>
      </c>
      <c r="AD102" s="21">
        <v>24151</v>
      </c>
      <c r="AE102" s="21">
        <v>24080</v>
      </c>
      <c r="AF102" s="18">
        <v>23838</v>
      </c>
      <c r="AG102" s="18">
        <v>23949</v>
      </c>
      <c r="AH102" s="61">
        <v>24054</v>
      </c>
      <c r="AI102" s="61" t="s">
        <v>190</v>
      </c>
      <c r="AJ102" s="61" t="s">
        <v>190</v>
      </c>
      <c r="AM102"/>
    </row>
    <row r="103" spans="1:39" ht="15.75" x14ac:dyDescent="0.25">
      <c r="A103" s="16" t="s">
        <v>182</v>
      </c>
      <c r="B103" s="16" t="s">
        <v>87</v>
      </c>
      <c r="C103" s="18" t="s">
        <v>190</v>
      </c>
      <c r="D103" s="18" t="s">
        <v>190</v>
      </c>
      <c r="E103" s="18" t="s">
        <v>190</v>
      </c>
      <c r="F103" s="18" t="s">
        <v>190</v>
      </c>
      <c r="G103" s="18" t="s">
        <v>190</v>
      </c>
      <c r="H103" s="18" t="s">
        <v>190</v>
      </c>
      <c r="I103" s="18" t="s">
        <v>190</v>
      </c>
      <c r="J103" s="18" t="s">
        <v>190</v>
      </c>
      <c r="K103" s="18" t="s">
        <v>190</v>
      </c>
      <c r="L103" s="18" t="s">
        <v>190</v>
      </c>
      <c r="M103" s="31">
        <v>7631</v>
      </c>
      <c r="N103" s="31">
        <v>7616</v>
      </c>
      <c r="O103" s="31">
        <v>7694</v>
      </c>
      <c r="P103" s="31">
        <v>7738</v>
      </c>
      <c r="Q103" s="31">
        <v>7763</v>
      </c>
      <c r="R103" s="31">
        <v>7856</v>
      </c>
      <c r="S103" s="31">
        <v>7837</v>
      </c>
      <c r="T103" s="31">
        <v>7916</v>
      </c>
      <c r="U103" s="31">
        <v>7952</v>
      </c>
      <c r="V103" s="21">
        <v>7906</v>
      </c>
      <c r="W103" s="21">
        <v>7936</v>
      </c>
      <c r="X103" s="21">
        <v>7921</v>
      </c>
      <c r="Y103" s="21">
        <v>7795</v>
      </c>
      <c r="Z103" s="21">
        <v>7837</v>
      </c>
      <c r="AA103" s="21">
        <v>7773</v>
      </c>
      <c r="AB103" s="21">
        <v>7740</v>
      </c>
      <c r="AC103" s="21">
        <v>7640</v>
      </c>
      <c r="AD103" s="21">
        <v>7554</v>
      </c>
      <c r="AE103" s="21">
        <v>7402</v>
      </c>
      <c r="AF103" s="18">
        <v>7158</v>
      </c>
      <c r="AG103" s="18">
        <v>7108</v>
      </c>
      <c r="AH103" s="61">
        <v>6977</v>
      </c>
      <c r="AI103" s="61" t="s">
        <v>190</v>
      </c>
      <c r="AJ103" s="61" t="s">
        <v>190</v>
      </c>
      <c r="AM103"/>
    </row>
    <row r="104" spans="1:39" ht="15.75" x14ac:dyDescent="0.25">
      <c r="A104" s="16" t="s">
        <v>182</v>
      </c>
      <c r="B104" s="16" t="s">
        <v>88</v>
      </c>
      <c r="C104" s="18" t="s">
        <v>190</v>
      </c>
      <c r="D104" s="18" t="s">
        <v>190</v>
      </c>
      <c r="E104" s="18" t="s">
        <v>190</v>
      </c>
      <c r="F104" s="18" t="s">
        <v>190</v>
      </c>
      <c r="G104" s="18" t="s">
        <v>190</v>
      </c>
      <c r="H104" s="18" t="s">
        <v>190</v>
      </c>
      <c r="I104" s="18" t="s">
        <v>190</v>
      </c>
      <c r="J104" s="18" t="s">
        <v>190</v>
      </c>
      <c r="K104" s="18" t="s">
        <v>190</v>
      </c>
      <c r="L104" s="18" t="s">
        <v>190</v>
      </c>
      <c r="M104" s="31">
        <v>4244</v>
      </c>
      <c r="N104" s="31">
        <v>4280</v>
      </c>
      <c r="O104" s="31">
        <v>4352</v>
      </c>
      <c r="P104" s="31">
        <v>4484</v>
      </c>
      <c r="Q104" s="31">
        <v>4554</v>
      </c>
      <c r="R104" s="31">
        <v>4614</v>
      </c>
      <c r="S104" s="31">
        <v>4737</v>
      </c>
      <c r="T104" s="31">
        <v>4759</v>
      </c>
      <c r="U104" s="31">
        <v>4836</v>
      </c>
      <c r="V104" s="21">
        <v>4769</v>
      </c>
      <c r="W104" s="21">
        <v>4708</v>
      </c>
      <c r="X104" s="21">
        <v>4681</v>
      </c>
      <c r="Y104" s="21">
        <v>4697</v>
      </c>
      <c r="Z104" s="21">
        <v>4700</v>
      </c>
      <c r="AA104" s="21">
        <v>4740</v>
      </c>
      <c r="AB104" s="21">
        <v>4728</v>
      </c>
      <c r="AC104" s="21">
        <v>4676</v>
      </c>
      <c r="AD104" s="21">
        <v>4638</v>
      </c>
      <c r="AE104" s="21">
        <v>4601</v>
      </c>
      <c r="AF104" s="18">
        <v>4547</v>
      </c>
      <c r="AG104" s="18">
        <v>4598</v>
      </c>
      <c r="AH104" s="61">
        <v>4477</v>
      </c>
      <c r="AI104" s="61" t="s">
        <v>190</v>
      </c>
      <c r="AJ104" s="61" t="s">
        <v>190</v>
      </c>
      <c r="AM104"/>
    </row>
    <row r="105" spans="1:39" ht="15.75" x14ac:dyDescent="0.25">
      <c r="A105" s="16" t="s">
        <v>182</v>
      </c>
      <c r="B105" s="16" t="s">
        <v>18</v>
      </c>
      <c r="C105" s="18" t="s">
        <v>190</v>
      </c>
      <c r="D105" s="18" t="s">
        <v>190</v>
      </c>
      <c r="E105" s="18" t="s">
        <v>190</v>
      </c>
      <c r="F105" s="18" t="s">
        <v>190</v>
      </c>
      <c r="G105" s="18" t="s">
        <v>190</v>
      </c>
      <c r="H105" s="18" t="s">
        <v>190</v>
      </c>
      <c r="I105" s="18" t="s">
        <v>190</v>
      </c>
      <c r="J105" s="18" t="s">
        <v>190</v>
      </c>
      <c r="K105" s="18" t="s">
        <v>190</v>
      </c>
      <c r="L105" s="18" t="s">
        <v>190</v>
      </c>
      <c r="M105" s="31">
        <v>14090</v>
      </c>
      <c r="N105" s="31">
        <v>14121</v>
      </c>
      <c r="O105" s="31">
        <v>14131</v>
      </c>
      <c r="P105" s="31">
        <v>14245</v>
      </c>
      <c r="Q105" s="31">
        <v>14317</v>
      </c>
      <c r="R105" s="31">
        <v>14324</v>
      </c>
      <c r="S105" s="31">
        <v>14404</v>
      </c>
      <c r="T105" s="31">
        <v>14469</v>
      </c>
      <c r="U105" s="31">
        <v>14668</v>
      </c>
      <c r="V105" s="21">
        <v>14836</v>
      </c>
      <c r="W105" s="21">
        <v>14969</v>
      </c>
      <c r="X105" s="21">
        <v>14803</v>
      </c>
      <c r="Y105" s="21">
        <v>14693</v>
      </c>
      <c r="Z105" s="21">
        <v>14729</v>
      </c>
      <c r="AA105" s="21">
        <v>14714</v>
      </c>
      <c r="AB105" s="21">
        <v>14527</v>
      </c>
      <c r="AC105" s="21">
        <v>14302</v>
      </c>
      <c r="AD105" s="21">
        <v>14138</v>
      </c>
      <c r="AE105" s="21">
        <v>13889</v>
      </c>
      <c r="AF105" s="18">
        <v>13774</v>
      </c>
      <c r="AG105" s="18">
        <v>13760</v>
      </c>
      <c r="AH105" s="61">
        <v>13827</v>
      </c>
      <c r="AI105" s="61" t="s">
        <v>190</v>
      </c>
      <c r="AJ105" s="61" t="s">
        <v>190</v>
      </c>
      <c r="AM105"/>
    </row>
    <row r="106" spans="1:39" ht="15.75" x14ac:dyDescent="0.25">
      <c r="A106" s="16" t="s">
        <v>182</v>
      </c>
      <c r="B106" s="16" t="s">
        <v>89</v>
      </c>
      <c r="C106" s="18" t="s">
        <v>190</v>
      </c>
      <c r="D106" s="18" t="s">
        <v>190</v>
      </c>
      <c r="E106" s="18" t="s">
        <v>190</v>
      </c>
      <c r="F106" s="18" t="s">
        <v>190</v>
      </c>
      <c r="G106" s="18" t="s">
        <v>190</v>
      </c>
      <c r="H106" s="18" t="s">
        <v>190</v>
      </c>
      <c r="I106" s="18" t="s">
        <v>190</v>
      </c>
      <c r="J106" s="18" t="s">
        <v>190</v>
      </c>
      <c r="K106" s="18" t="s">
        <v>190</v>
      </c>
      <c r="L106" s="18" t="s">
        <v>190</v>
      </c>
      <c r="M106" s="31">
        <v>34171</v>
      </c>
      <c r="N106" s="31">
        <v>35005</v>
      </c>
      <c r="O106" s="31">
        <v>35868</v>
      </c>
      <c r="P106" s="31">
        <v>36153</v>
      </c>
      <c r="Q106" s="31">
        <v>37075</v>
      </c>
      <c r="R106" s="31">
        <v>37315</v>
      </c>
      <c r="S106" s="31">
        <v>37156</v>
      </c>
      <c r="T106" s="31">
        <v>36536</v>
      </c>
      <c r="U106" s="31">
        <v>36389</v>
      </c>
      <c r="V106" s="21">
        <v>35734</v>
      </c>
      <c r="W106" s="21">
        <v>35667</v>
      </c>
      <c r="X106" s="21">
        <v>35647</v>
      </c>
      <c r="Y106" s="21">
        <v>35797</v>
      </c>
      <c r="Z106" s="21">
        <v>35173</v>
      </c>
      <c r="AA106" s="21">
        <v>34997</v>
      </c>
      <c r="AB106" s="21">
        <v>35727</v>
      </c>
      <c r="AC106" s="21">
        <v>35919</v>
      </c>
      <c r="AD106" s="21">
        <v>35687</v>
      </c>
      <c r="AE106" s="21">
        <v>35533</v>
      </c>
      <c r="AF106" s="18">
        <v>35126</v>
      </c>
      <c r="AG106" s="18">
        <v>33744</v>
      </c>
      <c r="AH106" s="61">
        <v>34262</v>
      </c>
      <c r="AI106" s="61" t="s">
        <v>190</v>
      </c>
      <c r="AJ106" s="61" t="s">
        <v>190</v>
      </c>
      <c r="AM106"/>
    </row>
    <row r="107" spans="1:39" ht="15.75" x14ac:dyDescent="0.25">
      <c r="A107" s="16" t="s">
        <v>182</v>
      </c>
      <c r="B107" s="16" t="s">
        <v>90</v>
      </c>
      <c r="C107" s="18" t="s">
        <v>190</v>
      </c>
      <c r="D107" s="18" t="s">
        <v>190</v>
      </c>
      <c r="E107" s="18" t="s">
        <v>190</v>
      </c>
      <c r="F107" s="18" t="s">
        <v>190</v>
      </c>
      <c r="G107" s="18" t="s">
        <v>190</v>
      </c>
      <c r="H107" s="18" t="s">
        <v>190</v>
      </c>
      <c r="I107" s="18" t="s">
        <v>190</v>
      </c>
      <c r="J107" s="18" t="s">
        <v>190</v>
      </c>
      <c r="K107" s="18" t="s">
        <v>190</v>
      </c>
      <c r="L107" s="18" t="s">
        <v>190</v>
      </c>
      <c r="M107" s="31">
        <v>11181</v>
      </c>
      <c r="N107" s="31">
        <v>11107</v>
      </c>
      <c r="O107" s="31">
        <v>10970</v>
      </c>
      <c r="P107" s="31">
        <v>10948</v>
      </c>
      <c r="Q107" s="31">
        <v>10935</v>
      </c>
      <c r="R107" s="31">
        <v>10880</v>
      </c>
      <c r="S107" s="31">
        <v>10840</v>
      </c>
      <c r="T107" s="31">
        <v>10921</v>
      </c>
      <c r="U107" s="31">
        <v>10829</v>
      </c>
      <c r="V107" s="21">
        <v>10778</v>
      </c>
      <c r="W107" s="21">
        <v>10711</v>
      </c>
      <c r="X107" s="21">
        <v>10507</v>
      </c>
      <c r="Y107" s="21">
        <v>10338</v>
      </c>
      <c r="Z107" s="21">
        <v>10249</v>
      </c>
      <c r="AA107" s="21">
        <v>10088</v>
      </c>
      <c r="AB107" s="21">
        <v>9950</v>
      </c>
      <c r="AC107" s="21">
        <v>9832</v>
      </c>
      <c r="AD107" s="21">
        <v>9575</v>
      </c>
      <c r="AE107" s="21">
        <v>9462</v>
      </c>
      <c r="AF107" s="18">
        <v>9327</v>
      </c>
      <c r="AG107" s="18">
        <v>9207</v>
      </c>
      <c r="AH107" s="61">
        <v>9133</v>
      </c>
      <c r="AI107" s="61" t="s">
        <v>190</v>
      </c>
      <c r="AJ107" s="61" t="s">
        <v>190</v>
      </c>
      <c r="AM107"/>
    </row>
    <row r="108" spans="1:39" ht="15.75" x14ac:dyDescent="0.25">
      <c r="A108" s="16" t="s">
        <v>182</v>
      </c>
      <c r="B108" s="16" t="s">
        <v>91</v>
      </c>
      <c r="C108" s="18" t="s">
        <v>190</v>
      </c>
      <c r="D108" s="18" t="s">
        <v>190</v>
      </c>
      <c r="E108" s="18" t="s">
        <v>190</v>
      </c>
      <c r="F108" s="18" t="s">
        <v>190</v>
      </c>
      <c r="G108" s="18" t="s">
        <v>190</v>
      </c>
      <c r="H108" s="18" t="s">
        <v>190</v>
      </c>
      <c r="I108" s="18" t="s">
        <v>190</v>
      </c>
      <c r="J108" s="18" t="s">
        <v>190</v>
      </c>
      <c r="K108" s="18" t="s">
        <v>190</v>
      </c>
      <c r="L108" s="18" t="s">
        <v>190</v>
      </c>
      <c r="M108" s="31">
        <v>9201</v>
      </c>
      <c r="N108" s="31">
        <v>9203</v>
      </c>
      <c r="O108" s="31">
        <v>9233</v>
      </c>
      <c r="P108" s="31">
        <v>9321</v>
      </c>
      <c r="Q108" s="31">
        <v>9315</v>
      </c>
      <c r="R108" s="31">
        <v>9337</v>
      </c>
      <c r="S108" s="31">
        <v>9329</v>
      </c>
      <c r="T108" s="31">
        <v>9471</v>
      </c>
      <c r="U108" s="31">
        <v>9443</v>
      </c>
      <c r="V108" s="21">
        <v>9439</v>
      </c>
      <c r="W108" s="21">
        <v>9409</v>
      </c>
      <c r="X108" s="21">
        <v>9287</v>
      </c>
      <c r="Y108" s="21">
        <v>9120</v>
      </c>
      <c r="Z108" s="21">
        <v>9083</v>
      </c>
      <c r="AA108" s="21">
        <v>9077</v>
      </c>
      <c r="AB108" s="21">
        <v>9041</v>
      </c>
      <c r="AC108" s="21">
        <v>8932</v>
      </c>
      <c r="AD108" s="21">
        <v>8717</v>
      </c>
      <c r="AE108" s="21">
        <v>8666</v>
      </c>
      <c r="AF108" s="18">
        <v>8599</v>
      </c>
      <c r="AG108" s="18">
        <v>8589</v>
      </c>
      <c r="AH108" s="61">
        <v>8488</v>
      </c>
      <c r="AI108" s="61" t="s">
        <v>190</v>
      </c>
      <c r="AJ108" s="61" t="s">
        <v>190</v>
      </c>
      <c r="AM108"/>
    </row>
    <row r="109" spans="1:39" ht="15.75" x14ac:dyDescent="0.25">
      <c r="A109" s="16" t="s">
        <v>182</v>
      </c>
      <c r="B109" s="16" t="s">
        <v>92</v>
      </c>
      <c r="C109" s="18" t="s">
        <v>190</v>
      </c>
      <c r="D109" s="18" t="s">
        <v>190</v>
      </c>
      <c r="E109" s="18" t="s">
        <v>190</v>
      </c>
      <c r="F109" s="18" t="s">
        <v>190</v>
      </c>
      <c r="G109" s="18" t="s">
        <v>190</v>
      </c>
      <c r="H109" s="18" t="s">
        <v>190</v>
      </c>
      <c r="I109" s="18" t="s">
        <v>190</v>
      </c>
      <c r="J109" s="18" t="s">
        <v>190</v>
      </c>
      <c r="K109" s="18" t="s">
        <v>190</v>
      </c>
      <c r="L109" s="18" t="s">
        <v>190</v>
      </c>
      <c r="M109" s="31">
        <v>15879</v>
      </c>
      <c r="N109" s="31">
        <v>15858</v>
      </c>
      <c r="O109" s="31">
        <v>15911</v>
      </c>
      <c r="P109" s="31">
        <v>16197</v>
      </c>
      <c r="Q109" s="31">
        <v>16302</v>
      </c>
      <c r="R109" s="31">
        <v>16450</v>
      </c>
      <c r="S109" s="31">
        <v>16641</v>
      </c>
      <c r="T109" s="31">
        <v>16836</v>
      </c>
      <c r="U109" s="31">
        <v>16823</v>
      </c>
      <c r="V109" s="21">
        <v>16865</v>
      </c>
      <c r="W109" s="21">
        <v>16755</v>
      </c>
      <c r="X109" s="21">
        <v>16616</v>
      </c>
      <c r="Y109" s="21">
        <v>16509</v>
      </c>
      <c r="Z109" s="21">
        <v>16440</v>
      </c>
      <c r="AA109" s="21">
        <v>16358</v>
      </c>
      <c r="AB109" s="21">
        <v>16246</v>
      </c>
      <c r="AC109" s="21">
        <v>16106</v>
      </c>
      <c r="AD109" s="21">
        <v>15877</v>
      </c>
      <c r="AE109" s="21">
        <v>15598</v>
      </c>
      <c r="AF109" s="18">
        <v>15449</v>
      </c>
      <c r="AG109" s="18">
        <v>15531</v>
      </c>
      <c r="AH109" s="61">
        <v>15368</v>
      </c>
      <c r="AI109" s="61" t="s">
        <v>190</v>
      </c>
      <c r="AJ109" s="61" t="s">
        <v>190</v>
      </c>
      <c r="AM109"/>
    </row>
    <row r="110" spans="1:39" ht="15.75" x14ac:dyDescent="0.25">
      <c r="A110" s="16" t="s">
        <v>182</v>
      </c>
      <c r="B110" s="16" t="s">
        <v>93</v>
      </c>
      <c r="C110" s="18" t="s">
        <v>190</v>
      </c>
      <c r="D110" s="18" t="s">
        <v>190</v>
      </c>
      <c r="E110" s="18" t="s">
        <v>190</v>
      </c>
      <c r="F110" s="18" t="s">
        <v>190</v>
      </c>
      <c r="G110" s="18" t="s">
        <v>190</v>
      </c>
      <c r="H110" s="18" t="s">
        <v>190</v>
      </c>
      <c r="I110" s="18" t="s">
        <v>190</v>
      </c>
      <c r="J110" s="18" t="s">
        <v>190</v>
      </c>
      <c r="K110" s="18" t="s">
        <v>190</v>
      </c>
      <c r="L110" s="18" t="s">
        <v>190</v>
      </c>
      <c r="M110" s="31">
        <v>4130</v>
      </c>
      <c r="N110" s="31">
        <v>4129</v>
      </c>
      <c r="O110" s="31">
        <v>4238</v>
      </c>
      <c r="P110" s="31">
        <v>4365</v>
      </c>
      <c r="Q110" s="31">
        <v>4471</v>
      </c>
      <c r="R110" s="31">
        <v>4435</v>
      </c>
      <c r="S110" s="31">
        <v>4453</v>
      </c>
      <c r="T110" s="31">
        <v>4430</v>
      </c>
      <c r="U110" s="31">
        <v>4380</v>
      </c>
      <c r="V110" s="21">
        <v>4354</v>
      </c>
      <c r="W110" s="21">
        <v>4288</v>
      </c>
      <c r="X110" s="21">
        <v>4272</v>
      </c>
      <c r="Y110" s="21">
        <v>4224</v>
      </c>
      <c r="Z110" s="21">
        <v>4195</v>
      </c>
      <c r="AA110" s="21">
        <v>4187</v>
      </c>
      <c r="AB110" s="21">
        <v>4103</v>
      </c>
      <c r="AC110" s="21">
        <v>4011</v>
      </c>
      <c r="AD110" s="21">
        <v>3954</v>
      </c>
      <c r="AE110" s="21">
        <v>3905</v>
      </c>
      <c r="AF110" s="18">
        <v>3830</v>
      </c>
      <c r="AG110" s="18">
        <v>3953</v>
      </c>
      <c r="AH110" s="61">
        <v>3824</v>
      </c>
      <c r="AI110" s="61" t="s">
        <v>190</v>
      </c>
      <c r="AJ110" s="61" t="s">
        <v>190</v>
      </c>
      <c r="AM110"/>
    </row>
    <row r="111" spans="1:39" ht="15.75" x14ac:dyDescent="0.25">
      <c r="A111" s="16" t="s">
        <v>182</v>
      </c>
      <c r="B111" s="16" t="s">
        <v>94</v>
      </c>
      <c r="C111" s="18" t="s">
        <v>190</v>
      </c>
      <c r="D111" s="18" t="s">
        <v>190</v>
      </c>
      <c r="E111" s="18" t="s">
        <v>190</v>
      </c>
      <c r="F111" s="18" t="s">
        <v>190</v>
      </c>
      <c r="G111" s="18" t="s">
        <v>190</v>
      </c>
      <c r="H111" s="18" t="s">
        <v>190</v>
      </c>
      <c r="I111" s="18" t="s">
        <v>190</v>
      </c>
      <c r="J111" s="18" t="s">
        <v>190</v>
      </c>
      <c r="K111" s="18" t="s">
        <v>190</v>
      </c>
      <c r="L111" s="18" t="s">
        <v>190</v>
      </c>
      <c r="M111" s="31">
        <v>16240</v>
      </c>
      <c r="N111" s="31">
        <v>16194</v>
      </c>
      <c r="O111" s="31">
        <v>16235</v>
      </c>
      <c r="P111" s="31">
        <v>16452</v>
      </c>
      <c r="Q111" s="31">
        <v>16671</v>
      </c>
      <c r="R111" s="31">
        <v>16791</v>
      </c>
      <c r="S111" s="31">
        <v>16897</v>
      </c>
      <c r="T111" s="31">
        <v>16889</v>
      </c>
      <c r="U111" s="31">
        <v>16877</v>
      </c>
      <c r="V111" s="21">
        <v>17042</v>
      </c>
      <c r="W111" s="21">
        <v>17014</v>
      </c>
      <c r="X111" s="21">
        <v>16832</v>
      </c>
      <c r="Y111" s="21">
        <v>16690</v>
      </c>
      <c r="Z111" s="21">
        <v>16386</v>
      </c>
      <c r="AA111" s="21">
        <v>16131</v>
      </c>
      <c r="AB111" s="21">
        <v>15890</v>
      </c>
      <c r="AC111" s="21">
        <v>15742</v>
      </c>
      <c r="AD111" s="21">
        <v>15529</v>
      </c>
      <c r="AE111" s="21">
        <v>15376</v>
      </c>
      <c r="AF111" s="18">
        <v>15171</v>
      </c>
      <c r="AG111" s="18">
        <v>15239</v>
      </c>
      <c r="AH111" s="61">
        <v>15176</v>
      </c>
      <c r="AI111" s="61" t="s">
        <v>190</v>
      </c>
      <c r="AJ111" s="61" t="s">
        <v>190</v>
      </c>
      <c r="AM111"/>
    </row>
    <row r="112" spans="1:39" ht="15.75" x14ac:dyDescent="0.25">
      <c r="A112" s="16" t="s">
        <v>182</v>
      </c>
      <c r="B112" s="16" t="s">
        <v>95</v>
      </c>
      <c r="C112" s="18" t="s">
        <v>190</v>
      </c>
      <c r="D112" s="18" t="s">
        <v>190</v>
      </c>
      <c r="E112" s="18" t="s">
        <v>190</v>
      </c>
      <c r="F112" s="18" t="s">
        <v>190</v>
      </c>
      <c r="G112" s="18" t="s">
        <v>190</v>
      </c>
      <c r="H112" s="18" t="s">
        <v>190</v>
      </c>
      <c r="I112" s="18" t="s">
        <v>190</v>
      </c>
      <c r="J112" s="18" t="s">
        <v>190</v>
      </c>
      <c r="K112" s="18" t="s">
        <v>190</v>
      </c>
      <c r="L112" s="18" t="s">
        <v>190</v>
      </c>
      <c r="M112" s="31">
        <v>7890</v>
      </c>
      <c r="N112" s="31">
        <v>7921</v>
      </c>
      <c r="O112" s="31">
        <v>7924</v>
      </c>
      <c r="P112" s="31">
        <v>7934</v>
      </c>
      <c r="Q112" s="31">
        <v>7943</v>
      </c>
      <c r="R112" s="31">
        <v>7975</v>
      </c>
      <c r="S112" s="31">
        <v>8063</v>
      </c>
      <c r="T112" s="31">
        <v>8123</v>
      </c>
      <c r="U112" s="31">
        <v>8124</v>
      </c>
      <c r="V112" s="21">
        <v>8175</v>
      </c>
      <c r="W112" s="21">
        <v>8166</v>
      </c>
      <c r="X112" s="21">
        <v>8062</v>
      </c>
      <c r="Y112" s="21">
        <v>7926</v>
      </c>
      <c r="Z112" s="21">
        <v>7756</v>
      </c>
      <c r="AA112" s="21">
        <v>7595</v>
      </c>
      <c r="AB112" s="21">
        <v>7550</v>
      </c>
      <c r="AC112" s="21">
        <v>7528</v>
      </c>
      <c r="AD112" s="21">
        <v>7488</v>
      </c>
      <c r="AE112" s="21">
        <v>7492</v>
      </c>
      <c r="AF112" s="18">
        <v>7364</v>
      </c>
      <c r="AG112" s="18">
        <v>7486</v>
      </c>
      <c r="AH112" s="61">
        <v>7388</v>
      </c>
      <c r="AI112" s="61" t="s">
        <v>190</v>
      </c>
      <c r="AJ112" s="61" t="s">
        <v>190</v>
      </c>
      <c r="AM112"/>
    </row>
    <row r="113" spans="1:39" ht="27" customHeight="1" x14ac:dyDescent="0.25">
      <c r="A113" s="17" t="s">
        <v>183</v>
      </c>
      <c r="B113" s="9" t="s">
        <v>112</v>
      </c>
      <c r="C113" s="18" t="s">
        <v>190</v>
      </c>
      <c r="D113" s="18" t="s">
        <v>190</v>
      </c>
      <c r="E113" s="18" t="s">
        <v>190</v>
      </c>
      <c r="F113" s="18" t="s">
        <v>190</v>
      </c>
      <c r="G113" s="18" t="s">
        <v>190</v>
      </c>
      <c r="H113" s="18" t="s">
        <v>190</v>
      </c>
      <c r="I113" s="18" t="s">
        <v>190</v>
      </c>
      <c r="J113" s="18" t="s">
        <v>190</v>
      </c>
      <c r="K113" s="18" t="s">
        <v>190</v>
      </c>
      <c r="L113" s="18" t="s">
        <v>190</v>
      </c>
      <c r="M113" s="18">
        <v>42629</v>
      </c>
      <c r="N113" s="18">
        <v>42377</v>
      </c>
      <c r="O113" s="18">
        <v>42690</v>
      </c>
      <c r="P113" s="18">
        <v>43045</v>
      </c>
      <c r="Q113" s="18">
        <v>43118</v>
      </c>
      <c r="R113" s="18">
        <v>43050</v>
      </c>
      <c r="S113" s="18">
        <v>42938</v>
      </c>
      <c r="T113" s="18">
        <v>42645</v>
      </c>
      <c r="U113" s="18">
        <v>42183</v>
      </c>
      <c r="V113" s="21">
        <v>41790</v>
      </c>
      <c r="W113" s="21">
        <v>41387</v>
      </c>
      <c r="X113" s="21">
        <v>40867</v>
      </c>
      <c r="Y113" s="21">
        <v>40768</v>
      </c>
      <c r="Z113" s="21">
        <v>40383</v>
      </c>
      <c r="AA113" s="21">
        <v>39962</v>
      </c>
      <c r="AB113" s="21">
        <v>39651</v>
      </c>
      <c r="AC113" s="21">
        <v>39470</v>
      </c>
      <c r="AD113" s="21">
        <v>39081</v>
      </c>
      <c r="AE113" s="21">
        <v>38658</v>
      </c>
      <c r="AF113" s="18">
        <v>38223</v>
      </c>
      <c r="AG113" s="18">
        <v>38631</v>
      </c>
      <c r="AH113" s="61">
        <v>38397</v>
      </c>
      <c r="AI113" s="61" t="s">
        <v>190</v>
      </c>
      <c r="AJ113" s="61" t="s">
        <v>190</v>
      </c>
      <c r="AM113"/>
    </row>
    <row r="114" spans="1:39" ht="15.75" x14ac:dyDescent="0.25">
      <c r="A114" s="16" t="s">
        <v>183</v>
      </c>
      <c r="B114" s="9" t="s">
        <v>113</v>
      </c>
      <c r="C114" s="18" t="s">
        <v>190</v>
      </c>
      <c r="D114" s="18" t="s">
        <v>190</v>
      </c>
      <c r="E114" s="18" t="s">
        <v>190</v>
      </c>
      <c r="F114" s="18" t="s">
        <v>190</v>
      </c>
      <c r="G114" s="18" t="s">
        <v>190</v>
      </c>
      <c r="H114" s="18" t="s">
        <v>190</v>
      </c>
      <c r="I114" s="18" t="s">
        <v>190</v>
      </c>
      <c r="J114" s="18" t="s">
        <v>190</v>
      </c>
      <c r="K114" s="18" t="s">
        <v>190</v>
      </c>
      <c r="L114" s="18" t="s">
        <v>190</v>
      </c>
      <c r="M114" s="18">
        <v>24025</v>
      </c>
      <c r="N114" s="18">
        <v>24034</v>
      </c>
      <c r="O114" s="18">
        <v>24104</v>
      </c>
      <c r="P114" s="18">
        <v>24315</v>
      </c>
      <c r="Q114" s="18">
        <v>24393</v>
      </c>
      <c r="R114" s="18">
        <v>24417</v>
      </c>
      <c r="S114" s="18">
        <v>24505</v>
      </c>
      <c r="T114" s="18">
        <v>24708</v>
      </c>
      <c r="U114" s="18">
        <v>24650</v>
      </c>
      <c r="V114" s="21">
        <v>24714</v>
      </c>
      <c r="W114" s="21">
        <v>24648</v>
      </c>
      <c r="X114" s="21">
        <v>24401</v>
      </c>
      <c r="Y114" s="21">
        <v>23998</v>
      </c>
      <c r="Z114" s="21">
        <v>23723</v>
      </c>
      <c r="AA114" s="21">
        <v>23436</v>
      </c>
      <c r="AB114" s="21">
        <v>23286</v>
      </c>
      <c r="AC114" s="21">
        <v>23041</v>
      </c>
      <c r="AD114" s="21">
        <v>22684</v>
      </c>
      <c r="AE114" s="21">
        <v>22628</v>
      </c>
      <c r="AF114" s="18">
        <v>22398</v>
      </c>
      <c r="AG114" s="18">
        <v>22603</v>
      </c>
      <c r="AH114" s="61">
        <v>22246</v>
      </c>
      <c r="AI114" s="61" t="s">
        <v>190</v>
      </c>
      <c r="AJ114" s="61" t="s">
        <v>190</v>
      </c>
      <c r="AM114"/>
    </row>
    <row r="115" spans="1:39" ht="15.75" x14ac:dyDescent="0.25">
      <c r="A115" s="16" t="s">
        <v>183</v>
      </c>
      <c r="B115" s="9" t="s">
        <v>114</v>
      </c>
      <c r="C115" s="18" t="s">
        <v>190</v>
      </c>
      <c r="D115" s="18" t="s">
        <v>190</v>
      </c>
      <c r="E115" s="18" t="s">
        <v>190</v>
      </c>
      <c r="F115" s="18" t="s">
        <v>190</v>
      </c>
      <c r="G115" s="18" t="s">
        <v>190</v>
      </c>
      <c r="H115" s="18" t="s">
        <v>190</v>
      </c>
      <c r="I115" s="18" t="s">
        <v>190</v>
      </c>
      <c r="J115" s="18" t="s">
        <v>190</v>
      </c>
      <c r="K115" s="18" t="s">
        <v>190</v>
      </c>
      <c r="L115" s="18" t="s">
        <v>190</v>
      </c>
      <c r="M115" s="18">
        <v>85905</v>
      </c>
      <c r="N115" s="18">
        <v>86655</v>
      </c>
      <c r="O115" s="18">
        <v>87706</v>
      </c>
      <c r="P115" s="18">
        <v>89126</v>
      </c>
      <c r="Q115" s="18">
        <v>91004</v>
      </c>
      <c r="R115" s="18">
        <v>92709</v>
      </c>
      <c r="S115" s="18">
        <v>94645</v>
      </c>
      <c r="T115" s="18">
        <v>95986</v>
      </c>
      <c r="U115" s="18">
        <v>96482</v>
      </c>
      <c r="V115" s="21">
        <v>97591</v>
      </c>
      <c r="W115" s="21">
        <v>98712</v>
      </c>
      <c r="X115" s="21">
        <v>98365</v>
      </c>
      <c r="Y115" s="21">
        <v>97966</v>
      </c>
      <c r="Z115" s="21">
        <v>97687</v>
      </c>
      <c r="AA115" s="21">
        <v>98069</v>
      </c>
      <c r="AB115" s="21">
        <v>97966</v>
      </c>
      <c r="AC115" s="21">
        <v>97975</v>
      </c>
      <c r="AD115" s="21">
        <v>97373</v>
      </c>
      <c r="AE115" s="21">
        <v>96579</v>
      </c>
      <c r="AF115" s="18">
        <v>95955</v>
      </c>
      <c r="AG115" s="18">
        <v>96277</v>
      </c>
      <c r="AH115" s="61">
        <v>96200</v>
      </c>
      <c r="AI115" s="61" t="s">
        <v>190</v>
      </c>
      <c r="AJ115" s="61" t="s">
        <v>190</v>
      </c>
      <c r="AM115"/>
    </row>
    <row r="116" spans="1:39" ht="15.75" x14ac:dyDescent="0.25">
      <c r="A116" s="16" t="s">
        <v>183</v>
      </c>
      <c r="B116" s="9" t="s">
        <v>115</v>
      </c>
      <c r="C116" s="18" t="s">
        <v>190</v>
      </c>
      <c r="D116" s="18" t="s">
        <v>190</v>
      </c>
      <c r="E116" s="18" t="s">
        <v>190</v>
      </c>
      <c r="F116" s="18" t="s">
        <v>190</v>
      </c>
      <c r="G116" s="18" t="s">
        <v>190</v>
      </c>
      <c r="H116" s="18" t="s">
        <v>190</v>
      </c>
      <c r="I116" s="18" t="s">
        <v>190</v>
      </c>
      <c r="J116" s="18" t="s">
        <v>190</v>
      </c>
      <c r="K116" s="18" t="s">
        <v>190</v>
      </c>
      <c r="L116" s="18" t="s">
        <v>190</v>
      </c>
      <c r="M116" s="18">
        <v>23311</v>
      </c>
      <c r="N116" s="18">
        <v>23359</v>
      </c>
      <c r="O116" s="18">
        <v>23687</v>
      </c>
      <c r="P116" s="18">
        <v>24161</v>
      </c>
      <c r="Q116" s="18">
        <v>24529</v>
      </c>
      <c r="R116" s="18">
        <v>24744</v>
      </c>
      <c r="S116" s="18">
        <v>24892</v>
      </c>
      <c r="T116" s="18">
        <v>24851</v>
      </c>
      <c r="U116" s="18">
        <v>24792</v>
      </c>
      <c r="V116" s="21">
        <v>24767</v>
      </c>
      <c r="W116" s="21">
        <v>24612</v>
      </c>
      <c r="X116" s="21">
        <v>24500</v>
      </c>
      <c r="Y116" s="21">
        <v>24453</v>
      </c>
      <c r="Z116" s="21">
        <v>24176</v>
      </c>
      <c r="AA116" s="21">
        <v>24177</v>
      </c>
      <c r="AB116" s="21">
        <v>24068</v>
      </c>
      <c r="AC116" s="21">
        <v>24022</v>
      </c>
      <c r="AD116" s="21">
        <v>23961</v>
      </c>
      <c r="AE116" s="21">
        <v>23841</v>
      </c>
      <c r="AF116" s="18">
        <v>23596</v>
      </c>
      <c r="AG116" s="18">
        <v>24148</v>
      </c>
      <c r="AH116" s="61">
        <v>23863</v>
      </c>
      <c r="AI116" s="61" t="s">
        <v>190</v>
      </c>
      <c r="AJ116" s="61" t="s">
        <v>190</v>
      </c>
      <c r="AM116"/>
    </row>
    <row r="117" spans="1:39" ht="15.75" x14ac:dyDescent="0.25">
      <c r="A117" s="16" t="s">
        <v>183</v>
      </c>
      <c r="B117" s="9" t="s">
        <v>13</v>
      </c>
      <c r="C117" s="18" t="s">
        <v>190</v>
      </c>
      <c r="D117" s="18" t="s">
        <v>190</v>
      </c>
      <c r="E117" s="18" t="s">
        <v>190</v>
      </c>
      <c r="F117" s="18" t="s">
        <v>190</v>
      </c>
      <c r="G117" s="18" t="s">
        <v>190</v>
      </c>
      <c r="H117" s="18" t="s">
        <v>190</v>
      </c>
      <c r="I117" s="18" t="s">
        <v>190</v>
      </c>
      <c r="J117" s="18" t="s">
        <v>190</v>
      </c>
      <c r="K117" s="18" t="s">
        <v>190</v>
      </c>
      <c r="L117" s="18" t="s">
        <v>190</v>
      </c>
      <c r="M117" s="18">
        <v>55299</v>
      </c>
      <c r="N117" s="18">
        <v>56048</v>
      </c>
      <c r="O117" s="18">
        <v>56915</v>
      </c>
      <c r="P117" s="18">
        <v>57294</v>
      </c>
      <c r="Q117" s="18">
        <v>57916</v>
      </c>
      <c r="R117" s="18">
        <v>58614</v>
      </c>
      <c r="S117" s="18">
        <v>58892</v>
      </c>
      <c r="T117" s="18">
        <v>59845</v>
      </c>
      <c r="U117" s="18">
        <v>59642</v>
      </c>
      <c r="V117" s="21">
        <v>59747</v>
      </c>
      <c r="W117" s="21">
        <v>59181</v>
      </c>
      <c r="X117" s="21">
        <v>58241</v>
      </c>
      <c r="Y117" s="21">
        <v>59122</v>
      </c>
      <c r="Z117" s="21">
        <v>59037</v>
      </c>
      <c r="AA117" s="21">
        <v>59457</v>
      </c>
      <c r="AB117" s="21">
        <v>59484</v>
      </c>
      <c r="AC117" s="21">
        <v>58979</v>
      </c>
      <c r="AD117" s="21">
        <v>58265</v>
      </c>
      <c r="AE117" s="21">
        <v>58024</v>
      </c>
      <c r="AF117" s="18">
        <v>57402</v>
      </c>
      <c r="AG117" s="18">
        <v>57402</v>
      </c>
      <c r="AH117" s="61">
        <v>57119</v>
      </c>
      <c r="AI117" s="61" t="s">
        <v>190</v>
      </c>
      <c r="AJ117" s="61" t="s">
        <v>190</v>
      </c>
      <c r="AM117"/>
    </row>
    <row r="118" spans="1:39" ht="15.75" x14ac:dyDescent="0.25">
      <c r="A118" s="16" t="s">
        <v>183</v>
      </c>
      <c r="B118" s="9" t="s">
        <v>116</v>
      </c>
      <c r="C118" s="18" t="s">
        <v>190</v>
      </c>
      <c r="D118" s="18" t="s">
        <v>190</v>
      </c>
      <c r="E118" s="18" t="s">
        <v>190</v>
      </c>
      <c r="F118" s="18" t="s">
        <v>190</v>
      </c>
      <c r="G118" s="18" t="s">
        <v>190</v>
      </c>
      <c r="H118" s="18" t="s">
        <v>190</v>
      </c>
      <c r="I118" s="18" t="s">
        <v>190</v>
      </c>
      <c r="J118" s="18" t="s">
        <v>190</v>
      </c>
      <c r="K118" s="18" t="s">
        <v>190</v>
      </c>
      <c r="L118" s="18" t="s">
        <v>190</v>
      </c>
      <c r="M118" s="18">
        <v>12182</v>
      </c>
      <c r="N118" s="18">
        <v>12242</v>
      </c>
      <c r="O118" s="18">
        <v>12404</v>
      </c>
      <c r="P118" s="18">
        <v>12628</v>
      </c>
      <c r="Q118" s="18">
        <v>12720</v>
      </c>
      <c r="R118" s="18">
        <v>12986</v>
      </c>
      <c r="S118" s="18">
        <v>13120</v>
      </c>
      <c r="T118" s="18">
        <v>13179</v>
      </c>
      <c r="U118" s="18">
        <v>13259</v>
      </c>
      <c r="V118" s="21">
        <v>13423</v>
      </c>
      <c r="W118" s="21">
        <v>13554</v>
      </c>
      <c r="X118" s="21">
        <v>13503</v>
      </c>
      <c r="Y118" s="21">
        <v>13459</v>
      </c>
      <c r="Z118" s="21">
        <v>13337</v>
      </c>
      <c r="AA118" s="21">
        <v>13294</v>
      </c>
      <c r="AB118" s="21">
        <v>13272</v>
      </c>
      <c r="AC118" s="21">
        <v>13244</v>
      </c>
      <c r="AD118" s="21">
        <v>13210</v>
      </c>
      <c r="AE118" s="21">
        <v>13120</v>
      </c>
      <c r="AF118" s="18">
        <v>13110</v>
      </c>
      <c r="AG118" s="18">
        <v>13090</v>
      </c>
      <c r="AH118" s="61">
        <v>13022</v>
      </c>
      <c r="AI118" s="61" t="s">
        <v>190</v>
      </c>
      <c r="AJ118" s="61" t="s">
        <v>190</v>
      </c>
      <c r="AM118"/>
    </row>
    <row r="119" spans="1:39" ht="15.75" x14ac:dyDescent="0.25">
      <c r="A119" s="16" t="s">
        <v>183</v>
      </c>
      <c r="B119" s="9" t="s">
        <v>117</v>
      </c>
      <c r="C119" s="18" t="s">
        <v>190</v>
      </c>
      <c r="D119" s="18" t="s">
        <v>190</v>
      </c>
      <c r="E119" s="18" t="s">
        <v>190</v>
      </c>
      <c r="F119" s="18" t="s">
        <v>190</v>
      </c>
      <c r="G119" s="18" t="s">
        <v>190</v>
      </c>
      <c r="H119" s="18" t="s">
        <v>190</v>
      </c>
      <c r="I119" s="18" t="s">
        <v>190</v>
      </c>
      <c r="J119" s="18" t="s">
        <v>190</v>
      </c>
      <c r="K119" s="18" t="s">
        <v>190</v>
      </c>
      <c r="L119" s="18" t="s">
        <v>190</v>
      </c>
      <c r="M119" s="18">
        <v>16240</v>
      </c>
      <c r="N119" s="18">
        <v>16194</v>
      </c>
      <c r="O119" s="18">
        <v>16235</v>
      </c>
      <c r="P119" s="18">
        <v>16452</v>
      </c>
      <c r="Q119" s="18">
        <v>16671</v>
      </c>
      <c r="R119" s="18">
        <v>16791</v>
      </c>
      <c r="S119" s="18">
        <v>16897</v>
      </c>
      <c r="T119" s="18">
        <v>16889</v>
      </c>
      <c r="U119" s="18">
        <v>16877</v>
      </c>
      <c r="V119" s="21">
        <v>17042</v>
      </c>
      <c r="W119" s="21">
        <v>17014</v>
      </c>
      <c r="X119" s="21">
        <v>16832</v>
      </c>
      <c r="Y119" s="21">
        <v>16690</v>
      </c>
      <c r="Z119" s="21">
        <v>16386</v>
      </c>
      <c r="AA119" s="21">
        <v>16131</v>
      </c>
      <c r="AB119" s="21">
        <v>15890</v>
      </c>
      <c r="AC119" s="21">
        <v>15742</v>
      </c>
      <c r="AD119" s="21">
        <v>15529</v>
      </c>
      <c r="AE119" s="21">
        <v>15376</v>
      </c>
      <c r="AF119" s="18">
        <v>15171</v>
      </c>
      <c r="AG119" s="18">
        <v>15239</v>
      </c>
      <c r="AH119" s="61">
        <v>15176</v>
      </c>
      <c r="AI119" s="61" t="s">
        <v>190</v>
      </c>
      <c r="AJ119" s="61" t="s">
        <v>190</v>
      </c>
      <c r="AM119"/>
    </row>
    <row r="120" spans="1:39" ht="15.75" x14ac:dyDescent="0.25">
      <c r="A120" s="16" t="s">
        <v>183</v>
      </c>
      <c r="B120" s="9" t="s">
        <v>118</v>
      </c>
      <c r="C120" s="18" t="s">
        <v>190</v>
      </c>
      <c r="D120" s="18" t="s">
        <v>190</v>
      </c>
      <c r="E120" s="18" t="s">
        <v>190</v>
      </c>
      <c r="F120" s="18" t="s">
        <v>190</v>
      </c>
      <c r="G120" s="18" t="s">
        <v>190</v>
      </c>
      <c r="H120" s="18" t="s">
        <v>190</v>
      </c>
      <c r="I120" s="18" t="s">
        <v>190</v>
      </c>
      <c r="J120" s="18" t="s">
        <v>190</v>
      </c>
      <c r="K120" s="18" t="s">
        <v>190</v>
      </c>
      <c r="L120" s="18" t="s">
        <v>190</v>
      </c>
      <c r="M120" s="18">
        <v>14090</v>
      </c>
      <c r="N120" s="18">
        <v>14121</v>
      </c>
      <c r="O120" s="18">
        <v>14131</v>
      </c>
      <c r="P120" s="18">
        <v>14245</v>
      </c>
      <c r="Q120" s="18">
        <v>14317</v>
      </c>
      <c r="R120" s="18">
        <v>14324</v>
      </c>
      <c r="S120" s="18">
        <v>14404</v>
      </c>
      <c r="T120" s="18">
        <v>14469</v>
      </c>
      <c r="U120" s="18">
        <v>14668</v>
      </c>
      <c r="V120" s="21">
        <v>14836</v>
      </c>
      <c r="W120" s="21">
        <v>14969</v>
      </c>
      <c r="X120" s="21">
        <v>14803</v>
      </c>
      <c r="Y120" s="21">
        <v>14693</v>
      </c>
      <c r="Z120" s="21">
        <v>14729</v>
      </c>
      <c r="AA120" s="21">
        <v>14714</v>
      </c>
      <c r="AB120" s="21">
        <v>14527</v>
      </c>
      <c r="AC120" s="21">
        <v>14302</v>
      </c>
      <c r="AD120" s="21">
        <v>14138</v>
      </c>
      <c r="AE120" s="21">
        <v>13889</v>
      </c>
      <c r="AF120" s="18">
        <v>13774</v>
      </c>
      <c r="AG120" s="18">
        <v>13760</v>
      </c>
      <c r="AH120" s="61">
        <v>13827</v>
      </c>
      <c r="AI120" s="61" t="s">
        <v>190</v>
      </c>
      <c r="AJ120" s="61" t="s">
        <v>190</v>
      </c>
      <c r="AM120"/>
    </row>
    <row r="121" spans="1:39" ht="15.75" x14ac:dyDescent="0.25">
      <c r="A121" s="16" t="s">
        <v>183</v>
      </c>
      <c r="B121" s="9" t="s">
        <v>184</v>
      </c>
      <c r="C121" s="18" t="s">
        <v>190</v>
      </c>
      <c r="D121" s="18" t="s">
        <v>190</v>
      </c>
      <c r="E121" s="18" t="s">
        <v>190</v>
      </c>
      <c r="F121" s="18" t="s">
        <v>190</v>
      </c>
      <c r="G121" s="18" t="s">
        <v>190</v>
      </c>
      <c r="H121" s="18" t="s">
        <v>190</v>
      </c>
      <c r="I121" s="18" t="s">
        <v>190</v>
      </c>
      <c r="J121" s="18" t="s">
        <v>190</v>
      </c>
      <c r="K121" s="18" t="s">
        <v>190</v>
      </c>
      <c r="L121" s="18" t="s">
        <v>190</v>
      </c>
      <c r="M121" s="18">
        <f t="shared" ref="M121:V121" si="4">SUM(M113:M120)</f>
        <v>273681</v>
      </c>
      <c r="N121" s="18">
        <f t="shared" si="4"/>
        <v>275030</v>
      </c>
      <c r="O121" s="18">
        <f t="shared" si="4"/>
        <v>277872</v>
      </c>
      <c r="P121" s="18">
        <f t="shared" si="4"/>
        <v>281266</v>
      </c>
      <c r="Q121" s="18">
        <f t="shared" si="4"/>
        <v>284668</v>
      </c>
      <c r="R121" s="18">
        <f t="shared" si="4"/>
        <v>287635</v>
      </c>
      <c r="S121" s="18">
        <f t="shared" si="4"/>
        <v>290293</v>
      </c>
      <c r="T121" s="18">
        <f t="shared" si="4"/>
        <v>292572</v>
      </c>
      <c r="U121" s="18">
        <f t="shared" si="4"/>
        <v>292553</v>
      </c>
      <c r="V121" s="18">
        <f t="shared" si="4"/>
        <v>293910</v>
      </c>
      <c r="W121" s="18">
        <v>294077</v>
      </c>
      <c r="X121" s="18">
        <v>291512</v>
      </c>
      <c r="Y121" s="18">
        <v>291149</v>
      </c>
      <c r="Z121" s="18">
        <v>289458</v>
      </c>
      <c r="AA121" s="18">
        <v>289240</v>
      </c>
      <c r="AB121" s="18">
        <v>288144</v>
      </c>
      <c r="AC121" s="18">
        <v>286775</v>
      </c>
      <c r="AD121" s="18">
        <v>284241</v>
      </c>
      <c r="AE121" s="18">
        <v>282115</v>
      </c>
      <c r="AF121" s="18">
        <v>279629</v>
      </c>
      <c r="AG121" s="18">
        <v>281150</v>
      </c>
      <c r="AH121" s="61">
        <v>279850</v>
      </c>
      <c r="AI121" s="61" t="s">
        <v>190</v>
      </c>
      <c r="AJ121" s="61" t="s">
        <v>190</v>
      </c>
      <c r="AM121"/>
    </row>
    <row r="122" spans="1:39" ht="28.5" customHeight="1" x14ac:dyDescent="0.25">
      <c r="A122" s="17" t="s">
        <v>185</v>
      </c>
      <c r="B122" s="17" t="s">
        <v>111</v>
      </c>
      <c r="C122" s="18" t="s">
        <v>190</v>
      </c>
      <c r="D122" s="18" t="s">
        <v>190</v>
      </c>
      <c r="E122" s="18" t="s">
        <v>190</v>
      </c>
      <c r="F122" s="18" t="s">
        <v>190</v>
      </c>
      <c r="G122" s="18" t="s">
        <v>190</v>
      </c>
      <c r="H122" s="18" t="s">
        <v>190</v>
      </c>
      <c r="I122" s="18" t="s">
        <v>190</v>
      </c>
      <c r="J122" s="18" t="s">
        <v>190</v>
      </c>
      <c r="K122" s="18" t="s">
        <v>190</v>
      </c>
      <c r="L122" s="18" t="s">
        <v>190</v>
      </c>
      <c r="M122" s="18">
        <v>12734</v>
      </c>
      <c r="N122" s="18">
        <v>12354</v>
      </c>
      <c r="O122" s="18">
        <v>11879</v>
      </c>
      <c r="P122" s="18">
        <v>11643</v>
      </c>
      <c r="Q122" s="18">
        <v>11558</v>
      </c>
      <c r="R122" s="18">
        <v>11714</v>
      </c>
      <c r="S122" s="18">
        <v>12056</v>
      </c>
      <c r="T122" s="18">
        <v>12440</v>
      </c>
      <c r="U122" s="18">
        <v>13096</v>
      </c>
      <c r="V122" s="21">
        <v>13533</v>
      </c>
      <c r="W122" s="21">
        <v>13700</v>
      </c>
      <c r="X122" s="21">
        <v>13752</v>
      </c>
      <c r="Y122" s="21">
        <v>13906</v>
      </c>
      <c r="Z122" s="21">
        <v>13976</v>
      </c>
      <c r="AA122" s="21">
        <v>14788</v>
      </c>
      <c r="AB122" s="21">
        <v>15348</v>
      </c>
      <c r="AC122" s="21">
        <v>15855</v>
      </c>
      <c r="AD122" s="21">
        <v>16288</v>
      </c>
      <c r="AE122" s="21">
        <v>16614</v>
      </c>
      <c r="AF122" s="18">
        <v>16715</v>
      </c>
      <c r="AG122" s="18">
        <v>17023</v>
      </c>
      <c r="AH122" s="61">
        <v>17508</v>
      </c>
      <c r="AI122" s="61" t="s">
        <v>190</v>
      </c>
      <c r="AJ122" s="61" t="s">
        <v>190</v>
      </c>
      <c r="AM122"/>
    </row>
    <row r="123" spans="1:39" ht="15.75" x14ac:dyDescent="0.25">
      <c r="A123" s="17" t="s">
        <v>185</v>
      </c>
      <c r="B123" s="9" t="s">
        <v>186</v>
      </c>
      <c r="C123" s="18" t="s">
        <v>190</v>
      </c>
      <c r="D123" s="18" t="s">
        <v>190</v>
      </c>
      <c r="E123" s="18" t="s">
        <v>190</v>
      </c>
      <c r="F123" s="18" t="s">
        <v>190</v>
      </c>
      <c r="G123" s="18" t="s">
        <v>190</v>
      </c>
      <c r="H123" s="18" t="s">
        <v>190</v>
      </c>
      <c r="I123" s="18" t="s">
        <v>190</v>
      </c>
      <c r="J123" s="18" t="s">
        <v>190</v>
      </c>
      <c r="K123" s="18" t="s">
        <v>190</v>
      </c>
      <c r="L123" s="18" t="s">
        <v>190</v>
      </c>
      <c r="M123" s="18">
        <v>158863</v>
      </c>
      <c r="N123" s="18">
        <v>159872</v>
      </c>
      <c r="O123" s="18">
        <v>159709</v>
      </c>
      <c r="P123" s="18">
        <v>159879</v>
      </c>
      <c r="Q123" s="18">
        <v>160738</v>
      </c>
      <c r="R123" s="18">
        <v>162446</v>
      </c>
      <c r="S123" s="18">
        <v>164735</v>
      </c>
      <c r="T123" s="18">
        <v>166790</v>
      </c>
      <c r="U123" s="18">
        <v>169723</v>
      </c>
      <c r="V123" s="18">
        <v>172399</v>
      </c>
      <c r="W123" s="18">
        <v>175787</v>
      </c>
      <c r="X123" s="18">
        <v>174924</v>
      </c>
      <c r="Y123" s="18">
        <v>176462</v>
      </c>
      <c r="Z123" s="18">
        <v>176597</v>
      </c>
      <c r="AA123" s="18">
        <v>178702</v>
      </c>
      <c r="AB123" s="18">
        <v>181264</v>
      </c>
      <c r="AC123" s="18">
        <v>183071</v>
      </c>
      <c r="AD123" s="18">
        <v>184776</v>
      </c>
      <c r="AE123" s="18">
        <v>186918</v>
      </c>
      <c r="AF123" s="18">
        <v>187742</v>
      </c>
      <c r="AG123" s="18">
        <v>188516</v>
      </c>
      <c r="AH123" s="61">
        <v>193327</v>
      </c>
      <c r="AI123" s="61" t="s">
        <v>190</v>
      </c>
      <c r="AJ123" s="61" t="s">
        <v>190</v>
      </c>
      <c r="AM123"/>
    </row>
    <row r="124" spans="1:39" ht="15.75" x14ac:dyDescent="0.25">
      <c r="A124" s="17" t="s">
        <v>185</v>
      </c>
      <c r="B124" s="9" t="s">
        <v>151</v>
      </c>
      <c r="C124" s="18" t="s">
        <v>190</v>
      </c>
      <c r="D124" s="18" t="s">
        <v>190</v>
      </c>
      <c r="E124" s="18" t="s">
        <v>190</v>
      </c>
      <c r="F124" s="18" t="s">
        <v>190</v>
      </c>
      <c r="G124" s="18" t="s">
        <v>190</v>
      </c>
      <c r="H124" s="18" t="s">
        <v>190</v>
      </c>
      <c r="I124" s="18" t="s">
        <v>190</v>
      </c>
      <c r="J124" s="18" t="s">
        <v>190</v>
      </c>
      <c r="K124" s="18" t="s">
        <v>190</v>
      </c>
      <c r="L124" s="18" t="s">
        <v>190</v>
      </c>
      <c r="M124" s="18">
        <v>372191</v>
      </c>
      <c r="N124" s="18">
        <v>374362</v>
      </c>
      <c r="O124" s="18">
        <v>374002</v>
      </c>
      <c r="P124" s="18">
        <v>375282</v>
      </c>
      <c r="Q124" s="18">
        <v>377285</v>
      </c>
      <c r="R124" s="18">
        <v>379069</v>
      </c>
      <c r="S124" s="18">
        <v>383432</v>
      </c>
      <c r="T124" s="18">
        <v>387649</v>
      </c>
      <c r="U124" s="18">
        <v>392228</v>
      </c>
      <c r="V124" s="18">
        <v>397901</v>
      </c>
      <c r="W124" s="18">
        <v>403303</v>
      </c>
      <c r="X124" s="18">
        <v>403267</v>
      </c>
      <c r="Y124" s="18">
        <v>402819</v>
      </c>
      <c r="Z124" s="18">
        <v>402661</v>
      </c>
      <c r="AA124" s="18">
        <v>405740</v>
      </c>
      <c r="AB124" s="18">
        <v>410096</v>
      </c>
      <c r="AC124" s="18">
        <v>412959</v>
      </c>
      <c r="AD124" s="18">
        <v>415694</v>
      </c>
      <c r="AE124" s="18">
        <v>418799</v>
      </c>
      <c r="AF124" s="18">
        <v>419484</v>
      </c>
      <c r="AG124" s="18">
        <v>417951</v>
      </c>
      <c r="AH124" s="61">
        <v>425942</v>
      </c>
      <c r="AI124" s="61" t="s">
        <v>190</v>
      </c>
      <c r="AJ124" s="61" t="s">
        <v>190</v>
      </c>
      <c r="AM124"/>
    </row>
    <row r="125" spans="1:39" ht="36" customHeight="1" x14ac:dyDescent="0.25">
      <c r="A125" s="91" t="s">
        <v>270</v>
      </c>
      <c r="B125" s="92" t="s">
        <v>271</v>
      </c>
      <c r="C125" s="18" t="s">
        <v>190</v>
      </c>
      <c r="D125" s="18" t="s">
        <v>190</v>
      </c>
      <c r="E125" s="18" t="s">
        <v>190</v>
      </c>
      <c r="F125" s="18" t="s">
        <v>190</v>
      </c>
      <c r="G125" s="18" t="s">
        <v>190</v>
      </c>
      <c r="H125" s="18" t="s">
        <v>190</v>
      </c>
      <c r="I125" s="18" t="s">
        <v>190</v>
      </c>
      <c r="J125" s="18" t="s">
        <v>190</v>
      </c>
      <c r="K125" s="18" t="s">
        <v>190</v>
      </c>
      <c r="L125" s="18" t="s">
        <v>190</v>
      </c>
      <c r="M125" s="101">
        <v>5221</v>
      </c>
      <c r="N125" s="101">
        <v>5250</v>
      </c>
      <c r="O125" s="101">
        <v>5283</v>
      </c>
      <c r="P125" s="101">
        <v>5306</v>
      </c>
      <c r="Q125" s="101">
        <v>5374</v>
      </c>
      <c r="R125" s="101">
        <v>5295</v>
      </c>
      <c r="S125" s="101">
        <v>5250</v>
      </c>
      <c r="T125" s="101">
        <v>5207</v>
      </c>
      <c r="U125" s="101">
        <v>5151</v>
      </c>
      <c r="V125" s="103">
        <v>5037</v>
      </c>
      <c r="W125" s="103">
        <v>5019</v>
      </c>
      <c r="X125" s="103">
        <v>4948</v>
      </c>
      <c r="Y125" s="103">
        <v>4911</v>
      </c>
      <c r="Z125" s="103">
        <v>4913</v>
      </c>
      <c r="AA125" s="103">
        <v>4857</v>
      </c>
      <c r="AB125" s="103">
        <v>4816</v>
      </c>
      <c r="AC125" s="103">
        <v>4815</v>
      </c>
      <c r="AD125" s="103">
        <v>4822</v>
      </c>
      <c r="AE125" s="103">
        <v>4801</v>
      </c>
      <c r="AF125" s="103">
        <v>4726</v>
      </c>
      <c r="AG125" s="61">
        <v>4884</v>
      </c>
      <c r="AH125" s="61">
        <v>4842</v>
      </c>
      <c r="AI125" s="61" t="s">
        <v>190</v>
      </c>
      <c r="AJ125" s="61" t="s">
        <v>190</v>
      </c>
      <c r="AM125"/>
    </row>
    <row r="126" spans="1:39" ht="15.75" x14ac:dyDescent="0.25">
      <c r="A126" s="91" t="s">
        <v>270</v>
      </c>
      <c r="B126" s="92" t="s">
        <v>272</v>
      </c>
      <c r="C126" s="18" t="s">
        <v>190</v>
      </c>
      <c r="D126" s="18" t="s">
        <v>190</v>
      </c>
      <c r="E126" s="18" t="s">
        <v>190</v>
      </c>
      <c r="F126" s="18" t="s">
        <v>190</v>
      </c>
      <c r="G126" s="18" t="s">
        <v>190</v>
      </c>
      <c r="H126" s="18" t="s">
        <v>190</v>
      </c>
      <c r="I126" s="18" t="s">
        <v>190</v>
      </c>
      <c r="J126" s="18" t="s">
        <v>190</v>
      </c>
      <c r="K126" s="18" t="s">
        <v>190</v>
      </c>
      <c r="L126" s="18" t="s">
        <v>190</v>
      </c>
      <c r="M126" s="101">
        <v>7984</v>
      </c>
      <c r="N126" s="101">
        <v>7967</v>
      </c>
      <c r="O126" s="101">
        <v>8065</v>
      </c>
      <c r="P126" s="101">
        <v>8056</v>
      </c>
      <c r="Q126" s="101">
        <v>7985</v>
      </c>
      <c r="R126" s="101">
        <v>7946</v>
      </c>
      <c r="S126" s="101">
        <v>7855</v>
      </c>
      <c r="T126" s="101">
        <v>7773</v>
      </c>
      <c r="U126" s="101">
        <v>7503</v>
      </c>
      <c r="V126" s="103">
        <v>7266</v>
      </c>
      <c r="W126" s="103">
        <v>7215</v>
      </c>
      <c r="X126" s="103">
        <v>7022</v>
      </c>
      <c r="Y126" s="103">
        <v>6993</v>
      </c>
      <c r="Z126" s="103">
        <v>6841</v>
      </c>
      <c r="AA126" s="103">
        <v>6762</v>
      </c>
      <c r="AB126" s="103">
        <v>6700</v>
      </c>
      <c r="AC126" s="103">
        <v>6737</v>
      </c>
      <c r="AD126" s="103">
        <v>6641</v>
      </c>
      <c r="AE126" s="103">
        <v>6556</v>
      </c>
      <c r="AF126" s="103">
        <v>6408</v>
      </c>
      <c r="AG126" s="61">
        <v>6486</v>
      </c>
      <c r="AH126" s="61">
        <v>6346</v>
      </c>
      <c r="AI126" s="61" t="s">
        <v>190</v>
      </c>
      <c r="AJ126" s="61" t="s">
        <v>190</v>
      </c>
      <c r="AM126"/>
    </row>
    <row r="127" spans="1:39" ht="15.75" x14ac:dyDescent="0.25">
      <c r="A127" s="91" t="s">
        <v>270</v>
      </c>
      <c r="B127" s="92" t="s">
        <v>273</v>
      </c>
      <c r="C127" s="18" t="s">
        <v>190</v>
      </c>
      <c r="D127" s="18" t="s">
        <v>190</v>
      </c>
      <c r="E127" s="18" t="s">
        <v>190</v>
      </c>
      <c r="F127" s="18" t="s">
        <v>190</v>
      </c>
      <c r="G127" s="18" t="s">
        <v>190</v>
      </c>
      <c r="H127" s="18" t="s">
        <v>190</v>
      </c>
      <c r="I127" s="18" t="s">
        <v>190</v>
      </c>
      <c r="J127" s="18" t="s">
        <v>190</v>
      </c>
      <c r="K127" s="18" t="s">
        <v>190</v>
      </c>
      <c r="L127" s="18" t="s">
        <v>190</v>
      </c>
      <c r="M127" s="101">
        <v>5935</v>
      </c>
      <c r="N127" s="101">
        <v>6021</v>
      </c>
      <c r="O127" s="101">
        <v>6112</v>
      </c>
      <c r="P127" s="101">
        <v>6264</v>
      </c>
      <c r="Q127" s="101">
        <v>6365</v>
      </c>
      <c r="R127" s="101">
        <v>6453</v>
      </c>
      <c r="S127" s="101">
        <v>6580</v>
      </c>
      <c r="T127" s="101">
        <v>6582</v>
      </c>
      <c r="U127" s="101">
        <v>6619</v>
      </c>
      <c r="V127" s="103">
        <v>6552</v>
      </c>
      <c r="W127" s="103">
        <v>6513</v>
      </c>
      <c r="X127" s="103">
        <v>6486</v>
      </c>
      <c r="Y127" s="103">
        <v>6525</v>
      </c>
      <c r="Z127" s="103">
        <v>6484</v>
      </c>
      <c r="AA127" s="103">
        <v>6467</v>
      </c>
      <c r="AB127" s="103">
        <v>6443</v>
      </c>
      <c r="AC127" s="103">
        <v>6393</v>
      </c>
      <c r="AD127" s="103">
        <v>6369</v>
      </c>
      <c r="AE127" s="103">
        <v>6348</v>
      </c>
      <c r="AF127" s="103">
        <v>6271</v>
      </c>
      <c r="AG127" s="61">
        <v>6345</v>
      </c>
      <c r="AH127" s="61">
        <v>6221</v>
      </c>
      <c r="AI127" s="61" t="s">
        <v>190</v>
      </c>
      <c r="AJ127" s="61" t="s">
        <v>190</v>
      </c>
      <c r="AM127"/>
    </row>
    <row r="128" spans="1:39" ht="15.75" x14ac:dyDescent="0.25">
      <c r="A128" s="91" t="s">
        <v>270</v>
      </c>
      <c r="B128" s="92" t="s">
        <v>274</v>
      </c>
      <c r="C128" s="18" t="s">
        <v>190</v>
      </c>
      <c r="D128" s="18" t="s">
        <v>190</v>
      </c>
      <c r="E128" s="18" t="s">
        <v>190</v>
      </c>
      <c r="F128" s="18" t="s">
        <v>190</v>
      </c>
      <c r="G128" s="18" t="s">
        <v>190</v>
      </c>
      <c r="H128" s="18" t="s">
        <v>190</v>
      </c>
      <c r="I128" s="18" t="s">
        <v>190</v>
      </c>
      <c r="J128" s="18" t="s">
        <v>190</v>
      </c>
      <c r="K128" s="18" t="s">
        <v>190</v>
      </c>
      <c r="L128" s="18" t="s">
        <v>190</v>
      </c>
      <c r="M128" s="101">
        <v>12493</v>
      </c>
      <c r="N128" s="101">
        <v>12470</v>
      </c>
      <c r="O128" s="101">
        <v>12503</v>
      </c>
      <c r="P128" s="101">
        <v>12654</v>
      </c>
      <c r="Q128" s="101">
        <v>12858</v>
      </c>
      <c r="R128" s="101">
        <v>12965</v>
      </c>
      <c r="S128" s="101">
        <v>13019</v>
      </c>
      <c r="T128" s="101">
        <v>13019</v>
      </c>
      <c r="U128" s="101">
        <v>13055</v>
      </c>
      <c r="V128" s="103">
        <v>13236</v>
      </c>
      <c r="W128" s="103">
        <v>13198</v>
      </c>
      <c r="X128" s="103">
        <v>13088</v>
      </c>
      <c r="Y128" s="103">
        <v>12985</v>
      </c>
      <c r="Z128" s="103">
        <v>12775</v>
      </c>
      <c r="AA128" s="103">
        <v>12540</v>
      </c>
      <c r="AB128" s="103">
        <v>12409</v>
      </c>
      <c r="AC128" s="103">
        <v>12287</v>
      </c>
      <c r="AD128" s="103">
        <v>12148</v>
      </c>
      <c r="AE128" s="103">
        <v>11977</v>
      </c>
      <c r="AF128" s="103">
        <v>11772</v>
      </c>
      <c r="AG128" s="61">
        <v>11821</v>
      </c>
      <c r="AH128" s="61">
        <v>11752</v>
      </c>
      <c r="AI128" s="61" t="s">
        <v>190</v>
      </c>
      <c r="AJ128" s="61" t="s">
        <v>190</v>
      </c>
      <c r="AM128"/>
    </row>
    <row r="129" spans="1:39" ht="15.75" x14ac:dyDescent="0.25">
      <c r="A129" s="91" t="s">
        <v>270</v>
      </c>
      <c r="B129" s="92" t="s">
        <v>275</v>
      </c>
      <c r="C129" s="18" t="s">
        <v>190</v>
      </c>
      <c r="D129" s="18" t="s">
        <v>190</v>
      </c>
      <c r="E129" s="18" t="s">
        <v>190</v>
      </c>
      <c r="F129" s="18" t="s">
        <v>190</v>
      </c>
      <c r="G129" s="18" t="s">
        <v>190</v>
      </c>
      <c r="H129" s="18" t="s">
        <v>190</v>
      </c>
      <c r="I129" s="18" t="s">
        <v>190</v>
      </c>
      <c r="J129" s="18" t="s">
        <v>190</v>
      </c>
      <c r="K129" s="18" t="s">
        <v>190</v>
      </c>
      <c r="L129" s="18" t="s">
        <v>190</v>
      </c>
      <c r="M129" s="101">
        <v>10473</v>
      </c>
      <c r="N129" s="101">
        <v>10495</v>
      </c>
      <c r="O129" s="101">
        <v>10661</v>
      </c>
      <c r="P129" s="101">
        <v>10877</v>
      </c>
      <c r="Q129" s="101">
        <v>10981</v>
      </c>
      <c r="R129" s="101">
        <v>11214</v>
      </c>
      <c r="S129" s="101">
        <v>11321</v>
      </c>
      <c r="T129" s="101">
        <v>11419</v>
      </c>
      <c r="U129" s="101">
        <v>11506</v>
      </c>
      <c r="V129" s="103">
        <v>11721</v>
      </c>
      <c r="W129" s="103">
        <v>11862</v>
      </c>
      <c r="X129" s="103">
        <v>11835</v>
      </c>
      <c r="Y129" s="103">
        <v>11831</v>
      </c>
      <c r="Z129" s="103">
        <v>11782</v>
      </c>
      <c r="AA129" s="103">
        <v>11798</v>
      </c>
      <c r="AB129" s="103">
        <v>11772</v>
      </c>
      <c r="AC129" s="103">
        <v>11727</v>
      </c>
      <c r="AD129" s="103">
        <v>11681</v>
      </c>
      <c r="AE129" s="103">
        <v>11624</v>
      </c>
      <c r="AF129" s="103">
        <v>11653</v>
      </c>
      <c r="AG129" s="61">
        <v>11618</v>
      </c>
      <c r="AH129" s="61">
        <v>11545</v>
      </c>
      <c r="AI129" s="61" t="s">
        <v>190</v>
      </c>
      <c r="AJ129" s="61" t="s">
        <v>190</v>
      </c>
      <c r="AM129"/>
    </row>
    <row r="130" spans="1:39" ht="15.75" x14ac:dyDescent="0.25">
      <c r="A130" s="91" t="s">
        <v>270</v>
      </c>
      <c r="B130" s="92" t="s">
        <v>276</v>
      </c>
      <c r="C130" s="18" t="s">
        <v>190</v>
      </c>
      <c r="D130" s="18" t="s">
        <v>190</v>
      </c>
      <c r="E130" s="18" t="s">
        <v>190</v>
      </c>
      <c r="F130" s="18" t="s">
        <v>190</v>
      </c>
      <c r="G130" s="18" t="s">
        <v>190</v>
      </c>
      <c r="H130" s="18" t="s">
        <v>190</v>
      </c>
      <c r="I130" s="18" t="s">
        <v>190</v>
      </c>
      <c r="J130" s="18" t="s">
        <v>190</v>
      </c>
      <c r="K130" s="18" t="s">
        <v>190</v>
      </c>
      <c r="L130" s="18" t="s">
        <v>190</v>
      </c>
      <c r="M130" s="101">
        <v>1709</v>
      </c>
      <c r="N130" s="101">
        <v>1747</v>
      </c>
      <c r="O130" s="101">
        <v>1743</v>
      </c>
      <c r="P130" s="101">
        <v>1751</v>
      </c>
      <c r="Q130" s="101">
        <v>1739</v>
      </c>
      <c r="R130" s="101">
        <v>1772</v>
      </c>
      <c r="S130" s="101">
        <v>1799</v>
      </c>
      <c r="T130" s="101">
        <v>1760</v>
      </c>
      <c r="U130" s="101">
        <v>1753</v>
      </c>
      <c r="V130" s="103">
        <v>1702</v>
      </c>
      <c r="W130" s="103">
        <v>1692</v>
      </c>
      <c r="X130" s="103">
        <v>1668</v>
      </c>
      <c r="Y130" s="103">
        <v>1628</v>
      </c>
      <c r="Z130" s="103">
        <v>1555</v>
      </c>
      <c r="AA130" s="103">
        <v>1496</v>
      </c>
      <c r="AB130" s="103">
        <v>1500</v>
      </c>
      <c r="AC130" s="103">
        <v>1517</v>
      </c>
      <c r="AD130" s="103">
        <v>1529</v>
      </c>
      <c r="AE130" s="103">
        <v>1496</v>
      </c>
      <c r="AF130" s="103">
        <v>1457</v>
      </c>
      <c r="AG130" s="61">
        <v>1472</v>
      </c>
      <c r="AH130" s="61">
        <v>1477</v>
      </c>
      <c r="AI130" s="61" t="s">
        <v>190</v>
      </c>
      <c r="AJ130" s="61" t="s">
        <v>190</v>
      </c>
      <c r="AM130"/>
    </row>
    <row r="131" spans="1:39" ht="15.75" x14ac:dyDescent="0.25">
      <c r="A131" s="91" t="s">
        <v>270</v>
      </c>
      <c r="B131" s="92" t="s">
        <v>277</v>
      </c>
      <c r="C131" s="18" t="s">
        <v>190</v>
      </c>
      <c r="D131" s="18" t="s">
        <v>190</v>
      </c>
      <c r="E131" s="18" t="s">
        <v>190</v>
      </c>
      <c r="F131" s="18" t="s">
        <v>190</v>
      </c>
      <c r="G131" s="18" t="s">
        <v>190</v>
      </c>
      <c r="H131" s="18" t="s">
        <v>190</v>
      </c>
      <c r="I131" s="18" t="s">
        <v>190</v>
      </c>
      <c r="J131" s="18" t="s">
        <v>190</v>
      </c>
      <c r="K131" s="18" t="s">
        <v>190</v>
      </c>
      <c r="L131" s="18" t="s">
        <v>190</v>
      </c>
      <c r="M131" s="101">
        <v>12300</v>
      </c>
      <c r="N131" s="101">
        <v>12332</v>
      </c>
      <c r="O131" s="101">
        <v>12355</v>
      </c>
      <c r="P131" s="101">
        <v>12479</v>
      </c>
      <c r="Q131" s="101">
        <v>12576</v>
      </c>
      <c r="R131" s="101">
        <v>12562</v>
      </c>
      <c r="S131" s="101">
        <v>12652</v>
      </c>
      <c r="T131" s="101">
        <v>12742</v>
      </c>
      <c r="U131" s="101">
        <v>12940</v>
      </c>
      <c r="V131" s="103">
        <v>13127</v>
      </c>
      <c r="W131" s="103">
        <v>13320</v>
      </c>
      <c r="X131" s="103">
        <v>13167</v>
      </c>
      <c r="Y131" s="103">
        <v>13098</v>
      </c>
      <c r="Z131" s="103">
        <v>13145</v>
      </c>
      <c r="AA131" s="103">
        <v>13142</v>
      </c>
      <c r="AB131" s="103">
        <v>12970</v>
      </c>
      <c r="AC131" s="103">
        <v>12774</v>
      </c>
      <c r="AD131" s="103">
        <v>12635</v>
      </c>
      <c r="AE131" s="103">
        <v>12420</v>
      </c>
      <c r="AF131" s="103">
        <v>12336</v>
      </c>
      <c r="AG131" s="61">
        <v>12347</v>
      </c>
      <c r="AH131" s="61">
        <v>12343</v>
      </c>
      <c r="AI131" s="61" t="s">
        <v>190</v>
      </c>
      <c r="AJ131" s="61" t="s">
        <v>190</v>
      </c>
      <c r="AM131"/>
    </row>
    <row r="132" spans="1:39" ht="15.75" x14ac:dyDescent="0.25">
      <c r="A132" s="91" t="s">
        <v>270</v>
      </c>
      <c r="B132" s="92" t="s">
        <v>278</v>
      </c>
      <c r="C132" s="18" t="s">
        <v>190</v>
      </c>
      <c r="D132" s="18" t="s">
        <v>190</v>
      </c>
      <c r="E132" s="18" t="s">
        <v>190</v>
      </c>
      <c r="F132" s="18" t="s">
        <v>190</v>
      </c>
      <c r="G132" s="18" t="s">
        <v>190</v>
      </c>
      <c r="H132" s="18" t="s">
        <v>190</v>
      </c>
      <c r="I132" s="18" t="s">
        <v>190</v>
      </c>
      <c r="J132" s="18" t="s">
        <v>190</v>
      </c>
      <c r="K132" s="18" t="s">
        <v>190</v>
      </c>
      <c r="L132" s="18" t="s">
        <v>190</v>
      </c>
      <c r="M132" s="101">
        <v>1790</v>
      </c>
      <c r="N132" s="101">
        <v>1789</v>
      </c>
      <c r="O132" s="101">
        <v>1776</v>
      </c>
      <c r="P132" s="101">
        <v>1766</v>
      </c>
      <c r="Q132" s="101">
        <v>1741</v>
      </c>
      <c r="R132" s="101">
        <v>1762</v>
      </c>
      <c r="S132" s="101">
        <v>1752</v>
      </c>
      <c r="T132" s="101">
        <v>1727</v>
      </c>
      <c r="U132" s="101">
        <v>1728</v>
      </c>
      <c r="V132" s="103">
        <v>1709</v>
      </c>
      <c r="W132" s="103">
        <v>1649</v>
      </c>
      <c r="X132" s="103">
        <v>1636</v>
      </c>
      <c r="Y132" s="103">
        <v>1595</v>
      </c>
      <c r="Z132" s="103">
        <v>1584</v>
      </c>
      <c r="AA132" s="103">
        <v>1572</v>
      </c>
      <c r="AB132" s="103">
        <v>1557</v>
      </c>
      <c r="AC132" s="103">
        <v>1528</v>
      </c>
      <c r="AD132" s="103">
        <v>1503</v>
      </c>
      <c r="AE132" s="103">
        <v>1469</v>
      </c>
      <c r="AF132" s="103">
        <v>1438</v>
      </c>
      <c r="AG132" s="61">
        <v>1413</v>
      </c>
      <c r="AH132" s="61">
        <v>1484</v>
      </c>
      <c r="AI132" s="61" t="s">
        <v>190</v>
      </c>
      <c r="AJ132" s="61" t="s">
        <v>190</v>
      </c>
      <c r="AM132"/>
    </row>
    <row r="133" spans="1:39" ht="15.75" x14ac:dyDescent="0.25">
      <c r="A133" s="91" t="s">
        <v>270</v>
      </c>
      <c r="B133" s="92" t="s">
        <v>279</v>
      </c>
      <c r="C133" s="18" t="s">
        <v>190</v>
      </c>
      <c r="D133" s="18" t="s">
        <v>190</v>
      </c>
      <c r="E133" s="18" t="s">
        <v>190</v>
      </c>
      <c r="F133" s="18" t="s">
        <v>190</v>
      </c>
      <c r="G133" s="18" t="s">
        <v>190</v>
      </c>
      <c r="H133" s="18" t="s">
        <v>190</v>
      </c>
      <c r="I133" s="18" t="s">
        <v>190</v>
      </c>
      <c r="J133" s="18" t="s">
        <v>190</v>
      </c>
      <c r="K133" s="18" t="s">
        <v>190</v>
      </c>
      <c r="L133" s="18" t="s">
        <v>190</v>
      </c>
      <c r="M133" s="101">
        <v>3747</v>
      </c>
      <c r="N133" s="101">
        <v>3724</v>
      </c>
      <c r="O133" s="101">
        <v>3732</v>
      </c>
      <c r="P133" s="101">
        <v>3798</v>
      </c>
      <c r="Q133" s="101">
        <v>3813</v>
      </c>
      <c r="R133" s="101">
        <v>3826</v>
      </c>
      <c r="S133" s="101">
        <v>3878</v>
      </c>
      <c r="T133" s="101">
        <v>3870</v>
      </c>
      <c r="U133" s="101">
        <v>3822</v>
      </c>
      <c r="V133" s="103">
        <v>3806</v>
      </c>
      <c r="W133" s="103">
        <v>3816</v>
      </c>
      <c r="X133" s="103">
        <v>3744</v>
      </c>
      <c r="Y133" s="103">
        <v>3705</v>
      </c>
      <c r="Z133" s="103">
        <v>3611</v>
      </c>
      <c r="AA133" s="103">
        <v>3591</v>
      </c>
      <c r="AB133" s="103">
        <v>3481</v>
      </c>
      <c r="AC133" s="103">
        <v>3455</v>
      </c>
      <c r="AD133" s="103">
        <v>3381</v>
      </c>
      <c r="AE133" s="103">
        <v>3399</v>
      </c>
      <c r="AF133" s="103">
        <v>3399</v>
      </c>
      <c r="AG133" s="61">
        <v>3418</v>
      </c>
      <c r="AH133" s="61">
        <v>3424</v>
      </c>
      <c r="AI133" s="61" t="s">
        <v>190</v>
      </c>
      <c r="AJ133" s="61" t="s">
        <v>190</v>
      </c>
      <c r="AM133"/>
    </row>
    <row r="134" spans="1:39" ht="35.1" customHeight="1" x14ac:dyDescent="0.25">
      <c r="A134" s="96" t="s">
        <v>263</v>
      </c>
      <c r="B134" s="100" t="s">
        <v>280</v>
      </c>
      <c r="C134" s="101" t="s">
        <v>190</v>
      </c>
      <c r="D134" s="101" t="s">
        <v>190</v>
      </c>
      <c r="E134" s="101" t="s">
        <v>190</v>
      </c>
      <c r="F134" s="101" t="s">
        <v>190</v>
      </c>
      <c r="G134" s="101" t="s">
        <v>190</v>
      </c>
      <c r="H134" s="101" t="s">
        <v>190</v>
      </c>
      <c r="I134" s="101" t="s">
        <v>190</v>
      </c>
      <c r="J134" s="101" t="s">
        <v>190</v>
      </c>
      <c r="K134" s="101" t="s">
        <v>190</v>
      </c>
      <c r="L134" s="101" t="s">
        <v>190</v>
      </c>
      <c r="M134" s="101">
        <v>682604</v>
      </c>
      <c r="N134" s="101">
        <v>676024</v>
      </c>
      <c r="O134" s="101">
        <v>671709</v>
      </c>
      <c r="P134" s="101">
        <v>671451</v>
      </c>
      <c r="Q134" s="101">
        <v>673645</v>
      </c>
      <c r="R134" s="101">
        <v>675213</v>
      </c>
      <c r="S134" s="101">
        <v>678276</v>
      </c>
      <c r="T134" s="101">
        <v>681815</v>
      </c>
      <c r="U134" s="101">
        <v>684216</v>
      </c>
      <c r="V134" s="103">
        <v>688201</v>
      </c>
      <c r="W134" s="103">
        <v>692009</v>
      </c>
      <c r="X134" s="103">
        <v>686703</v>
      </c>
      <c r="Y134" s="103">
        <v>682917</v>
      </c>
      <c r="Z134" s="103">
        <v>680056</v>
      </c>
      <c r="AA134" s="103">
        <v>680371</v>
      </c>
      <c r="AB134" s="103">
        <v>681516</v>
      </c>
      <c r="AC134" s="103">
        <v>681900</v>
      </c>
      <c r="AD134" s="103">
        <v>682366</v>
      </c>
      <c r="AE134" s="103">
        <v>684462</v>
      </c>
      <c r="AF134" s="103">
        <v>683931</v>
      </c>
      <c r="AG134" s="61">
        <v>681801</v>
      </c>
      <c r="AH134" s="61">
        <v>688285</v>
      </c>
      <c r="AI134" s="61" t="s">
        <v>190</v>
      </c>
      <c r="AJ134" s="61" t="s">
        <v>190</v>
      </c>
      <c r="AM134"/>
    </row>
    <row r="135" spans="1:39" ht="15.75" x14ac:dyDescent="0.25">
      <c r="A135" s="96" t="s">
        <v>263</v>
      </c>
      <c r="B135" s="100" t="s">
        <v>264</v>
      </c>
      <c r="C135" s="101" t="s">
        <v>190</v>
      </c>
      <c r="D135" s="101" t="s">
        <v>190</v>
      </c>
      <c r="E135" s="101" t="s">
        <v>190</v>
      </c>
      <c r="F135" s="101" t="s">
        <v>190</v>
      </c>
      <c r="G135" s="101" t="s">
        <v>190</v>
      </c>
      <c r="H135" s="101" t="s">
        <v>190</v>
      </c>
      <c r="I135" s="101" t="s">
        <v>190</v>
      </c>
      <c r="J135" s="101" t="s">
        <v>190</v>
      </c>
      <c r="K135" s="101" t="s">
        <v>190</v>
      </c>
      <c r="L135" s="101" t="s">
        <v>190</v>
      </c>
      <c r="M135" s="101">
        <v>662344</v>
      </c>
      <c r="N135" s="101">
        <v>661023</v>
      </c>
      <c r="O135" s="101">
        <v>659460</v>
      </c>
      <c r="P135" s="101">
        <v>659961</v>
      </c>
      <c r="Q135" s="101">
        <v>664029</v>
      </c>
      <c r="R135" s="101">
        <v>667920</v>
      </c>
      <c r="S135" s="101">
        <v>672337</v>
      </c>
      <c r="T135" s="101">
        <v>677072</v>
      </c>
      <c r="U135" s="101">
        <v>681861</v>
      </c>
      <c r="V135" s="103">
        <v>685340</v>
      </c>
      <c r="W135" s="103">
        <v>689072</v>
      </c>
      <c r="X135" s="103">
        <v>684330</v>
      </c>
      <c r="Y135" s="103">
        <v>681154</v>
      </c>
      <c r="Z135" s="103">
        <v>678317</v>
      </c>
      <c r="AA135" s="103">
        <v>679214</v>
      </c>
      <c r="AB135" s="103">
        <v>679525</v>
      </c>
      <c r="AC135" s="103">
        <v>679918</v>
      </c>
      <c r="AD135" s="103">
        <v>677880</v>
      </c>
      <c r="AE135" s="103">
        <v>678962</v>
      </c>
      <c r="AF135" s="103">
        <v>677187</v>
      </c>
      <c r="AG135" s="61">
        <v>675960</v>
      </c>
      <c r="AH135" s="61">
        <v>680186</v>
      </c>
      <c r="AI135" s="61" t="s">
        <v>190</v>
      </c>
      <c r="AJ135" s="61" t="s">
        <v>190</v>
      </c>
      <c r="AM135"/>
    </row>
    <row r="136" spans="1:39" ht="15.75" x14ac:dyDescent="0.25">
      <c r="A136" s="96" t="s">
        <v>263</v>
      </c>
      <c r="B136" s="100" t="s">
        <v>265</v>
      </c>
      <c r="C136" s="101" t="s">
        <v>190</v>
      </c>
      <c r="D136" s="101" t="s">
        <v>190</v>
      </c>
      <c r="E136" s="101" t="s">
        <v>190</v>
      </c>
      <c r="F136" s="101" t="s">
        <v>190</v>
      </c>
      <c r="G136" s="101" t="s">
        <v>190</v>
      </c>
      <c r="H136" s="101" t="s">
        <v>190</v>
      </c>
      <c r="I136" s="101" t="s">
        <v>190</v>
      </c>
      <c r="J136" s="101" t="s">
        <v>190</v>
      </c>
      <c r="K136" s="101" t="s">
        <v>190</v>
      </c>
      <c r="L136" s="101" t="s">
        <v>190</v>
      </c>
      <c r="M136" s="101">
        <v>656216</v>
      </c>
      <c r="N136" s="101">
        <v>658253</v>
      </c>
      <c r="O136" s="101">
        <v>660119</v>
      </c>
      <c r="P136" s="101">
        <v>665927</v>
      </c>
      <c r="Q136" s="101">
        <v>670594</v>
      </c>
      <c r="R136" s="101">
        <v>674309</v>
      </c>
      <c r="S136" s="101">
        <v>679432</v>
      </c>
      <c r="T136" s="101">
        <v>683795</v>
      </c>
      <c r="U136" s="101">
        <v>686722</v>
      </c>
      <c r="V136" s="103">
        <v>690880</v>
      </c>
      <c r="W136" s="103">
        <v>695773</v>
      </c>
      <c r="X136" s="103">
        <v>692030</v>
      </c>
      <c r="Y136" s="103">
        <v>688401</v>
      </c>
      <c r="Z136" s="103">
        <v>685927</v>
      </c>
      <c r="AA136" s="103">
        <v>685220</v>
      </c>
      <c r="AB136" s="103">
        <v>684958</v>
      </c>
      <c r="AC136" s="103">
        <v>683233</v>
      </c>
      <c r="AD136" s="103">
        <v>681634</v>
      </c>
      <c r="AE136" s="103">
        <v>680233</v>
      </c>
      <c r="AF136" s="103">
        <v>677400</v>
      </c>
      <c r="AG136" s="61">
        <v>677077</v>
      </c>
      <c r="AH136" s="61">
        <v>679769</v>
      </c>
      <c r="AI136" s="61" t="s">
        <v>190</v>
      </c>
      <c r="AJ136" s="61" t="s">
        <v>190</v>
      </c>
      <c r="AM136"/>
    </row>
    <row r="137" spans="1:39" ht="15.75" x14ac:dyDescent="0.25">
      <c r="A137" s="96" t="s">
        <v>263</v>
      </c>
      <c r="B137" s="100" t="s">
        <v>266</v>
      </c>
      <c r="C137" s="101" t="s">
        <v>190</v>
      </c>
      <c r="D137" s="101" t="s">
        <v>190</v>
      </c>
      <c r="E137" s="101" t="s">
        <v>190</v>
      </c>
      <c r="F137" s="101" t="s">
        <v>190</v>
      </c>
      <c r="G137" s="101" t="s">
        <v>190</v>
      </c>
      <c r="H137" s="101" t="s">
        <v>190</v>
      </c>
      <c r="I137" s="101" t="s">
        <v>190</v>
      </c>
      <c r="J137" s="101" t="s">
        <v>190</v>
      </c>
      <c r="K137" s="101" t="s">
        <v>190</v>
      </c>
      <c r="L137" s="101" t="s">
        <v>190</v>
      </c>
      <c r="M137" s="101">
        <v>630886</v>
      </c>
      <c r="N137" s="101">
        <v>637854</v>
      </c>
      <c r="O137" s="101">
        <v>643589</v>
      </c>
      <c r="P137" s="101">
        <v>650240</v>
      </c>
      <c r="Q137" s="101">
        <v>656845</v>
      </c>
      <c r="R137" s="101">
        <v>664226</v>
      </c>
      <c r="S137" s="101">
        <v>674355</v>
      </c>
      <c r="T137" s="101">
        <v>680570</v>
      </c>
      <c r="U137" s="101">
        <v>683978</v>
      </c>
      <c r="V137" s="103">
        <v>688668</v>
      </c>
      <c r="W137" s="103">
        <v>694043</v>
      </c>
      <c r="X137" s="103">
        <v>692378</v>
      </c>
      <c r="Y137" s="103">
        <v>693238</v>
      </c>
      <c r="Z137" s="103">
        <v>695484</v>
      </c>
      <c r="AA137" s="103">
        <v>699256</v>
      </c>
      <c r="AB137" s="103">
        <v>702594</v>
      </c>
      <c r="AC137" s="103">
        <v>705838</v>
      </c>
      <c r="AD137" s="103">
        <v>706914</v>
      </c>
      <c r="AE137" s="103">
        <v>709922</v>
      </c>
      <c r="AF137" s="103">
        <v>711749</v>
      </c>
      <c r="AG137" s="61">
        <v>716815</v>
      </c>
      <c r="AH137" s="61">
        <v>722205</v>
      </c>
      <c r="AI137" s="61" t="s">
        <v>190</v>
      </c>
      <c r="AJ137" s="61" t="s">
        <v>190</v>
      </c>
      <c r="AM137"/>
    </row>
    <row r="138" spans="1:39" ht="15.75" x14ac:dyDescent="0.25">
      <c r="A138" s="96" t="s">
        <v>263</v>
      </c>
      <c r="B138" s="100" t="s">
        <v>281</v>
      </c>
      <c r="C138" s="101" t="s">
        <v>190</v>
      </c>
      <c r="D138" s="101" t="s">
        <v>190</v>
      </c>
      <c r="E138" s="101" t="s">
        <v>190</v>
      </c>
      <c r="F138" s="101" t="s">
        <v>190</v>
      </c>
      <c r="G138" s="101" t="s">
        <v>190</v>
      </c>
      <c r="H138" s="101" t="s">
        <v>190</v>
      </c>
      <c r="I138" s="101" t="s">
        <v>190</v>
      </c>
      <c r="J138" s="101" t="s">
        <v>190</v>
      </c>
      <c r="K138" s="101" t="s">
        <v>190</v>
      </c>
      <c r="L138" s="101" t="s">
        <v>190</v>
      </c>
      <c r="M138" s="101">
        <v>654595</v>
      </c>
      <c r="N138" s="101">
        <v>662197</v>
      </c>
      <c r="O138" s="101">
        <v>668987</v>
      </c>
      <c r="P138" s="101">
        <v>673716</v>
      </c>
      <c r="Q138" s="101">
        <v>680728</v>
      </c>
      <c r="R138" s="101">
        <v>687325</v>
      </c>
      <c r="S138" s="101">
        <v>695924</v>
      </c>
      <c r="T138" s="101">
        <v>700246</v>
      </c>
      <c r="U138" s="101">
        <v>704321</v>
      </c>
      <c r="V138" s="103">
        <v>709069</v>
      </c>
      <c r="W138" s="103">
        <v>716536</v>
      </c>
      <c r="X138" s="103">
        <v>715018</v>
      </c>
      <c r="Y138" s="103">
        <v>716017</v>
      </c>
      <c r="Z138" s="103">
        <v>714642</v>
      </c>
      <c r="AA138" s="103">
        <v>714633</v>
      </c>
      <c r="AB138" s="103">
        <v>714719</v>
      </c>
      <c r="AC138" s="103">
        <v>712711</v>
      </c>
      <c r="AD138" s="103">
        <v>706794</v>
      </c>
      <c r="AE138" s="103">
        <v>703521</v>
      </c>
      <c r="AF138" s="103">
        <v>698123</v>
      </c>
      <c r="AG138" s="61">
        <v>688033</v>
      </c>
      <c r="AH138" s="61">
        <v>687323</v>
      </c>
      <c r="AI138" s="61" t="s">
        <v>190</v>
      </c>
      <c r="AJ138" s="61" t="s">
        <v>190</v>
      </c>
      <c r="AM138"/>
    </row>
    <row r="139" spans="1:39" ht="15.75" x14ac:dyDescent="0.25">
      <c r="AM139"/>
    </row>
    <row r="140" spans="1:39" ht="15.75" x14ac:dyDescent="0.25">
      <c r="AM140"/>
    </row>
    <row r="141" spans="1:39" ht="15.75" x14ac:dyDescent="0.25">
      <c r="AM141"/>
    </row>
    <row r="142" spans="1:39" ht="15.75" x14ac:dyDescent="0.25">
      <c r="AM142"/>
    </row>
    <row r="143" spans="1:39" ht="15.75" x14ac:dyDescent="0.25">
      <c r="AM143"/>
    </row>
    <row r="144" spans="1:39" ht="15.75" x14ac:dyDescent="0.25">
      <c r="AM144"/>
    </row>
    <row r="145" spans="39:39" ht="15.75" x14ac:dyDescent="0.25">
      <c r="AM145"/>
    </row>
    <row r="146" spans="39:39" ht="15.75" x14ac:dyDescent="0.25">
      <c r="AM146"/>
    </row>
    <row r="147" spans="39:39" ht="15.75" x14ac:dyDescent="0.25">
      <c r="AM147"/>
    </row>
    <row r="148" spans="39:39" ht="15.75" x14ac:dyDescent="0.25">
      <c r="AM148"/>
    </row>
    <row r="149" spans="39:39" ht="15.75" x14ac:dyDescent="0.25">
      <c r="AM149"/>
    </row>
  </sheetData>
  <phoneticPr fontId="44" type="noConversion"/>
  <hyperlinks>
    <hyperlink ref="A15" location="Contents!A1" display="This cell contains a hyperlink to the Table of Contents" xr:uid="{00000000-0004-0000-1500-000000000000}"/>
    <hyperlink ref="A13" r:id="rId1" display="Further data available by gender, age, work pattern, employment type, broad industrial group and qualification from Nomis. This link opens in a new window." xr:uid="{F791B56F-E437-48BA-9DAA-7E2ADFA4AF7C}"/>
    <hyperlink ref="A12" r:id="rId2" xr:uid="{84F30DEA-4214-4F28-BD6C-DAB092EF64FE}"/>
    <hyperlink ref="A10" r:id="rId3" display="Source link 2001-2011 areas built up from Data Zones: Small Area Population Estimates - National Records of Scotland. This link opens in a new window." xr:uid="{BC1CC20A-97D5-4BF3-AA3F-601902C6D0C9}"/>
    <hyperlink ref="A11" r:id="rId4" location="top" xr:uid="{C2631673-79FD-43D3-883F-FEF1689C7775}"/>
    <hyperlink ref="A9" r:id="rId5" display="Source link 1991 to 2023: Population Estimates Time Series Data - National Records of Scotland. This link opens in a new window." xr:uid="{4865E1DB-8B25-4238-A6BF-CC29564A5255}"/>
  </hyperlinks>
  <pageMargins left="0.7" right="0.7" top="0.75" bottom="0.75" header="0.3" footer="0.3"/>
  <pageSetup paperSize="9" scale="16" orientation="portrait" r:id="rId6"/>
  <ignoredErrors>
    <ignoredError sqref="M121:V121" formulaRange="1"/>
  </ignoredErrors>
  <tableParts count="1">
    <tablePart r:id="rId7"/>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DCD82-FFC6-4E4A-B7AE-92B791C243B7}">
  <dimension ref="A1:J133"/>
  <sheetViews>
    <sheetView zoomScaleNormal="100" workbookViewId="0"/>
  </sheetViews>
  <sheetFormatPr defaultColWidth="9.140625" defaultRowHeight="15" x14ac:dyDescent="0.2"/>
  <cols>
    <col min="1" max="1" width="59" style="40" customWidth="1"/>
    <col min="2" max="2" width="51.140625" style="42" customWidth="1"/>
    <col min="3" max="6" width="12.5703125" style="41" customWidth="1"/>
    <col min="7" max="10" width="12.5703125" style="40" customWidth="1"/>
    <col min="11" max="16384" width="9.140625" style="40"/>
  </cols>
  <sheetData>
    <row r="1" spans="1:10" ht="20.25" x14ac:dyDescent="0.3">
      <c r="A1" s="151" t="s">
        <v>383</v>
      </c>
      <c r="B1" s="151"/>
      <c r="C1" s="151"/>
    </row>
    <row r="2" spans="1:10" x14ac:dyDescent="0.2">
      <c r="A2" s="140" t="s">
        <v>152</v>
      </c>
      <c r="B2" s="40"/>
    </row>
    <row r="3" spans="1:10" x14ac:dyDescent="0.2">
      <c r="A3" s="140" t="s">
        <v>297</v>
      </c>
      <c r="B3" s="40"/>
    </row>
    <row r="4" spans="1:10" x14ac:dyDescent="0.2">
      <c r="A4" s="140" t="s">
        <v>302</v>
      </c>
      <c r="B4" s="40"/>
    </row>
    <row r="5" spans="1:10" x14ac:dyDescent="0.2">
      <c r="A5" s="140" t="s">
        <v>371</v>
      </c>
      <c r="B5" s="40"/>
    </row>
    <row r="6" spans="1:10" x14ac:dyDescent="0.2">
      <c r="A6" s="140" t="s">
        <v>349</v>
      </c>
      <c r="B6" s="40"/>
    </row>
    <row r="7" spans="1:10" ht="15" customHeight="1" x14ac:dyDescent="0.2">
      <c r="A7" s="149" t="s">
        <v>351</v>
      </c>
      <c r="B7" s="40"/>
    </row>
    <row r="8" spans="1:10" ht="15" customHeight="1" x14ac:dyDescent="0.2">
      <c r="A8" s="149" t="s">
        <v>352</v>
      </c>
      <c r="B8" s="40"/>
    </row>
    <row r="9" spans="1:10" s="43" customFormat="1" x14ac:dyDescent="0.2">
      <c r="A9" s="141" t="s">
        <v>350</v>
      </c>
      <c r="C9" s="142"/>
      <c r="D9" s="142"/>
      <c r="E9" s="142"/>
      <c r="F9" s="142"/>
      <c r="G9" s="142"/>
      <c r="H9" s="142"/>
      <c r="I9" s="142"/>
    </row>
    <row r="10" spans="1:10" s="43" customFormat="1" ht="30" customHeight="1" x14ac:dyDescent="0.2">
      <c r="A10" s="45" t="s">
        <v>232</v>
      </c>
      <c r="C10" s="142"/>
      <c r="D10" s="142"/>
      <c r="E10" s="142"/>
      <c r="F10" s="142"/>
      <c r="G10" s="142"/>
      <c r="H10" s="142"/>
      <c r="I10" s="142"/>
    </row>
    <row r="11" spans="1:10" ht="15.75" customHeight="1" x14ac:dyDescent="0.25">
      <c r="A11" s="55" t="s">
        <v>156</v>
      </c>
      <c r="B11" s="55" t="s">
        <v>157</v>
      </c>
      <c r="C11" s="46" t="s">
        <v>176</v>
      </c>
      <c r="D11" s="46" t="s">
        <v>177</v>
      </c>
      <c r="E11" s="46" t="s">
        <v>123</v>
      </c>
      <c r="F11" s="47" t="s">
        <v>150</v>
      </c>
      <c r="G11" s="46" t="s">
        <v>187</v>
      </c>
      <c r="H11" s="143" t="s">
        <v>189</v>
      </c>
      <c r="I11" s="46" t="s">
        <v>257</v>
      </c>
      <c r="J11" s="46" t="s">
        <v>316</v>
      </c>
    </row>
    <row r="12" spans="1:10" x14ac:dyDescent="0.2">
      <c r="A12" s="56" t="s">
        <v>178</v>
      </c>
      <c r="B12" s="57" t="s">
        <v>48</v>
      </c>
      <c r="C12" s="58">
        <v>397540</v>
      </c>
      <c r="D12" s="58">
        <v>356895</v>
      </c>
      <c r="E12" s="58">
        <v>348630</v>
      </c>
      <c r="F12" s="58">
        <v>363825</v>
      </c>
      <c r="G12" s="58">
        <v>333020</v>
      </c>
      <c r="H12" s="58">
        <v>363995</v>
      </c>
      <c r="I12" s="144">
        <v>336925</v>
      </c>
      <c r="J12" s="144">
        <v>316025</v>
      </c>
    </row>
    <row r="13" spans="1:10" x14ac:dyDescent="0.2">
      <c r="A13" s="56" t="s">
        <v>178</v>
      </c>
      <c r="B13" s="57" t="s">
        <v>1</v>
      </c>
      <c r="C13" s="58">
        <v>21440</v>
      </c>
      <c r="D13" s="58">
        <v>19845</v>
      </c>
      <c r="E13" s="58">
        <v>19620</v>
      </c>
      <c r="F13" s="58">
        <v>20680</v>
      </c>
      <c r="G13" s="58">
        <v>16850</v>
      </c>
      <c r="H13" s="58">
        <v>18910</v>
      </c>
      <c r="I13" s="144">
        <v>18870</v>
      </c>
      <c r="J13" s="144">
        <v>18275</v>
      </c>
    </row>
    <row r="14" spans="1:10" ht="35.450000000000003" customHeight="1" x14ac:dyDescent="0.2">
      <c r="A14" s="57" t="s">
        <v>179</v>
      </c>
      <c r="B14" s="57" t="s">
        <v>35</v>
      </c>
      <c r="C14" s="58">
        <f t="shared" ref="C14:J14" si="0">SUM(C29:C30)</f>
        <v>2285</v>
      </c>
      <c r="D14" s="58">
        <f t="shared" si="0"/>
        <v>2165</v>
      </c>
      <c r="E14" s="58">
        <f t="shared" si="0"/>
        <v>2150</v>
      </c>
      <c r="F14" s="58">
        <f t="shared" si="0"/>
        <v>2170</v>
      </c>
      <c r="G14" s="58">
        <f t="shared" si="0"/>
        <v>1675</v>
      </c>
      <c r="H14" s="58">
        <f t="shared" si="0"/>
        <v>1755</v>
      </c>
      <c r="I14" s="158">
        <f t="shared" si="0"/>
        <v>1735</v>
      </c>
      <c r="J14" s="144">
        <f t="shared" si="0"/>
        <v>1760</v>
      </c>
    </row>
    <row r="15" spans="1:10" x14ac:dyDescent="0.2">
      <c r="A15" s="56" t="s">
        <v>179</v>
      </c>
      <c r="B15" s="57" t="s">
        <v>36</v>
      </c>
      <c r="C15" s="58">
        <f t="shared" ref="C15:J15" si="1">SUM(C38,C40,C43,C45,C50,C53,C57,C59)</f>
        <v>7505</v>
      </c>
      <c r="D15" s="58">
        <f t="shared" si="1"/>
        <v>6920</v>
      </c>
      <c r="E15" s="58">
        <f t="shared" si="1"/>
        <v>6835</v>
      </c>
      <c r="F15" s="58">
        <f t="shared" si="1"/>
        <v>7435</v>
      </c>
      <c r="G15" s="58">
        <f t="shared" si="1"/>
        <v>6125</v>
      </c>
      <c r="H15" s="58">
        <f t="shared" si="1"/>
        <v>6985</v>
      </c>
      <c r="I15" s="158">
        <f t="shared" si="1"/>
        <v>7050</v>
      </c>
      <c r="J15" s="144">
        <f t="shared" si="1"/>
        <v>6560</v>
      </c>
    </row>
    <row r="16" spans="1:10" x14ac:dyDescent="0.2">
      <c r="A16" s="56" t="s">
        <v>179</v>
      </c>
      <c r="B16" s="57" t="s">
        <v>37</v>
      </c>
      <c r="C16" s="58">
        <f t="shared" ref="C16:J16" si="2">SUM(C33,C39,C42,C46,C54,C60)</f>
        <v>5790</v>
      </c>
      <c r="D16" s="58">
        <f t="shared" si="2"/>
        <v>5265</v>
      </c>
      <c r="E16" s="58">
        <f t="shared" si="2"/>
        <v>5300</v>
      </c>
      <c r="F16" s="58">
        <f t="shared" si="2"/>
        <v>5685</v>
      </c>
      <c r="G16" s="58">
        <f t="shared" si="2"/>
        <v>4350</v>
      </c>
      <c r="H16" s="58">
        <f t="shared" si="2"/>
        <v>4975</v>
      </c>
      <c r="I16" s="158">
        <f t="shared" si="2"/>
        <v>4895</v>
      </c>
      <c r="J16" s="144">
        <f t="shared" si="2"/>
        <v>4695</v>
      </c>
    </row>
    <row r="17" spans="1:10" x14ac:dyDescent="0.2">
      <c r="A17" s="56" t="s">
        <v>179</v>
      </c>
      <c r="B17" s="57" t="s">
        <v>236</v>
      </c>
      <c r="C17" s="58">
        <f t="shared" ref="C17:J17" si="3">SUM(C34,C58,C41)</f>
        <v>1035</v>
      </c>
      <c r="D17" s="58">
        <f t="shared" si="3"/>
        <v>980</v>
      </c>
      <c r="E17" s="58">
        <f t="shared" si="3"/>
        <v>1065</v>
      </c>
      <c r="F17" s="58">
        <f t="shared" si="3"/>
        <v>1000</v>
      </c>
      <c r="G17" s="58">
        <f t="shared" si="3"/>
        <v>880</v>
      </c>
      <c r="H17" s="58">
        <f t="shared" si="3"/>
        <v>920</v>
      </c>
      <c r="I17" s="158">
        <f t="shared" si="3"/>
        <v>940</v>
      </c>
      <c r="J17" s="144">
        <f t="shared" si="3"/>
        <v>915</v>
      </c>
    </row>
    <row r="18" spans="1:10" x14ac:dyDescent="0.2">
      <c r="A18" s="56" t="s">
        <v>179</v>
      </c>
      <c r="B18" s="57" t="s">
        <v>38</v>
      </c>
      <c r="C18" s="58">
        <f t="shared" ref="C18:J18" si="4">SUM(C31,C36,C42,C52)</f>
        <v>2785</v>
      </c>
      <c r="D18" s="58">
        <f t="shared" si="4"/>
        <v>2640</v>
      </c>
      <c r="E18" s="58">
        <f t="shared" si="4"/>
        <v>2490</v>
      </c>
      <c r="F18" s="58">
        <f t="shared" si="4"/>
        <v>2790</v>
      </c>
      <c r="G18" s="58">
        <f t="shared" si="4"/>
        <v>2150</v>
      </c>
      <c r="H18" s="58">
        <f t="shared" si="4"/>
        <v>2405</v>
      </c>
      <c r="I18" s="158">
        <f t="shared" si="4"/>
        <v>2345</v>
      </c>
      <c r="J18" s="144">
        <f t="shared" si="4"/>
        <v>2280</v>
      </c>
    </row>
    <row r="19" spans="1:10" x14ac:dyDescent="0.2">
      <c r="A19" s="56" t="s">
        <v>179</v>
      </c>
      <c r="B19" s="57" t="s">
        <v>121</v>
      </c>
      <c r="C19" s="58">
        <f t="shared" ref="C19:J19" si="5">C26</f>
        <v>1735</v>
      </c>
      <c r="D19" s="58">
        <f t="shared" si="5"/>
        <v>1680</v>
      </c>
      <c r="E19" s="58">
        <f t="shared" si="5"/>
        <v>1540</v>
      </c>
      <c r="F19" s="58">
        <f t="shared" si="5"/>
        <v>1585</v>
      </c>
      <c r="G19" s="58">
        <f t="shared" si="5"/>
        <v>1305</v>
      </c>
      <c r="H19" s="58">
        <f t="shared" si="5"/>
        <v>1515</v>
      </c>
      <c r="I19" s="158">
        <f t="shared" si="5"/>
        <v>1520</v>
      </c>
      <c r="J19" s="144">
        <f t="shared" si="5"/>
        <v>1660</v>
      </c>
    </row>
    <row r="20" spans="1:10" x14ac:dyDescent="0.2">
      <c r="A20" s="56" t="s">
        <v>179</v>
      </c>
      <c r="B20" s="57" t="s">
        <v>39</v>
      </c>
      <c r="C20" s="58">
        <f t="shared" ref="C20:J20" si="6">SUM(C37,C49,C56)</f>
        <v>1310</v>
      </c>
      <c r="D20" s="58">
        <f t="shared" si="6"/>
        <v>1175</v>
      </c>
      <c r="E20" s="58">
        <f t="shared" si="6"/>
        <v>1045</v>
      </c>
      <c r="F20" s="58">
        <f t="shared" si="6"/>
        <v>1145</v>
      </c>
      <c r="G20" s="58">
        <f t="shared" si="6"/>
        <v>1005</v>
      </c>
      <c r="H20" s="58">
        <f t="shared" si="6"/>
        <v>1080</v>
      </c>
      <c r="I20" s="158">
        <f t="shared" si="6"/>
        <v>1005</v>
      </c>
      <c r="J20" s="144">
        <f t="shared" si="6"/>
        <v>1030</v>
      </c>
    </row>
    <row r="21" spans="1:10" x14ac:dyDescent="0.2">
      <c r="A21" s="56" t="s">
        <v>179</v>
      </c>
      <c r="B21" s="57" t="s">
        <v>40</v>
      </c>
      <c r="C21" s="58">
        <f t="shared" ref="C21:J21" si="7">SUM(C35,C54)</f>
        <v>750</v>
      </c>
      <c r="D21" s="58">
        <f t="shared" si="7"/>
        <v>655</v>
      </c>
      <c r="E21" s="58">
        <f t="shared" si="7"/>
        <v>680</v>
      </c>
      <c r="F21" s="58">
        <f t="shared" si="7"/>
        <v>700</v>
      </c>
      <c r="G21" s="58">
        <f t="shared" si="7"/>
        <v>625</v>
      </c>
      <c r="H21" s="58">
        <f t="shared" si="7"/>
        <v>750</v>
      </c>
      <c r="I21" s="158">
        <f t="shared" si="7"/>
        <v>765</v>
      </c>
      <c r="J21" s="144">
        <f t="shared" si="7"/>
        <v>735</v>
      </c>
    </row>
    <row r="22" spans="1:10" ht="36.6" customHeight="1" x14ac:dyDescent="0.2">
      <c r="A22" s="57" t="s">
        <v>180</v>
      </c>
      <c r="B22" s="57" t="s">
        <v>41</v>
      </c>
      <c r="C22" s="58">
        <f t="shared" ref="C22:J22" si="8">SUM(C32,C48,C51,C55)</f>
        <v>550</v>
      </c>
      <c r="D22" s="58">
        <f t="shared" si="8"/>
        <v>500</v>
      </c>
      <c r="E22" s="58">
        <f t="shared" si="8"/>
        <v>465</v>
      </c>
      <c r="F22" s="58">
        <f t="shared" si="8"/>
        <v>445</v>
      </c>
      <c r="G22" s="58">
        <f t="shared" si="8"/>
        <v>390</v>
      </c>
      <c r="H22" s="58">
        <f t="shared" si="8"/>
        <v>470</v>
      </c>
      <c r="I22" s="158">
        <f t="shared" si="8"/>
        <v>470</v>
      </c>
      <c r="J22" s="144">
        <f t="shared" si="8"/>
        <v>485</v>
      </c>
    </row>
    <row r="23" spans="1:10" x14ac:dyDescent="0.2">
      <c r="A23" s="56" t="s">
        <v>180</v>
      </c>
      <c r="B23" s="57" t="s">
        <v>42</v>
      </c>
      <c r="C23" s="58">
        <f t="shared" ref="C23:J23" si="9">SUM(C30:C31,C34:C35,C37,C39,C44,C47,C52,C54,C56)</f>
        <v>5350</v>
      </c>
      <c r="D23" s="58">
        <f t="shared" si="9"/>
        <v>5085</v>
      </c>
      <c r="E23" s="58">
        <f t="shared" si="9"/>
        <v>4815</v>
      </c>
      <c r="F23" s="58">
        <f t="shared" si="9"/>
        <v>4980</v>
      </c>
      <c r="G23" s="58">
        <f t="shared" si="9"/>
        <v>4195</v>
      </c>
      <c r="H23" s="58">
        <f t="shared" si="9"/>
        <v>4735</v>
      </c>
      <c r="I23" s="158">
        <f t="shared" si="9"/>
        <v>4605</v>
      </c>
      <c r="J23" s="144">
        <f t="shared" si="9"/>
        <v>4790</v>
      </c>
    </row>
    <row r="24" spans="1:10" x14ac:dyDescent="0.2">
      <c r="A24" s="56" t="s">
        <v>180</v>
      </c>
      <c r="B24" s="57" t="s">
        <v>43</v>
      </c>
      <c r="C24" s="58">
        <f t="shared" ref="C24:J24" si="10">SUM(C38,C40:C42,C45:C46,C49:C50,C53,C57:C60)</f>
        <v>8150</v>
      </c>
      <c r="D24" s="58">
        <f t="shared" si="10"/>
        <v>7425</v>
      </c>
      <c r="E24" s="58">
        <f t="shared" si="10"/>
        <v>7370</v>
      </c>
      <c r="F24" s="58">
        <f t="shared" si="10"/>
        <v>7845</v>
      </c>
      <c r="G24" s="58">
        <f t="shared" si="10"/>
        <v>6385</v>
      </c>
      <c r="H24" s="58">
        <f t="shared" si="10"/>
        <v>7225</v>
      </c>
      <c r="I24" s="158">
        <f t="shared" si="10"/>
        <v>7090</v>
      </c>
      <c r="J24" s="144">
        <f t="shared" si="10"/>
        <v>6820</v>
      </c>
    </row>
    <row r="25" spans="1:10" x14ac:dyDescent="0.2">
      <c r="A25" s="56" t="s">
        <v>180</v>
      </c>
      <c r="B25" s="57" t="s">
        <v>44</v>
      </c>
      <c r="C25" s="58">
        <f t="shared" ref="C25:J25" si="11">SUM(C29,C33,C36,C43)</f>
        <v>7390</v>
      </c>
      <c r="D25" s="58">
        <f t="shared" si="11"/>
        <v>6835</v>
      </c>
      <c r="E25" s="58">
        <f t="shared" si="11"/>
        <v>6970</v>
      </c>
      <c r="F25" s="58">
        <f t="shared" si="11"/>
        <v>7410</v>
      </c>
      <c r="G25" s="58">
        <f t="shared" si="11"/>
        <v>5880</v>
      </c>
      <c r="H25" s="58">
        <f t="shared" si="11"/>
        <v>6480</v>
      </c>
      <c r="I25" s="158">
        <f t="shared" si="11"/>
        <v>6705</v>
      </c>
      <c r="J25" s="144">
        <f t="shared" si="11"/>
        <v>6180</v>
      </c>
    </row>
    <row r="26" spans="1:10" ht="28.5" customHeight="1" x14ac:dyDescent="0.2">
      <c r="A26" s="57" t="s">
        <v>181</v>
      </c>
      <c r="B26" s="57" t="s">
        <v>45</v>
      </c>
      <c r="C26" s="58">
        <f t="shared" ref="C26:J26" si="12">SUM(C32,C44,C47,C48,C51,C55)</f>
        <v>1735</v>
      </c>
      <c r="D26" s="58">
        <f t="shared" si="12"/>
        <v>1680</v>
      </c>
      <c r="E26" s="58">
        <f t="shared" si="12"/>
        <v>1540</v>
      </c>
      <c r="F26" s="58">
        <f t="shared" si="12"/>
        <v>1585</v>
      </c>
      <c r="G26" s="58">
        <f t="shared" si="12"/>
        <v>1305</v>
      </c>
      <c r="H26" s="58">
        <f t="shared" si="12"/>
        <v>1515</v>
      </c>
      <c r="I26" s="158">
        <f t="shared" si="12"/>
        <v>1520</v>
      </c>
      <c r="J26" s="144">
        <f t="shared" si="12"/>
        <v>1660</v>
      </c>
    </row>
    <row r="27" spans="1:10" x14ac:dyDescent="0.2">
      <c r="A27" s="56" t="s">
        <v>181</v>
      </c>
      <c r="B27" s="57" t="s">
        <v>120</v>
      </c>
      <c r="C27" s="58">
        <f t="shared" ref="C27:J27" si="13">C21</f>
        <v>750</v>
      </c>
      <c r="D27" s="58">
        <f t="shared" si="13"/>
        <v>655</v>
      </c>
      <c r="E27" s="58">
        <f t="shared" si="13"/>
        <v>680</v>
      </c>
      <c r="F27" s="58">
        <f t="shared" si="13"/>
        <v>700</v>
      </c>
      <c r="G27" s="58">
        <f t="shared" si="13"/>
        <v>625</v>
      </c>
      <c r="H27" s="58">
        <f t="shared" si="13"/>
        <v>750</v>
      </c>
      <c r="I27" s="158">
        <f t="shared" si="13"/>
        <v>765</v>
      </c>
      <c r="J27" s="144">
        <f t="shared" si="13"/>
        <v>735</v>
      </c>
    </row>
    <row r="28" spans="1:10" x14ac:dyDescent="0.2">
      <c r="A28" s="56" t="s">
        <v>181</v>
      </c>
      <c r="B28" s="57" t="s">
        <v>46</v>
      </c>
      <c r="C28" s="58">
        <f t="shared" ref="C28:I28" si="14">C13-SUM(C26:C27)</f>
        <v>18955</v>
      </c>
      <c r="D28" s="58">
        <f t="shared" si="14"/>
        <v>17510</v>
      </c>
      <c r="E28" s="58">
        <f t="shared" si="14"/>
        <v>17400</v>
      </c>
      <c r="F28" s="58">
        <f t="shared" si="14"/>
        <v>18395</v>
      </c>
      <c r="G28" s="58">
        <f t="shared" si="14"/>
        <v>14920</v>
      </c>
      <c r="H28" s="58">
        <f t="shared" si="14"/>
        <v>16645</v>
      </c>
      <c r="I28" s="158">
        <f t="shared" si="14"/>
        <v>16585</v>
      </c>
      <c r="J28" s="144">
        <f t="shared" ref="J28" si="15">J13-SUM(J26:J27)</f>
        <v>15880</v>
      </c>
    </row>
    <row r="29" spans="1:10" ht="30" customHeight="1" x14ac:dyDescent="0.2">
      <c r="A29" s="57" t="s">
        <v>47</v>
      </c>
      <c r="B29" s="57" t="s">
        <v>22</v>
      </c>
      <c r="C29" s="109">
        <v>1100</v>
      </c>
      <c r="D29" s="109">
        <v>1070</v>
      </c>
      <c r="E29" s="109">
        <v>1070</v>
      </c>
      <c r="F29" s="109">
        <v>1065</v>
      </c>
      <c r="G29" s="58">
        <v>830</v>
      </c>
      <c r="H29" s="58">
        <v>860</v>
      </c>
      <c r="I29" s="144">
        <v>895</v>
      </c>
      <c r="J29" s="145">
        <v>875</v>
      </c>
    </row>
    <row r="30" spans="1:10" x14ac:dyDescent="0.2">
      <c r="A30" s="56" t="s">
        <v>47</v>
      </c>
      <c r="B30" s="57" t="s">
        <v>23</v>
      </c>
      <c r="C30" s="109">
        <v>1185</v>
      </c>
      <c r="D30" s="109">
        <v>1095</v>
      </c>
      <c r="E30" s="109">
        <v>1080</v>
      </c>
      <c r="F30" s="109">
        <v>1105</v>
      </c>
      <c r="G30" s="58">
        <v>845</v>
      </c>
      <c r="H30" s="58">
        <v>895</v>
      </c>
      <c r="I30" s="144">
        <v>840</v>
      </c>
      <c r="J30" s="145">
        <v>885</v>
      </c>
    </row>
    <row r="31" spans="1:10" x14ac:dyDescent="0.2">
      <c r="A31" s="56" t="s">
        <v>47</v>
      </c>
      <c r="B31" s="57" t="s">
        <v>29</v>
      </c>
      <c r="C31" s="109">
        <v>380</v>
      </c>
      <c r="D31" s="109">
        <v>365</v>
      </c>
      <c r="E31" s="109">
        <v>355</v>
      </c>
      <c r="F31" s="109">
        <v>350</v>
      </c>
      <c r="G31" s="58">
        <v>315</v>
      </c>
      <c r="H31" s="58">
        <v>335</v>
      </c>
      <c r="I31" s="144">
        <v>325</v>
      </c>
      <c r="J31" s="145">
        <v>330</v>
      </c>
    </row>
    <row r="32" spans="1:10" x14ac:dyDescent="0.2">
      <c r="A32" s="56" t="s">
        <v>47</v>
      </c>
      <c r="B32" s="57" t="s">
        <v>24</v>
      </c>
      <c r="C32" s="109">
        <v>305</v>
      </c>
      <c r="D32" s="109">
        <v>260</v>
      </c>
      <c r="E32" s="109">
        <v>270</v>
      </c>
      <c r="F32" s="109">
        <v>265</v>
      </c>
      <c r="G32" s="58">
        <v>210</v>
      </c>
      <c r="H32" s="58">
        <v>295</v>
      </c>
      <c r="I32" s="144">
        <v>265</v>
      </c>
      <c r="J32" s="145">
        <v>270</v>
      </c>
    </row>
    <row r="33" spans="1:10" x14ac:dyDescent="0.2">
      <c r="A33" s="56" t="s">
        <v>47</v>
      </c>
      <c r="B33" s="57" t="s">
        <v>25</v>
      </c>
      <c r="C33" s="109">
        <v>2695</v>
      </c>
      <c r="D33" s="109">
        <v>2405</v>
      </c>
      <c r="E33" s="109">
        <v>2550</v>
      </c>
      <c r="F33" s="109">
        <v>2590</v>
      </c>
      <c r="G33" s="58">
        <v>2010</v>
      </c>
      <c r="H33" s="58">
        <v>2220</v>
      </c>
      <c r="I33" s="144">
        <v>2270</v>
      </c>
      <c r="J33" s="145">
        <v>2105</v>
      </c>
    </row>
    <row r="34" spans="1:10" x14ac:dyDescent="0.2">
      <c r="A34" s="56" t="s">
        <v>47</v>
      </c>
      <c r="B34" s="57" t="s">
        <v>2</v>
      </c>
      <c r="C34" s="109">
        <v>135</v>
      </c>
      <c r="D34" s="109">
        <v>140</v>
      </c>
      <c r="E34" s="109">
        <v>130</v>
      </c>
      <c r="F34" s="109">
        <v>135</v>
      </c>
      <c r="G34" s="58">
        <v>125</v>
      </c>
      <c r="H34" s="58">
        <v>125</v>
      </c>
      <c r="I34" s="144">
        <v>140</v>
      </c>
      <c r="J34" s="145">
        <v>125</v>
      </c>
    </row>
    <row r="35" spans="1:10" x14ac:dyDescent="0.2">
      <c r="A35" s="56" t="s">
        <v>47</v>
      </c>
      <c r="B35" s="57" t="s">
        <v>3</v>
      </c>
      <c r="C35" s="109">
        <v>380</v>
      </c>
      <c r="D35" s="109">
        <v>340</v>
      </c>
      <c r="E35" s="109">
        <v>385</v>
      </c>
      <c r="F35" s="109">
        <v>365</v>
      </c>
      <c r="G35" s="58">
        <v>310</v>
      </c>
      <c r="H35" s="58">
        <v>375</v>
      </c>
      <c r="I35" s="144">
        <v>400</v>
      </c>
      <c r="J35" s="145">
        <v>365</v>
      </c>
    </row>
    <row r="36" spans="1:10" x14ac:dyDescent="0.2">
      <c r="A36" s="56" t="s">
        <v>47</v>
      </c>
      <c r="B36" s="57" t="s">
        <v>30</v>
      </c>
      <c r="C36" s="109">
        <v>485</v>
      </c>
      <c r="D36" s="109">
        <v>440</v>
      </c>
      <c r="E36" s="109">
        <v>480</v>
      </c>
      <c r="F36" s="109">
        <v>480</v>
      </c>
      <c r="G36" s="58">
        <v>455</v>
      </c>
      <c r="H36" s="58">
        <v>440</v>
      </c>
      <c r="I36" s="144">
        <v>490</v>
      </c>
      <c r="J36" s="145">
        <v>445</v>
      </c>
    </row>
    <row r="37" spans="1:10" x14ac:dyDescent="0.2">
      <c r="A37" s="56" t="s">
        <v>47</v>
      </c>
      <c r="B37" s="57" t="s">
        <v>4</v>
      </c>
      <c r="C37" s="109">
        <v>395</v>
      </c>
      <c r="D37" s="109">
        <v>415</v>
      </c>
      <c r="E37" s="109">
        <v>345</v>
      </c>
      <c r="F37" s="109">
        <v>370</v>
      </c>
      <c r="G37" s="58">
        <v>315</v>
      </c>
      <c r="H37" s="58">
        <v>375</v>
      </c>
      <c r="I37" s="144">
        <v>345</v>
      </c>
      <c r="J37" s="145">
        <v>330</v>
      </c>
    </row>
    <row r="38" spans="1:10" x14ac:dyDescent="0.2">
      <c r="A38" s="56" t="s">
        <v>47</v>
      </c>
      <c r="B38" s="57" t="s">
        <v>32</v>
      </c>
      <c r="C38" s="109">
        <v>380</v>
      </c>
      <c r="D38" s="109">
        <v>365</v>
      </c>
      <c r="E38" s="109">
        <v>355</v>
      </c>
      <c r="F38" s="109">
        <v>325</v>
      </c>
      <c r="G38" s="58">
        <v>305</v>
      </c>
      <c r="H38" s="58">
        <v>320</v>
      </c>
      <c r="I38" s="144">
        <v>345</v>
      </c>
      <c r="J38" s="145">
        <v>285</v>
      </c>
    </row>
    <row r="39" spans="1:10" x14ac:dyDescent="0.2">
      <c r="A39" s="56" t="s">
        <v>47</v>
      </c>
      <c r="B39" s="57" t="s">
        <v>5</v>
      </c>
      <c r="C39" s="109">
        <v>340</v>
      </c>
      <c r="D39" s="109">
        <v>355</v>
      </c>
      <c r="E39" s="109">
        <v>335</v>
      </c>
      <c r="F39" s="109">
        <v>355</v>
      </c>
      <c r="G39" s="58">
        <v>250</v>
      </c>
      <c r="H39" s="58">
        <v>320</v>
      </c>
      <c r="I39" s="144">
        <v>305</v>
      </c>
      <c r="J39" s="145">
        <v>330</v>
      </c>
    </row>
    <row r="40" spans="1:10" x14ac:dyDescent="0.2">
      <c r="A40" s="56" t="s">
        <v>47</v>
      </c>
      <c r="B40" s="57" t="s">
        <v>6</v>
      </c>
      <c r="C40" s="109">
        <v>365</v>
      </c>
      <c r="D40" s="109">
        <v>320</v>
      </c>
      <c r="E40" s="109">
        <v>345</v>
      </c>
      <c r="F40" s="109">
        <v>335</v>
      </c>
      <c r="G40" s="58">
        <v>280</v>
      </c>
      <c r="H40" s="58">
        <v>340</v>
      </c>
      <c r="I40" s="144">
        <v>325</v>
      </c>
      <c r="J40" s="145">
        <v>335</v>
      </c>
    </row>
    <row r="41" spans="1:10" x14ac:dyDescent="0.2">
      <c r="A41" s="56" t="s">
        <v>47</v>
      </c>
      <c r="B41" s="57" t="s">
        <v>8</v>
      </c>
      <c r="C41" s="109">
        <v>515</v>
      </c>
      <c r="D41" s="109">
        <v>475</v>
      </c>
      <c r="E41" s="109">
        <v>490</v>
      </c>
      <c r="F41" s="109">
        <v>490</v>
      </c>
      <c r="G41" s="58">
        <v>415</v>
      </c>
      <c r="H41" s="58">
        <v>450</v>
      </c>
      <c r="I41" s="144">
        <v>450</v>
      </c>
      <c r="J41" s="145">
        <v>430</v>
      </c>
    </row>
    <row r="42" spans="1:10" x14ac:dyDescent="0.2">
      <c r="A42" s="56" t="s">
        <v>47</v>
      </c>
      <c r="B42" s="57" t="s">
        <v>9</v>
      </c>
      <c r="C42" s="109">
        <v>1385</v>
      </c>
      <c r="D42" s="109">
        <v>1320</v>
      </c>
      <c r="E42" s="109">
        <v>1190</v>
      </c>
      <c r="F42" s="109">
        <v>1495</v>
      </c>
      <c r="G42" s="58">
        <v>950</v>
      </c>
      <c r="H42" s="58">
        <v>1100</v>
      </c>
      <c r="I42" s="144">
        <v>1020</v>
      </c>
      <c r="J42" s="145">
        <v>990</v>
      </c>
    </row>
    <row r="43" spans="1:10" x14ac:dyDescent="0.2">
      <c r="A43" s="56" t="s">
        <v>47</v>
      </c>
      <c r="B43" s="57" t="s">
        <v>33</v>
      </c>
      <c r="C43" s="109">
        <v>3110</v>
      </c>
      <c r="D43" s="109">
        <v>2920</v>
      </c>
      <c r="E43" s="109">
        <v>2870</v>
      </c>
      <c r="F43" s="109">
        <v>3275</v>
      </c>
      <c r="G43" s="58">
        <v>2585</v>
      </c>
      <c r="H43" s="58">
        <v>2960</v>
      </c>
      <c r="I43" s="144">
        <v>3050</v>
      </c>
      <c r="J43" s="145">
        <v>2755</v>
      </c>
    </row>
    <row r="44" spans="1:10" x14ac:dyDescent="0.2">
      <c r="A44" s="56" t="s">
        <v>47</v>
      </c>
      <c r="B44" s="57" t="s">
        <v>10</v>
      </c>
      <c r="C44" s="109">
        <v>910</v>
      </c>
      <c r="D44" s="109">
        <v>870</v>
      </c>
      <c r="E44" s="109">
        <v>785</v>
      </c>
      <c r="F44" s="109">
        <v>880</v>
      </c>
      <c r="G44" s="58">
        <v>705</v>
      </c>
      <c r="H44" s="58">
        <v>820</v>
      </c>
      <c r="I44" s="144">
        <v>810</v>
      </c>
      <c r="J44" s="145">
        <v>910</v>
      </c>
    </row>
    <row r="45" spans="1:10" x14ac:dyDescent="0.2">
      <c r="A45" s="56" t="s">
        <v>47</v>
      </c>
      <c r="B45" s="57" t="s">
        <v>11</v>
      </c>
      <c r="C45" s="109">
        <v>225</v>
      </c>
      <c r="D45" s="109">
        <v>210</v>
      </c>
      <c r="E45" s="109">
        <v>195</v>
      </c>
      <c r="F45" s="109">
        <v>210</v>
      </c>
      <c r="G45" s="58">
        <v>175</v>
      </c>
      <c r="H45" s="58">
        <v>160</v>
      </c>
      <c r="I45" s="144">
        <v>195</v>
      </c>
      <c r="J45" s="145">
        <v>170</v>
      </c>
    </row>
    <row r="46" spans="1:10" x14ac:dyDescent="0.2">
      <c r="A46" s="56" t="s">
        <v>47</v>
      </c>
      <c r="B46" s="57" t="s">
        <v>12</v>
      </c>
      <c r="C46" s="109">
        <v>300</v>
      </c>
      <c r="D46" s="109">
        <v>270</v>
      </c>
      <c r="E46" s="109">
        <v>270</v>
      </c>
      <c r="F46" s="109">
        <v>290</v>
      </c>
      <c r="G46" s="58">
        <v>255</v>
      </c>
      <c r="H46" s="58">
        <v>285</v>
      </c>
      <c r="I46" s="144">
        <v>315</v>
      </c>
      <c r="J46" s="145">
        <v>305</v>
      </c>
    </row>
    <row r="47" spans="1:10" x14ac:dyDescent="0.2">
      <c r="A47" s="56" t="s">
        <v>47</v>
      </c>
      <c r="B47" s="57" t="s">
        <v>13</v>
      </c>
      <c r="C47" s="109">
        <v>275</v>
      </c>
      <c r="D47" s="109">
        <v>310</v>
      </c>
      <c r="E47" s="109">
        <v>290</v>
      </c>
      <c r="F47" s="109">
        <v>260</v>
      </c>
      <c r="G47" s="58">
        <v>210</v>
      </c>
      <c r="H47" s="58">
        <v>225</v>
      </c>
      <c r="I47" s="144">
        <v>240</v>
      </c>
      <c r="J47" s="145">
        <v>265</v>
      </c>
    </row>
    <row r="48" spans="1:10" x14ac:dyDescent="0.2">
      <c r="A48" s="56" t="s">
        <v>47</v>
      </c>
      <c r="B48" s="57" t="s">
        <v>7</v>
      </c>
      <c r="C48" s="109">
        <v>80</v>
      </c>
      <c r="D48" s="109">
        <v>85</v>
      </c>
      <c r="E48" s="109">
        <v>70</v>
      </c>
      <c r="F48" s="109">
        <v>75</v>
      </c>
      <c r="G48" s="58">
        <v>65</v>
      </c>
      <c r="H48" s="58">
        <v>50</v>
      </c>
      <c r="I48" s="144">
        <v>70</v>
      </c>
      <c r="J48" s="145">
        <v>80</v>
      </c>
    </row>
    <row r="49" spans="1:10" x14ac:dyDescent="0.2">
      <c r="A49" s="56" t="s">
        <v>47</v>
      </c>
      <c r="B49" s="57" t="s">
        <v>14</v>
      </c>
      <c r="C49" s="109">
        <v>470</v>
      </c>
      <c r="D49" s="109">
        <v>395</v>
      </c>
      <c r="E49" s="109">
        <v>350</v>
      </c>
      <c r="F49" s="109">
        <v>415</v>
      </c>
      <c r="G49" s="58">
        <v>315</v>
      </c>
      <c r="H49" s="58">
        <v>345</v>
      </c>
      <c r="I49" s="144">
        <v>335</v>
      </c>
      <c r="J49" s="145">
        <v>335</v>
      </c>
    </row>
    <row r="50" spans="1:10" x14ac:dyDescent="0.2">
      <c r="A50" s="56" t="s">
        <v>47</v>
      </c>
      <c r="B50" s="57" t="s">
        <v>31</v>
      </c>
      <c r="C50" s="109">
        <v>1245</v>
      </c>
      <c r="D50" s="109">
        <v>1100</v>
      </c>
      <c r="E50" s="109">
        <v>1075</v>
      </c>
      <c r="F50" s="109">
        <v>1155</v>
      </c>
      <c r="G50" s="58">
        <v>980</v>
      </c>
      <c r="H50" s="58">
        <v>1170</v>
      </c>
      <c r="I50" s="144">
        <v>1140</v>
      </c>
      <c r="J50" s="145">
        <v>1075</v>
      </c>
    </row>
    <row r="51" spans="1:10" x14ac:dyDescent="0.2">
      <c r="A51" s="56" t="s">
        <v>47</v>
      </c>
      <c r="B51" s="57" t="s">
        <v>15</v>
      </c>
      <c r="C51" s="109">
        <v>80</v>
      </c>
      <c r="D51" s="109">
        <v>75</v>
      </c>
      <c r="E51" s="109">
        <v>55</v>
      </c>
      <c r="F51" s="109">
        <v>50</v>
      </c>
      <c r="G51" s="58">
        <v>45</v>
      </c>
      <c r="H51" s="58">
        <v>50</v>
      </c>
      <c r="I51" s="144">
        <v>60</v>
      </c>
      <c r="J51" s="145">
        <v>60</v>
      </c>
    </row>
    <row r="52" spans="1:10" x14ac:dyDescent="0.2">
      <c r="A52" s="56" t="s">
        <v>47</v>
      </c>
      <c r="B52" s="57" t="s">
        <v>16</v>
      </c>
      <c r="C52" s="109">
        <v>535</v>
      </c>
      <c r="D52" s="109">
        <v>515</v>
      </c>
      <c r="E52" s="109">
        <v>465</v>
      </c>
      <c r="F52" s="109">
        <v>465</v>
      </c>
      <c r="G52" s="58">
        <v>430</v>
      </c>
      <c r="H52" s="58">
        <v>530</v>
      </c>
      <c r="I52" s="144">
        <v>510</v>
      </c>
      <c r="J52" s="145">
        <v>515</v>
      </c>
    </row>
    <row r="53" spans="1:10" x14ac:dyDescent="0.2">
      <c r="A53" s="56" t="s">
        <v>47</v>
      </c>
      <c r="B53" s="57" t="s">
        <v>26</v>
      </c>
      <c r="C53" s="109">
        <v>690</v>
      </c>
      <c r="D53" s="109">
        <v>620</v>
      </c>
      <c r="E53" s="109">
        <v>595</v>
      </c>
      <c r="F53" s="109">
        <v>660</v>
      </c>
      <c r="G53" s="58">
        <v>545</v>
      </c>
      <c r="H53" s="58">
        <v>640</v>
      </c>
      <c r="I53" s="144">
        <v>570</v>
      </c>
      <c r="J53" s="145">
        <v>595</v>
      </c>
    </row>
    <row r="54" spans="1:10" x14ac:dyDescent="0.2">
      <c r="A54" s="56" t="s">
        <v>47</v>
      </c>
      <c r="B54" s="57" t="s">
        <v>17</v>
      </c>
      <c r="C54" s="109">
        <v>370</v>
      </c>
      <c r="D54" s="109">
        <v>315</v>
      </c>
      <c r="E54" s="109">
        <v>295</v>
      </c>
      <c r="F54" s="109">
        <v>335</v>
      </c>
      <c r="G54" s="58">
        <v>315</v>
      </c>
      <c r="H54" s="58">
        <v>375</v>
      </c>
      <c r="I54" s="144">
        <v>365</v>
      </c>
      <c r="J54" s="145">
        <v>370</v>
      </c>
    </row>
    <row r="55" spans="1:10" x14ac:dyDescent="0.2">
      <c r="A55" s="56" t="s">
        <v>47</v>
      </c>
      <c r="B55" s="57" t="s">
        <v>18</v>
      </c>
      <c r="C55" s="109">
        <v>85</v>
      </c>
      <c r="D55" s="109">
        <v>80</v>
      </c>
      <c r="E55" s="109">
        <v>70</v>
      </c>
      <c r="F55" s="109">
        <v>55</v>
      </c>
      <c r="G55" s="58">
        <v>70</v>
      </c>
      <c r="H55" s="58">
        <v>75</v>
      </c>
      <c r="I55" s="144">
        <v>75</v>
      </c>
      <c r="J55" s="145">
        <v>75</v>
      </c>
    </row>
    <row r="56" spans="1:10" x14ac:dyDescent="0.2">
      <c r="A56" s="56" t="s">
        <v>47</v>
      </c>
      <c r="B56" s="57" t="s">
        <v>19</v>
      </c>
      <c r="C56" s="109">
        <v>445</v>
      </c>
      <c r="D56" s="109">
        <v>365</v>
      </c>
      <c r="E56" s="109">
        <v>350</v>
      </c>
      <c r="F56" s="109">
        <v>360</v>
      </c>
      <c r="G56" s="58">
        <v>375</v>
      </c>
      <c r="H56" s="58">
        <v>360</v>
      </c>
      <c r="I56" s="144">
        <v>325</v>
      </c>
      <c r="J56" s="145">
        <v>365</v>
      </c>
    </row>
    <row r="57" spans="1:10" x14ac:dyDescent="0.2">
      <c r="A57" s="56" t="s">
        <v>47</v>
      </c>
      <c r="B57" s="57" t="s">
        <v>20</v>
      </c>
      <c r="C57" s="109">
        <v>1200</v>
      </c>
      <c r="D57" s="109">
        <v>1130</v>
      </c>
      <c r="E57" s="109">
        <v>1135</v>
      </c>
      <c r="F57" s="109">
        <v>1155</v>
      </c>
      <c r="G57" s="58">
        <v>1010</v>
      </c>
      <c r="H57" s="58">
        <v>1170</v>
      </c>
      <c r="I57" s="144">
        <v>1175</v>
      </c>
      <c r="J57" s="145">
        <v>1115</v>
      </c>
    </row>
    <row r="58" spans="1:10" x14ac:dyDescent="0.2">
      <c r="A58" s="56" t="s">
        <v>47</v>
      </c>
      <c r="B58" s="57" t="s">
        <v>21</v>
      </c>
      <c r="C58" s="109">
        <v>385</v>
      </c>
      <c r="D58" s="109">
        <v>365</v>
      </c>
      <c r="E58" s="109">
        <v>445</v>
      </c>
      <c r="F58" s="109">
        <v>375</v>
      </c>
      <c r="G58" s="58">
        <v>340</v>
      </c>
      <c r="H58" s="58">
        <v>345</v>
      </c>
      <c r="I58" s="144">
        <v>350</v>
      </c>
      <c r="J58" s="145">
        <v>360</v>
      </c>
    </row>
    <row r="59" spans="1:10" x14ac:dyDescent="0.2">
      <c r="A59" s="56" t="s">
        <v>47</v>
      </c>
      <c r="B59" s="57" t="s">
        <v>27</v>
      </c>
      <c r="C59" s="109">
        <v>290</v>
      </c>
      <c r="D59" s="109">
        <v>255</v>
      </c>
      <c r="E59" s="109">
        <v>265</v>
      </c>
      <c r="F59" s="109">
        <v>320</v>
      </c>
      <c r="G59" s="58">
        <v>245</v>
      </c>
      <c r="H59" s="58">
        <v>225</v>
      </c>
      <c r="I59" s="144">
        <v>250</v>
      </c>
      <c r="J59" s="145">
        <v>230</v>
      </c>
    </row>
    <row r="60" spans="1:10" x14ac:dyDescent="0.2">
      <c r="A60" s="56" t="s">
        <v>47</v>
      </c>
      <c r="B60" s="57" t="s">
        <v>28</v>
      </c>
      <c r="C60" s="109">
        <v>700</v>
      </c>
      <c r="D60" s="109">
        <v>600</v>
      </c>
      <c r="E60" s="109">
        <v>660</v>
      </c>
      <c r="F60" s="109">
        <v>620</v>
      </c>
      <c r="G60" s="58">
        <v>570</v>
      </c>
      <c r="H60" s="58">
        <v>675</v>
      </c>
      <c r="I60" s="144">
        <v>620</v>
      </c>
      <c r="J60" s="145">
        <v>595</v>
      </c>
    </row>
    <row r="61" spans="1:10" ht="29.1" customHeight="1" x14ac:dyDescent="0.2">
      <c r="A61" s="57" t="s">
        <v>182</v>
      </c>
      <c r="B61" s="57" t="s">
        <v>54</v>
      </c>
      <c r="C61" s="109">
        <v>1985</v>
      </c>
      <c r="D61" s="109">
        <v>1910</v>
      </c>
      <c r="E61" s="109">
        <v>1870</v>
      </c>
      <c r="F61" s="109">
        <v>1880</v>
      </c>
      <c r="G61" s="58">
        <v>1445</v>
      </c>
      <c r="H61" s="58">
        <v>1510</v>
      </c>
      <c r="I61" s="144">
        <v>1485</v>
      </c>
      <c r="J61" s="144">
        <v>1505</v>
      </c>
    </row>
    <row r="62" spans="1:10" x14ac:dyDescent="0.2">
      <c r="A62" s="56" t="s">
        <v>182</v>
      </c>
      <c r="B62" s="56" t="s">
        <v>55</v>
      </c>
      <c r="C62" s="109">
        <v>100</v>
      </c>
      <c r="D62" s="109">
        <v>90</v>
      </c>
      <c r="E62" s="109">
        <v>95</v>
      </c>
      <c r="F62" s="109">
        <v>100</v>
      </c>
      <c r="G62" s="58">
        <v>80</v>
      </c>
      <c r="H62" s="58">
        <v>70</v>
      </c>
      <c r="I62" s="144">
        <v>45</v>
      </c>
      <c r="J62" s="144">
        <v>75</v>
      </c>
    </row>
    <row r="63" spans="1:10" x14ac:dyDescent="0.2">
      <c r="A63" s="56" t="s">
        <v>182</v>
      </c>
      <c r="B63" s="56" t="s">
        <v>56</v>
      </c>
      <c r="C63" s="109">
        <v>155</v>
      </c>
      <c r="D63" s="109">
        <v>120</v>
      </c>
      <c r="E63" s="109">
        <v>155</v>
      </c>
      <c r="F63" s="109">
        <v>140</v>
      </c>
      <c r="G63" s="58">
        <v>145</v>
      </c>
      <c r="H63" s="58">
        <v>130</v>
      </c>
      <c r="I63" s="144">
        <v>115</v>
      </c>
      <c r="J63" s="144">
        <v>110</v>
      </c>
    </row>
    <row r="64" spans="1:10" x14ac:dyDescent="0.2">
      <c r="A64" s="56" t="s">
        <v>182</v>
      </c>
      <c r="B64" s="56" t="s">
        <v>57</v>
      </c>
      <c r="C64" s="109">
        <v>75</v>
      </c>
      <c r="D64" s="109">
        <v>50</v>
      </c>
      <c r="E64" s="109">
        <v>55</v>
      </c>
      <c r="F64" s="109">
        <v>65</v>
      </c>
      <c r="G64" s="58">
        <v>40</v>
      </c>
      <c r="H64" s="58">
        <v>55</v>
      </c>
      <c r="I64" s="144">
        <v>60</v>
      </c>
      <c r="J64" s="144">
        <v>70</v>
      </c>
    </row>
    <row r="65" spans="1:10" x14ac:dyDescent="0.2">
      <c r="A65" s="56" t="s">
        <v>182</v>
      </c>
      <c r="B65" s="56" t="s">
        <v>58</v>
      </c>
      <c r="C65" s="109">
        <v>530</v>
      </c>
      <c r="D65" s="109">
        <v>465</v>
      </c>
      <c r="E65" s="109">
        <v>420</v>
      </c>
      <c r="F65" s="109">
        <v>450</v>
      </c>
      <c r="G65" s="58">
        <v>435</v>
      </c>
      <c r="H65" s="58">
        <v>430</v>
      </c>
      <c r="I65" s="144">
        <v>395</v>
      </c>
      <c r="J65" s="144">
        <v>435</v>
      </c>
    </row>
    <row r="66" spans="1:10" x14ac:dyDescent="0.2">
      <c r="A66" s="56" t="s">
        <v>182</v>
      </c>
      <c r="B66" s="56" t="s">
        <v>96</v>
      </c>
      <c r="C66" s="109">
        <v>65</v>
      </c>
      <c r="D66" s="109">
        <v>55</v>
      </c>
      <c r="E66" s="109">
        <v>40</v>
      </c>
      <c r="F66" s="109">
        <v>45</v>
      </c>
      <c r="G66" s="58">
        <v>45</v>
      </c>
      <c r="H66" s="58">
        <v>65</v>
      </c>
      <c r="I66" s="144">
        <v>55</v>
      </c>
      <c r="J66" s="144">
        <v>65</v>
      </c>
    </row>
    <row r="67" spans="1:10" x14ac:dyDescent="0.2">
      <c r="A67" s="56" t="s">
        <v>182</v>
      </c>
      <c r="B67" s="56" t="s">
        <v>59</v>
      </c>
      <c r="C67" s="109">
        <v>25</v>
      </c>
      <c r="D67" s="109">
        <v>30</v>
      </c>
      <c r="E67" s="109">
        <v>20</v>
      </c>
      <c r="F67" s="109">
        <v>35</v>
      </c>
      <c r="G67" s="58">
        <v>15</v>
      </c>
      <c r="H67" s="58">
        <v>35</v>
      </c>
      <c r="I67" s="144">
        <v>35</v>
      </c>
      <c r="J67" s="144">
        <v>30</v>
      </c>
    </row>
    <row r="68" spans="1:10" x14ac:dyDescent="0.2">
      <c r="A68" s="56" t="s">
        <v>182</v>
      </c>
      <c r="B68" s="56" t="s">
        <v>60</v>
      </c>
      <c r="C68" s="109">
        <v>15</v>
      </c>
      <c r="D68" s="109">
        <v>20</v>
      </c>
      <c r="E68" s="109">
        <v>15</v>
      </c>
      <c r="F68" s="109">
        <v>15</v>
      </c>
      <c r="G68" s="58">
        <v>20</v>
      </c>
      <c r="H68" s="58">
        <v>20</v>
      </c>
      <c r="I68" s="144">
        <v>10</v>
      </c>
      <c r="J68" s="144">
        <v>10</v>
      </c>
    </row>
    <row r="69" spans="1:10" x14ac:dyDescent="0.2">
      <c r="A69" s="56" t="s">
        <v>182</v>
      </c>
      <c r="B69" s="56" t="s">
        <v>97</v>
      </c>
      <c r="C69" s="109">
        <v>30</v>
      </c>
      <c r="D69" s="109">
        <v>30</v>
      </c>
      <c r="E69" s="109">
        <v>40</v>
      </c>
      <c r="F69" s="109">
        <v>30</v>
      </c>
      <c r="G69" s="58">
        <v>30</v>
      </c>
      <c r="H69" s="58">
        <v>35</v>
      </c>
      <c r="I69" s="144">
        <v>25</v>
      </c>
      <c r="J69" s="144">
        <v>35</v>
      </c>
    </row>
    <row r="70" spans="1:10" x14ac:dyDescent="0.2">
      <c r="A70" s="56" t="s">
        <v>182</v>
      </c>
      <c r="B70" s="56" t="s">
        <v>61</v>
      </c>
      <c r="C70" s="109">
        <v>45</v>
      </c>
      <c r="D70" s="109">
        <v>45</v>
      </c>
      <c r="E70" s="109">
        <v>45</v>
      </c>
      <c r="F70" s="109">
        <v>40</v>
      </c>
      <c r="G70" s="58">
        <v>45</v>
      </c>
      <c r="H70" s="58">
        <v>50</v>
      </c>
      <c r="I70" s="144">
        <v>40</v>
      </c>
      <c r="J70" s="144">
        <v>45</v>
      </c>
    </row>
    <row r="71" spans="1:10" x14ac:dyDescent="0.2">
      <c r="A71" s="56" t="s">
        <v>182</v>
      </c>
      <c r="B71" s="56" t="s">
        <v>62</v>
      </c>
      <c r="C71" s="109">
        <v>210</v>
      </c>
      <c r="D71" s="109">
        <v>200</v>
      </c>
      <c r="E71" s="109">
        <v>195</v>
      </c>
      <c r="F71" s="109">
        <v>250</v>
      </c>
      <c r="G71" s="58">
        <v>165</v>
      </c>
      <c r="H71" s="58">
        <v>175</v>
      </c>
      <c r="I71" s="144">
        <v>160</v>
      </c>
      <c r="J71" s="144">
        <v>170</v>
      </c>
    </row>
    <row r="72" spans="1:10" x14ac:dyDescent="0.2">
      <c r="A72" s="56" t="s">
        <v>182</v>
      </c>
      <c r="B72" s="56" t="s">
        <v>63</v>
      </c>
      <c r="C72" s="109">
        <v>250</v>
      </c>
      <c r="D72" s="109">
        <v>205</v>
      </c>
      <c r="E72" s="109">
        <v>245</v>
      </c>
      <c r="F72" s="109">
        <v>235</v>
      </c>
      <c r="G72" s="58">
        <v>195</v>
      </c>
      <c r="H72" s="58">
        <v>230</v>
      </c>
      <c r="I72" s="144">
        <v>265</v>
      </c>
      <c r="J72" s="144">
        <v>235</v>
      </c>
    </row>
    <row r="73" spans="1:10" x14ac:dyDescent="0.2">
      <c r="A73" s="56" t="s">
        <v>182</v>
      </c>
      <c r="B73" s="56" t="s">
        <v>64</v>
      </c>
      <c r="C73" s="109">
        <v>755</v>
      </c>
      <c r="D73" s="109">
        <v>720</v>
      </c>
      <c r="E73" s="109">
        <v>735</v>
      </c>
      <c r="F73" s="109">
        <v>735</v>
      </c>
      <c r="G73" s="58">
        <v>665</v>
      </c>
      <c r="H73" s="58">
        <v>710</v>
      </c>
      <c r="I73" s="144">
        <v>750</v>
      </c>
      <c r="J73" s="144">
        <v>710</v>
      </c>
    </row>
    <row r="74" spans="1:10" x14ac:dyDescent="0.2">
      <c r="A74" s="56" t="s">
        <v>182</v>
      </c>
      <c r="B74" s="56" t="s">
        <v>65</v>
      </c>
      <c r="C74" s="109">
        <v>1215</v>
      </c>
      <c r="D74" s="109">
        <v>1130</v>
      </c>
      <c r="E74" s="109">
        <v>985</v>
      </c>
      <c r="F74" s="109">
        <v>1280</v>
      </c>
      <c r="G74" s="58">
        <v>800</v>
      </c>
      <c r="H74" s="58">
        <v>905</v>
      </c>
      <c r="I74" s="144">
        <v>825</v>
      </c>
      <c r="J74" s="144">
        <v>835</v>
      </c>
    </row>
    <row r="75" spans="1:10" x14ac:dyDescent="0.2">
      <c r="A75" s="56" t="s">
        <v>182</v>
      </c>
      <c r="B75" s="56" t="s">
        <v>66</v>
      </c>
      <c r="C75" s="109">
        <v>60</v>
      </c>
      <c r="D75" s="109">
        <v>40</v>
      </c>
      <c r="E75" s="109">
        <v>50</v>
      </c>
      <c r="F75" s="109">
        <v>55</v>
      </c>
      <c r="G75" s="58">
        <v>40</v>
      </c>
      <c r="H75" s="58">
        <v>55</v>
      </c>
      <c r="I75" s="144">
        <v>65</v>
      </c>
      <c r="J75" s="144">
        <v>55</v>
      </c>
    </row>
    <row r="76" spans="1:10" x14ac:dyDescent="0.2">
      <c r="A76" s="56" t="s">
        <v>182</v>
      </c>
      <c r="B76" s="56" t="s">
        <v>67</v>
      </c>
      <c r="C76" s="109">
        <v>3360</v>
      </c>
      <c r="D76" s="109">
        <v>3050</v>
      </c>
      <c r="E76" s="109">
        <v>3170</v>
      </c>
      <c r="F76" s="109">
        <v>3260</v>
      </c>
      <c r="G76" s="58">
        <v>2525</v>
      </c>
      <c r="H76" s="58">
        <v>2845</v>
      </c>
      <c r="I76" s="144">
        <v>2905</v>
      </c>
      <c r="J76" s="144">
        <v>2750</v>
      </c>
    </row>
    <row r="77" spans="1:10" x14ac:dyDescent="0.2">
      <c r="A77" s="56" t="s">
        <v>182</v>
      </c>
      <c r="B77" s="56" t="s">
        <v>68</v>
      </c>
      <c r="C77" s="109">
        <v>300</v>
      </c>
      <c r="D77" s="109">
        <v>325</v>
      </c>
      <c r="E77" s="109">
        <v>300</v>
      </c>
      <c r="F77" s="109">
        <v>280</v>
      </c>
      <c r="G77" s="58">
        <v>225</v>
      </c>
      <c r="H77" s="58">
        <v>240</v>
      </c>
      <c r="I77" s="144">
        <v>260</v>
      </c>
      <c r="J77" s="144">
        <v>275</v>
      </c>
    </row>
    <row r="78" spans="1:10" x14ac:dyDescent="0.2">
      <c r="A78" s="56" t="s">
        <v>182</v>
      </c>
      <c r="B78" s="56" t="s">
        <v>69</v>
      </c>
      <c r="C78" s="109">
        <v>980</v>
      </c>
      <c r="D78" s="109">
        <v>945</v>
      </c>
      <c r="E78" s="109">
        <v>1010</v>
      </c>
      <c r="F78" s="109">
        <v>940</v>
      </c>
      <c r="G78" s="58">
        <v>840</v>
      </c>
      <c r="H78" s="58">
        <v>875</v>
      </c>
      <c r="I78" s="144">
        <v>885</v>
      </c>
      <c r="J78" s="144">
        <v>865</v>
      </c>
    </row>
    <row r="79" spans="1:10" x14ac:dyDescent="0.2">
      <c r="A79" s="56" t="s">
        <v>182</v>
      </c>
      <c r="B79" s="56" t="s">
        <v>70</v>
      </c>
      <c r="C79" s="109">
        <v>60</v>
      </c>
      <c r="D79" s="109">
        <v>80</v>
      </c>
      <c r="E79" s="109">
        <v>75</v>
      </c>
      <c r="F79" s="109">
        <v>60</v>
      </c>
      <c r="G79" s="58">
        <v>70</v>
      </c>
      <c r="H79" s="58">
        <v>90</v>
      </c>
      <c r="I79" s="144">
        <v>95</v>
      </c>
      <c r="J79" s="144">
        <v>100</v>
      </c>
    </row>
    <row r="80" spans="1:10" x14ac:dyDescent="0.2">
      <c r="A80" s="56" t="s">
        <v>182</v>
      </c>
      <c r="B80" s="56" t="s">
        <v>71</v>
      </c>
      <c r="C80" s="109">
        <v>55</v>
      </c>
      <c r="D80" s="109">
        <v>55</v>
      </c>
      <c r="E80" s="109">
        <v>70</v>
      </c>
      <c r="F80" s="109">
        <v>65</v>
      </c>
      <c r="G80" s="58">
        <v>65</v>
      </c>
      <c r="H80" s="58">
        <v>50</v>
      </c>
      <c r="I80" s="144">
        <v>65</v>
      </c>
      <c r="J80" s="144">
        <v>75</v>
      </c>
    </row>
    <row r="81" spans="1:10" x14ac:dyDescent="0.2">
      <c r="A81" s="56" t="s">
        <v>182</v>
      </c>
      <c r="B81" s="56" t="s">
        <v>72</v>
      </c>
      <c r="C81" s="109">
        <v>215</v>
      </c>
      <c r="D81" s="109">
        <v>170</v>
      </c>
      <c r="E81" s="109">
        <v>165</v>
      </c>
      <c r="F81" s="109">
        <v>195</v>
      </c>
      <c r="G81" s="58">
        <v>170</v>
      </c>
      <c r="H81" s="58">
        <v>195</v>
      </c>
      <c r="I81" s="144">
        <v>180</v>
      </c>
      <c r="J81" s="144">
        <v>190</v>
      </c>
    </row>
    <row r="82" spans="1:10" x14ac:dyDescent="0.2">
      <c r="A82" s="56" t="s">
        <v>182</v>
      </c>
      <c r="B82" s="56" t="s">
        <v>73</v>
      </c>
      <c r="C82" s="109">
        <v>20</v>
      </c>
      <c r="D82" s="109">
        <v>20</v>
      </c>
      <c r="E82" s="109">
        <v>15</v>
      </c>
      <c r="F82" s="109">
        <v>20</v>
      </c>
      <c r="G82" s="58">
        <v>20</v>
      </c>
      <c r="H82" s="58">
        <v>25</v>
      </c>
      <c r="I82" s="144">
        <v>20</v>
      </c>
      <c r="J82" s="144">
        <v>20</v>
      </c>
    </row>
    <row r="83" spans="1:10" x14ac:dyDescent="0.2">
      <c r="A83" s="56" t="s">
        <v>182</v>
      </c>
      <c r="B83" s="56" t="s">
        <v>53</v>
      </c>
      <c r="C83" s="109">
        <v>5605</v>
      </c>
      <c r="D83" s="109">
        <v>5195</v>
      </c>
      <c r="E83" s="109">
        <v>5115</v>
      </c>
      <c r="F83" s="109">
        <v>5570</v>
      </c>
      <c r="G83" s="58">
        <v>4590</v>
      </c>
      <c r="H83" s="58">
        <v>5255</v>
      </c>
      <c r="I83" s="144">
        <v>5280</v>
      </c>
      <c r="J83" s="144">
        <v>4905</v>
      </c>
    </row>
    <row r="84" spans="1:10" x14ac:dyDescent="0.2">
      <c r="A84" s="56" t="s">
        <v>182</v>
      </c>
      <c r="B84" s="56" t="s">
        <v>74</v>
      </c>
      <c r="C84" s="109">
        <v>30</v>
      </c>
      <c r="D84" s="109">
        <v>50</v>
      </c>
      <c r="E84" s="109">
        <v>25</v>
      </c>
      <c r="F84" s="109">
        <v>45</v>
      </c>
      <c r="G84" s="58">
        <v>30</v>
      </c>
      <c r="H84" s="58">
        <v>30</v>
      </c>
      <c r="I84" s="144">
        <v>40</v>
      </c>
      <c r="J84" s="144">
        <v>30</v>
      </c>
    </row>
    <row r="85" spans="1:10" x14ac:dyDescent="0.2">
      <c r="A85" s="56" t="s">
        <v>182</v>
      </c>
      <c r="B85" s="56" t="s">
        <v>75</v>
      </c>
      <c r="C85" s="109">
        <v>235</v>
      </c>
      <c r="D85" s="109">
        <v>215</v>
      </c>
      <c r="E85" s="109">
        <v>200</v>
      </c>
      <c r="F85" s="109">
        <v>215</v>
      </c>
      <c r="G85" s="58">
        <v>175</v>
      </c>
      <c r="H85" s="58">
        <v>165</v>
      </c>
      <c r="I85" s="144">
        <v>200</v>
      </c>
      <c r="J85" s="144">
        <v>170</v>
      </c>
    </row>
    <row r="86" spans="1:10" x14ac:dyDescent="0.2">
      <c r="A86" s="56" t="s">
        <v>182</v>
      </c>
      <c r="B86" s="56" t="s">
        <v>76</v>
      </c>
      <c r="C86" s="109">
        <v>80</v>
      </c>
      <c r="D86" s="109">
        <v>80</v>
      </c>
      <c r="E86" s="109">
        <v>75</v>
      </c>
      <c r="F86" s="109">
        <v>80</v>
      </c>
      <c r="G86" s="58">
        <v>95</v>
      </c>
      <c r="H86" s="58">
        <v>95</v>
      </c>
      <c r="I86" s="144">
        <v>115</v>
      </c>
      <c r="J86" s="144">
        <v>105</v>
      </c>
    </row>
    <row r="87" spans="1:10" x14ac:dyDescent="0.2">
      <c r="A87" s="56" t="s">
        <v>182</v>
      </c>
      <c r="B87" s="56" t="s">
        <v>77</v>
      </c>
      <c r="C87" s="109">
        <v>445</v>
      </c>
      <c r="D87" s="109">
        <v>430</v>
      </c>
      <c r="E87" s="109">
        <v>380</v>
      </c>
      <c r="F87" s="109">
        <v>405</v>
      </c>
      <c r="G87" s="58">
        <v>365</v>
      </c>
      <c r="H87" s="58">
        <v>410</v>
      </c>
      <c r="I87" s="144">
        <v>410</v>
      </c>
      <c r="J87" s="144">
        <v>460</v>
      </c>
    </row>
    <row r="88" spans="1:10" x14ac:dyDescent="0.2">
      <c r="A88" s="56" t="s">
        <v>182</v>
      </c>
      <c r="B88" s="56" t="s">
        <v>78</v>
      </c>
      <c r="C88" s="109">
        <v>700</v>
      </c>
      <c r="D88" s="109">
        <v>640</v>
      </c>
      <c r="E88" s="109">
        <v>565</v>
      </c>
      <c r="F88" s="109">
        <v>640</v>
      </c>
      <c r="G88" s="58">
        <v>525</v>
      </c>
      <c r="H88" s="58">
        <v>580</v>
      </c>
      <c r="I88" s="144">
        <v>545</v>
      </c>
      <c r="J88" s="144">
        <v>530</v>
      </c>
    </row>
    <row r="89" spans="1:10" x14ac:dyDescent="0.2">
      <c r="A89" s="56" t="s">
        <v>182</v>
      </c>
      <c r="B89" s="56" t="s">
        <v>79</v>
      </c>
      <c r="C89" s="109">
        <v>750</v>
      </c>
      <c r="D89" s="109">
        <v>645</v>
      </c>
      <c r="E89" s="109">
        <v>715</v>
      </c>
      <c r="F89" s="109">
        <v>680</v>
      </c>
      <c r="G89" s="58">
        <v>600</v>
      </c>
      <c r="H89" s="58">
        <v>730</v>
      </c>
      <c r="I89" s="144">
        <v>665</v>
      </c>
      <c r="J89" s="144">
        <v>645</v>
      </c>
    </row>
    <row r="90" spans="1:10" x14ac:dyDescent="0.2">
      <c r="A90" s="56" t="s">
        <v>182</v>
      </c>
      <c r="B90" s="56" t="s">
        <v>80</v>
      </c>
      <c r="C90" s="109">
        <v>25</v>
      </c>
      <c r="D90" s="109">
        <v>30</v>
      </c>
      <c r="E90" s="109">
        <v>20</v>
      </c>
      <c r="F90" s="109">
        <v>30</v>
      </c>
      <c r="G90" s="58">
        <v>25</v>
      </c>
      <c r="H90" s="58">
        <v>30</v>
      </c>
      <c r="I90" s="144">
        <v>30</v>
      </c>
      <c r="J90" s="144">
        <v>35</v>
      </c>
    </row>
    <row r="91" spans="1:10" x14ac:dyDescent="0.2">
      <c r="A91" s="56" t="s">
        <v>182</v>
      </c>
      <c r="B91" s="56" t="s">
        <v>81</v>
      </c>
      <c r="C91" s="109">
        <v>1610</v>
      </c>
      <c r="D91" s="109">
        <v>1445</v>
      </c>
      <c r="E91" s="109">
        <v>1460</v>
      </c>
      <c r="F91" s="109">
        <v>1520</v>
      </c>
      <c r="G91" s="58">
        <v>1290</v>
      </c>
      <c r="H91" s="58">
        <v>1510</v>
      </c>
      <c r="I91" s="144">
        <v>1525</v>
      </c>
      <c r="J91" s="144">
        <v>1445</v>
      </c>
    </row>
    <row r="92" spans="1:10" x14ac:dyDescent="0.2">
      <c r="A92" s="56" t="s">
        <v>182</v>
      </c>
      <c r="B92" s="56" t="s">
        <v>82</v>
      </c>
      <c r="C92" s="109">
        <v>35</v>
      </c>
      <c r="D92" s="109">
        <v>30</v>
      </c>
      <c r="E92" s="109">
        <v>45</v>
      </c>
      <c r="F92" s="109">
        <v>35</v>
      </c>
      <c r="G92" s="58">
        <v>25</v>
      </c>
      <c r="H92" s="58">
        <v>45</v>
      </c>
      <c r="I92" s="144">
        <v>35</v>
      </c>
      <c r="J92" s="144">
        <v>40</v>
      </c>
    </row>
    <row r="93" spans="1:10" x14ac:dyDescent="0.2">
      <c r="A93" s="56" t="s">
        <v>182</v>
      </c>
      <c r="B93" s="56" t="s">
        <v>83</v>
      </c>
      <c r="C93" s="109">
        <v>30</v>
      </c>
      <c r="D93" s="109">
        <v>25</v>
      </c>
      <c r="E93" s="109">
        <v>30</v>
      </c>
      <c r="F93" s="109">
        <v>30</v>
      </c>
      <c r="G93" s="58">
        <v>25</v>
      </c>
      <c r="H93" s="58">
        <v>30</v>
      </c>
      <c r="I93" s="144">
        <v>35</v>
      </c>
      <c r="J93" s="144">
        <v>25</v>
      </c>
    </row>
    <row r="94" spans="1:10" x14ac:dyDescent="0.2">
      <c r="A94" s="56" t="s">
        <v>182</v>
      </c>
      <c r="B94" s="56" t="s">
        <v>84</v>
      </c>
      <c r="C94" s="109">
        <v>75</v>
      </c>
      <c r="D94" s="109">
        <v>60</v>
      </c>
      <c r="E94" s="109">
        <v>60</v>
      </c>
      <c r="F94" s="109">
        <v>55</v>
      </c>
      <c r="G94" s="58">
        <v>50</v>
      </c>
      <c r="H94" s="58">
        <v>75</v>
      </c>
      <c r="I94" s="144">
        <v>65</v>
      </c>
      <c r="J94" s="144">
        <v>65</v>
      </c>
    </row>
    <row r="95" spans="1:10" x14ac:dyDescent="0.2">
      <c r="A95" s="56" t="s">
        <v>182</v>
      </c>
      <c r="B95" s="56" t="s">
        <v>15</v>
      </c>
      <c r="C95" s="109">
        <v>80</v>
      </c>
      <c r="D95" s="109">
        <v>75</v>
      </c>
      <c r="E95" s="109">
        <v>55</v>
      </c>
      <c r="F95" s="109">
        <v>50</v>
      </c>
      <c r="G95" s="58">
        <v>45</v>
      </c>
      <c r="H95" s="58">
        <v>50</v>
      </c>
      <c r="I95" s="144">
        <v>60</v>
      </c>
      <c r="J95" s="144">
        <v>60</v>
      </c>
    </row>
    <row r="96" spans="1:10" x14ac:dyDescent="0.2">
      <c r="A96" s="56" t="s">
        <v>182</v>
      </c>
      <c r="B96" s="56" t="s">
        <v>85</v>
      </c>
      <c r="C96" s="109">
        <v>430</v>
      </c>
      <c r="D96" s="109">
        <v>420</v>
      </c>
      <c r="E96" s="109">
        <v>385</v>
      </c>
      <c r="F96" s="109">
        <v>385</v>
      </c>
      <c r="G96" s="58">
        <v>350</v>
      </c>
      <c r="H96" s="58">
        <v>435</v>
      </c>
      <c r="I96" s="144">
        <v>425</v>
      </c>
      <c r="J96" s="144">
        <v>400</v>
      </c>
    </row>
    <row r="97" spans="1:10" x14ac:dyDescent="0.2">
      <c r="A97" s="56" t="s">
        <v>182</v>
      </c>
      <c r="B97" s="56" t="s">
        <v>86</v>
      </c>
      <c r="C97" s="109">
        <v>150</v>
      </c>
      <c r="D97" s="109">
        <v>120</v>
      </c>
      <c r="E97" s="109">
        <v>115</v>
      </c>
      <c r="F97" s="109">
        <v>125</v>
      </c>
      <c r="G97" s="58">
        <v>105</v>
      </c>
      <c r="H97" s="58">
        <v>105</v>
      </c>
      <c r="I97" s="144">
        <v>95</v>
      </c>
      <c r="J97" s="144">
        <v>90</v>
      </c>
    </row>
    <row r="98" spans="1:10" x14ac:dyDescent="0.2">
      <c r="A98" s="56" t="s">
        <v>182</v>
      </c>
      <c r="B98" s="56" t="s">
        <v>87</v>
      </c>
      <c r="C98" s="109">
        <v>65</v>
      </c>
      <c r="D98" s="109">
        <v>55</v>
      </c>
      <c r="E98" s="109">
        <v>55</v>
      </c>
      <c r="F98" s="109">
        <v>55</v>
      </c>
      <c r="G98" s="58">
        <v>50</v>
      </c>
      <c r="H98" s="58">
        <v>60</v>
      </c>
      <c r="I98" s="144">
        <v>65</v>
      </c>
      <c r="J98" s="144">
        <v>80</v>
      </c>
    </row>
    <row r="99" spans="1:10" x14ac:dyDescent="0.2">
      <c r="A99" s="56" t="s">
        <v>182</v>
      </c>
      <c r="B99" s="56" t="s">
        <v>88</v>
      </c>
      <c r="C99" s="109">
        <v>40</v>
      </c>
      <c r="D99" s="109">
        <v>30</v>
      </c>
      <c r="E99" s="109">
        <v>30</v>
      </c>
      <c r="F99" s="109">
        <v>55</v>
      </c>
      <c r="G99" s="58">
        <v>25</v>
      </c>
      <c r="H99" s="58">
        <v>30</v>
      </c>
      <c r="I99" s="144">
        <v>45</v>
      </c>
      <c r="J99" s="144">
        <v>50</v>
      </c>
    </row>
    <row r="100" spans="1:10" x14ac:dyDescent="0.2">
      <c r="A100" s="56" t="s">
        <v>182</v>
      </c>
      <c r="B100" s="56" t="s">
        <v>18</v>
      </c>
      <c r="C100" s="109">
        <v>85</v>
      </c>
      <c r="D100" s="109">
        <v>80</v>
      </c>
      <c r="E100" s="109">
        <v>70</v>
      </c>
      <c r="F100" s="109">
        <v>55</v>
      </c>
      <c r="G100" s="58">
        <v>70</v>
      </c>
      <c r="H100" s="58">
        <v>75</v>
      </c>
      <c r="I100" s="144">
        <v>75</v>
      </c>
      <c r="J100" s="144">
        <v>75</v>
      </c>
    </row>
    <row r="101" spans="1:10" x14ac:dyDescent="0.2">
      <c r="A101" s="56" t="s">
        <v>182</v>
      </c>
      <c r="B101" s="56" t="s">
        <v>89</v>
      </c>
      <c r="C101" s="109">
        <v>140</v>
      </c>
      <c r="D101" s="109">
        <v>160</v>
      </c>
      <c r="E101" s="109">
        <v>150</v>
      </c>
      <c r="F101" s="109">
        <v>170</v>
      </c>
      <c r="G101" s="58">
        <v>110</v>
      </c>
      <c r="H101" s="58">
        <v>140</v>
      </c>
      <c r="I101" s="144">
        <v>150</v>
      </c>
      <c r="J101" s="144">
        <v>125</v>
      </c>
    </row>
    <row r="102" spans="1:10" x14ac:dyDescent="0.2">
      <c r="A102" s="56" t="s">
        <v>182</v>
      </c>
      <c r="B102" s="56" t="s">
        <v>90</v>
      </c>
      <c r="C102" s="109">
        <v>35</v>
      </c>
      <c r="D102" s="109">
        <v>35</v>
      </c>
      <c r="E102" s="109">
        <v>30</v>
      </c>
      <c r="F102" s="109">
        <v>30</v>
      </c>
      <c r="G102" s="58">
        <v>20</v>
      </c>
      <c r="H102" s="58">
        <v>35</v>
      </c>
      <c r="I102" s="144">
        <v>35</v>
      </c>
      <c r="J102" s="144">
        <v>25</v>
      </c>
    </row>
    <row r="103" spans="1:10" x14ac:dyDescent="0.2">
      <c r="A103" s="56" t="s">
        <v>182</v>
      </c>
      <c r="B103" s="56" t="s">
        <v>91</v>
      </c>
      <c r="C103" s="109">
        <v>50</v>
      </c>
      <c r="D103" s="109">
        <v>45</v>
      </c>
      <c r="E103" s="109">
        <v>50</v>
      </c>
      <c r="F103" s="109">
        <v>45</v>
      </c>
      <c r="G103" s="58">
        <v>30</v>
      </c>
      <c r="H103" s="58">
        <v>35</v>
      </c>
      <c r="I103" s="144">
        <v>30</v>
      </c>
      <c r="J103" s="144">
        <v>30</v>
      </c>
    </row>
    <row r="104" spans="1:10" x14ac:dyDescent="0.2">
      <c r="A104" s="56" t="s">
        <v>182</v>
      </c>
      <c r="B104" s="56" t="s">
        <v>92</v>
      </c>
      <c r="C104" s="109">
        <v>70</v>
      </c>
      <c r="D104" s="109">
        <v>70</v>
      </c>
      <c r="E104" s="109">
        <v>90</v>
      </c>
      <c r="F104" s="109">
        <v>85</v>
      </c>
      <c r="G104" s="58">
        <v>60</v>
      </c>
      <c r="H104" s="58">
        <v>80</v>
      </c>
      <c r="I104" s="144">
        <v>80</v>
      </c>
      <c r="J104" s="144">
        <v>80</v>
      </c>
    </row>
    <row r="105" spans="1:10" x14ac:dyDescent="0.2">
      <c r="A105" s="56" t="s">
        <v>182</v>
      </c>
      <c r="B105" s="56" t="s">
        <v>93</v>
      </c>
      <c r="C105" s="109">
        <v>35</v>
      </c>
      <c r="D105" s="109">
        <v>35</v>
      </c>
      <c r="E105" s="109">
        <v>25</v>
      </c>
      <c r="F105" s="109">
        <v>30</v>
      </c>
      <c r="G105" s="58">
        <v>20</v>
      </c>
      <c r="H105" s="58">
        <v>25</v>
      </c>
      <c r="I105" s="144">
        <v>25</v>
      </c>
      <c r="J105" s="144">
        <v>35</v>
      </c>
    </row>
    <row r="106" spans="1:10" x14ac:dyDescent="0.2">
      <c r="A106" s="56" t="s">
        <v>182</v>
      </c>
      <c r="B106" s="56" t="s">
        <v>94</v>
      </c>
      <c r="C106" s="109">
        <v>80</v>
      </c>
      <c r="D106" s="109">
        <v>85</v>
      </c>
      <c r="E106" s="109">
        <v>70</v>
      </c>
      <c r="F106" s="109">
        <v>75</v>
      </c>
      <c r="G106" s="58">
        <v>65</v>
      </c>
      <c r="H106" s="58">
        <v>50</v>
      </c>
      <c r="I106" s="144">
        <v>70</v>
      </c>
      <c r="J106" s="144">
        <v>80</v>
      </c>
    </row>
    <row r="107" spans="1:10" x14ac:dyDescent="0.2">
      <c r="A107" s="56" t="s">
        <v>182</v>
      </c>
      <c r="B107" s="56" t="s">
        <v>95</v>
      </c>
      <c r="C107" s="109">
        <v>55</v>
      </c>
      <c r="D107" s="109">
        <v>35</v>
      </c>
      <c r="E107" s="109">
        <v>35</v>
      </c>
      <c r="F107" s="109">
        <v>40</v>
      </c>
      <c r="G107" s="58">
        <v>25</v>
      </c>
      <c r="H107" s="58">
        <v>40</v>
      </c>
      <c r="I107" s="144">
        <v>30</v>
      </c>
      <c r="J107" s="144">
        <v>30</v>
      </c>
    </row>
    <row r="108" spans="1:10" ht="27" customHeight="1" x14ac:dyDescent="0.2">
      <c r="A108" s="57" t="s">
        <v>183</v>
      </c>
      <c r="B108" s="42" t="s">
        <v>112</v>
      </c>
      <c r="C108" s="109">
        <v>240</v>
      </c>
      <c r="D108" s="109">
        <v>210</v>
      </c>
      <c r="E108" s="109">
        <v>220</v>
      </c>
      <c r="F108" s="109">
        <v>210</v>
      </c>
      <c r="G108" s="58">
        <v>180</v>
      </c>
      <c r="H108" s="58">
        <v>255</v>
      </c>
      <c r="I108" s="144">
        <v>235</v>
      </c>
      <c r="J108" s="144">
        <v>230</v>
      </c>
    </row>
    <row r="109" spans="1:10" x14ac:dyDescent="0.2">
      <c r="A109" s="56" t="s">
        <v>183</v>
      </c>
      <c r="B109" s="42" t="s">
        <v>113</v>
      </c>
      <c r="C109" s="109">
        <v>140</v>
      </c>
      <c r="D109" s="109">
        <v>135</v>
      </c>
      <c r="E109" s="109">
        <v>115</v>
      </c>
      <c r="F109" s="109">
        <v>140</v>
      </c>
      <c r="G109" s="58">
        <v>90</v>
      </c>
      <c r="H109" s="58">
        <v>110</v>
      </c>
      <c r="I109" s="144">
        <v>105</v>
      </c>
      <c r="J109" s="144">
        <v>100</v>
      </c>
    </row>
    <row r="110" spans="1:10" x14ac:dyDescent="0.2">
      <c r="A110" s="56" t="s">
        <v>183</v>
      </c>
      <c r="B110" s="42" t="s">
        <v>114</v>
      </c>
      <c r="C110" s="109">
        <v>630</v>
      </c>
      <c r="D110" s="109">
        <v>570</v>
      </c>
      <c r="E110" s="109">
        <v>530</v>
      </c>
      <c r="F110" s="109">
        <v>575</v>
      </c>
      <c r="G110" s="58">
        <v>500</v>
      </c>
      <c r="H110" s="58">
        <v>540</v>
      </c>
      <c r="I110" s="144">
        <v>515</v>
      </c>
      <c r="J110" s="144">
        <v>610</v>
      </c>
    </row>
    <row r="111" spans="1:10" x14ac:dyDescent="0.2">
      <c r="A111" s="56" t="s">
        <v>183</v>
      </c>
      <c r="B111" s="42" t="s">
        <v>115</v>
      </c>
      <c r="C111" s="109">
        <v>145</v>
      </c>
      <c r="D111" s="109">
        <v>160</v>
      </c>
      <c r="E111" s="109">
        <v>140</v>
      </c>
      <c r="F111" s="109">
        <v>160</v>
      </c>
      <c r="G111" s="58">
        <v>115</v>
      </c>
      <c r="H111" s="58">
        <v>170</v>
      </c>
      <c r="I111" s="144">
        <v>190</v>
      </c>
      <c r="J111" s="144">
        <v>195</v>
      </c>
    </row>
    <row r="112" spans="1:10" x14ac:dyDescent="0.2">
      <c r="A112" s="56" t="s">
        <v>183</v>
      </c>
      <c r="B112" s="42" t="s">
        <v>13</v>
      </c>
      <c r="C112" s="109">
        <v>275</v>
      </c>
      <c r="D112" s="109">
        <v>310</v>
      </c>
      <c r="E112" s="109">
        <v>290</v>
      </c>
      <c r="F112" s="109">
        <v>260</v>
      </c>
      <c r="G112" s="58">
        <v>210</v>
      </c>
      <c r="H112" s="58">
        <v>225</v>
      </c>
      <c r="I112" s="144">
        <v>240</v>
      </c>
      <c r="J112" s="144">
        <v>265</v>
      </c>
    </row>
    <row r="113" spans="1:10" x14ac:dyDescent="0.2">
      <c r="A113" s="56" t="s">
        <v>183</v>
      </c>
      <c r="B113" s="42" t="s">
        <v>116</v>
      </c>
      <c r="C113" s="109">
        <v>80</v>
      </c>
      <c r="D113" s="109">
        <v>75</v>
      </c>
      <c r="E113" s="109">
        <v>55</v>
      </c>
      <c r="F113" s="109">
        <v>50</v>
      </c>
      <c r="G113" s="58">
        <v>45</v>
      </c>
      <c r="H113" s="58">
        <v>50</v>
      </c>
      <c r="I113" s="144">
        <v>60</v>
      </c>
      <c r="J113" s="144">
        <v>60</v>
      </c>
    </row>
    <row r="114" spans="1:10" x14ac:dyDescent="0.2">
      <c r="A114" s="56" t="s">
        <v>183</v>
      </c>
      <c r="B114" s="42" t="s">
        <v>117</v>
      </c>
      <c r="C114" s="109">
        <v>80</v>
      </c>
      <c r="D114" s="109">
        <v>85</v>
      </c>
      <c r="E114" s="109">
        <v>70</v>
      </c>
      <c r="F114" s="109">
        <v>75</v>
      </c>
      <c r="G114" s="58">
        <v>65</v>
      </c>
      <c r="H114" s="58">
        <v>50</v>
      </c>
      <c r="I114" s="144">
        <v>70</v>
      </c>
      <c r="J114" s="144">
        <v>80</v>
      </c>
    </row>
    <row r="115" spans="1:10" x14ac:dyDescent="0.2">
      <c r="A115" s="56" t="s">
        <v>183</v>
      </c>
      <c r="B115" s="42" t="s">
        <v>118</v>
      </c>
      <c r="C115" s="109">
        <v>85</v>
      </c>
      <c r="D115" s="109">
        <v>80</v>
      </c>
      <c r="E115" s="109">
        <v>70</v>
      </c>
      <c r="F115" s="109">
        <v>60</v>
      </c>
      <c r="G115" s="58">
        <v>70</v>
      </c>
      <c r="H115" s="58">
        <v>75</v>
      </c>
      <c r="I115" s="144">
        <v>75</v>
      </c>
      <c r="J115" s="144">
        <v>75</v>
      </c>
    </row>
    <row r="116" spans="1:10" x14ac:dyDescent="0.2">
      <c r="A116" s="56" t="s">
        <v>183</v>
      </c>
      <c r="B116" s="42" t="s">
        <v>184</v>
      </c>
      <c r="C116" s="58">
        <v>1675</v>
      </c>
      <c r="D116" s="58">
        <v>1625</v>
      </c>
      <c r="E116" s="58">
        <v>1490</v>
      </c>
      <c r="F116" s="58">
        <v>1530</v>
      </c>
      <c r="G116" s="58">
        <v>1275</v>
      </c>
      <c r="H116" s="58">
        <v>1475</v>
      </c>
      <c r="I116" s="144">
        <v>1490</v>
      </c>
      <c r="J116" s="144">
        <v>1615</v>
      </c>
    </row>
    <row r="117" spans="1:10" ht="28.5" customHeight="1" x14ac:dyDescent="0.2">
      <c r="A117" s="57" t="s">
        <v>185</v>
      </c>
      <c r="B117" s="57" t="s">
        <v>111</v>
      </c>
      <c r="C117" s="109">
        <v>135</v>
      </c>
      <c r="D117" s="109">
        <v>135</v>
      </c>
      <c r="E117" s="109">
        <v>140</v>
      </c>
      <c r="F117" s="109">
        <v>145</v>
      </c>
      <c r="G117" s="58">
        <v>140</v>
      </c>
      <c r="H117" s="58">
        <v>210</v>
      </c>
      <c r="I117" s="144">
        <v>185</v>
      </c>
      <c r="J117" s="144">
        <v>180</v>
      </c>
    </row>
    <row r="118" spans="1:10" x14ac:dyDescent="0.2">
      <c r="A118" s="57" t="s">
        <v>185</v>
      </c>
      <c r="B118" s="42" t="s">
        <v>186</v>
      </c>
      <c r="C118" s="58">
        <v>1675</v>
      </c>
      <c r="D118" s="58">
        <v>1555</v>
      </c>
      <c r="E118" s="58">
        <v>1620</v>
      </c>
      <c r="F118" s="58">
        <v>1620</v>
      </c>
      <c r="G118" s="58">
        <v>1340</v>
      </c>
      <c r="H118" s="58">
        <v>1530</v>
      </c>
      <c r="I118" s="144">
        <v>1540</v>
      </c>
      <c r="J118" s="144">
        <v>1530</v>
      </c>
    </row>
    <row r="119" spans="1:10" x14ac:dyDescent="0.2">
      <c r="A119" s="57" t="s">
        <v>185</v>
      </c>
      <c r="B119" s="42" t="s">
        <v>151</v>
      </c>
      <c r="C119" s="58">
        <v>3335</v>
      </c>
      <c r="D119" s="58">
        <v>3120</v>
      </c>
      <c r="E119" s="58">
        <v>3180</v>
      </c>
      <c r="F119" s="58">
        <v>3595</v>
      </c>
      <c r="G119" s="58">
        <v>2800</v>
      </c>
      <c r="H119" s="58">
        <v>3240</v>
      </c>
      <c r="I119" s="144">
        <v>3255</v>
      </c>
      <c r="J119" s="144">
        <v>3090</v>
      </c>
    </row>
    <row r="120" spans="1:10" ht="36" customHeight="1" x14ac:dyDescent="0.2">
      <c r="A120" s="106" t="s">
        <v>270</v>
      </c>
      <c r="B120" s="107" t="s">
        <v>271</v>
      </c>
      <c r="C120" s="146">
        <v>40</v>
      </c>
      <c r="D120" s="146">
        <v>40</v>
      </c>
      <c r="E120" s="146">
        <v>50</v>
      </c>
      <c r="F120" s="146">
        <v>35</v>
      </c>
      <c r="G120" s="146">
        <v>25</v>
      </c>
      <c r="H120" s="144">
        <v>55</v>
      </c>
      <c r="I120" s="144">
        <v>35</v>
      </c>
      <c r="J120" s="144">
        <v>40</v>
      </c>
    </row>
    <row r="121" spans="1:10" x14ac:dyDescent="0.2">
      <c r="A121" s="106" t="s">
        <v>270</v>
      </c>
      <c r="B121" s="107" t="s">
        <v>272</v>
      </c>
      <c r="C121" s="146">
        <v>45</v>
      </c>
      <c r="D121" s="146">
        <v>35</v>
      </c>
      <c r="E121" s="146">
        <v>35</v>
      </c>
      <c r="F121" s="146">
        <v>35</v>
      </c>
      <c r="G121" s="146">
        <v>30</v>
      </c>
      <c r="H121" s="144">
        <v>45</v>
      </c>
      <c r="I121" s="144">
        <v>50</v>
      </c>
      <c r="J121" s="144">
        <v>40</v>
      </c>
    </row>
    <row r="122" spans="1:10" x14ac:dyDescent="0.2">
      <c r="A122" s="106" t="s">
        <v>270</v>
      </c>
      <c r="B122" s="107" t="s">
        <v>273</v>
      </c>
      <c r="C122" s="146">
        <v>45</v>
      </c>
      <c r="D122" s="146">
        <v>40</v>
      </c>
      <c r="E122" s="146">
        <v>40</v>
      </c>
      <c r="F122" s="146">
        <v>65</v>
      </c>
      <c r="G122" s="146">
        <v>35</v>
      </c>
      <c r="H122" s="144">
        <v>45</v>
      </c>
      <c r="I122" s="144">
        <v>60</v>
      </c>
      <c r="J122" s="144">
        <v>65</v>
      </c>
    </row>
    <row r="123" spans="1:10" x14ac:dyDescent="0.2">
      <c r="A123" s="106" t="s">
        <v>270</v>
      </c>
      <c r="B123" s="107" t="s">
        <v>274</v>
      </c>
      <c r="C123" s="146">
        <v>65</v>
      </c>
      <c r="D123" s="146">
        <v>70</v>
      </c>
      <c r="E123" s="146">
        <v>55</v>
      </c>
      <c r="F123" s="146">
        <v>60</v>
      </c>
      <c r="G123" s="146">
        <v>50</v>
      </c>
      <c r="H123" s="144">
        <v>40</v>
      </c>
      <c r="I123" s="144">
        <v>55</v>
      </c>
      <c r="J123" s="144">
        <v>65</v>
      </c>
    </row>
    <row r="124" spans="1:10" x14ac:dyDescent="0.2">
      <c r="A124" s="106" t="s">
        <v>270</v>
      </c>
      <c r="B124" s="107" t="s">
        <v>275</v>
      </c>
      <c r="C124" s="146">
        <v>65</v>
      </c>
      <c r="D124" s="146">
        <v>65</v>
      </c>
      <c r="E124" s="146">
        <v>50</v>
      </c>
      <c r="F124" s="146">
        <v>45</v>
      </c>
      <c r="G124" s="146">
        <v>40</v>
      </c>
      <c r="H124" s="144">
        <v>45</v>
      </c>
      <c r="I124" s="144">
        <v>55</v>
      </c>
      <c r="J124" s="144">
        <v>55</v>
      </c>
    </row>
    <row r="125" spans="1:10" x14ac:dyDescent="0.2">
      <c r="A125" s="106" t="s">
        <v>270</v>
      </c>
      <c r="B125" s="107" t="s">
        <v>276</v>
      </c>
      <c r="C125" s="146">
        <v>15</v>
      </c>
      <c r="D125" s="146">
        <v>10</v>
      </c>
      <c r="E125" s="146">
        <v>5</v>
      </c>
      <c r="F125" s="146">
        <v>5</v>
      </c>
      <c r="G125" s="146">
        <v>0</v>
      </c>
      <c r="H125" s="144">
        <v>5</v>
      </c>
      <c r="I125" s="144">
        <v>10</v>
      </c>
      <c r="J125" s="144">
        <v>5</v>
      </c>
    </row>
    <row r="126" spans="1:10" x14ac:dyDescent="0.2">
      <c r="A126" s="106" t="s">
        <v>270</v>
      </c>
      <c r="B126" s="107" t="s">
        <v>277</v>
      </c>
      <c r="C126" s="146">
        <v>75</v>
      </c>
      <c r="D126" s="146">
        <v>75</v>
      </c>
      <c r="E126" s="146">
        <v>65</v>
      </c>
      <c r="F126" s="146">
        <v>50</v>
      </c>
      <c r="G126" s="146">
        <v>65</v>
      </c>
      <c r="H126" s="144">
        <v>70</v>
      </c>
      <c r="I126" s="144">
        <v>70</v>
      </c>
      <c r="J126" s="144">
        <v>70</v>
      </c>
    </row>
    <row r="127" spans="1:10" x14ac:dyDescent="0.2">
      <c r="A127" s="106" t="s">
        <v>270</v>
      </c>
      <c r="B127" s="107" t="s">
        <v>278</v>
      </c>
      <c r="C127" s="146">
        <v>10</v>
      </c>
      <c r="D127" s="146">
        <v>5</v>
      </c>
      <c r="E127" s="146">
        <v>5</v>
      </c>
      <c r="F127" s="146">
        <v>5</v>
      </c>
      <c r="G127" s="146">
        <v>5</v>
      </c>
      <c r="H127" s="144">
        <v>5</v>
      </c>
      <c r="I127" s="144">
        <v>5</v>
      </c>
      <c r="J127" s="144">
        <v>5</v>
      </c>
    </row>
    <row r="128" spans="1:10" x14ac:dyDescent="0.2">
      <c r="A128" s="106" t="s">
        <v>270</v>
      </c>
      <c r="B128" s="107" t="s">
        <v>279</v>
      </c>
      <c r="C128" s="146">
        <v>15</v>
      </c>
      <c r="D128" s="146">
        <v>15</v>
      </c>
      <c r="E128" s="146">
        <v>15</v>
      </c>
      <c r="F128" s="146">
        <v>15</v>
      </c>
      <c r="G128" s="146">
        <v>15</v>
      </c>
      <c r="H128" s="144">
        <v>10</v>
      </c>
      <c r="I128" s="144">
        <v>15</v>
      </c>
      <c r="J128" s="144">
        <v>15</v>
      </c>
    </row>
    <row r="129" spans="1:10" ht="35.1" customHeight="1" x14ac:dyDescent="0.2">
      <c r="A129" s="147" t="s">
        <v>263</v>
      </c>
      <c r="B129" s="148" t="s">
        <v>280</v>
      </c>
      <c r="C129" s="146">
        <v>3370</v>
      </c>
      <c r="D129" s="146">
        <v>3065</v>
      </c>
      <c r="E129" s="146">
        <v>2980</v>
      </c>
      <c r="F129" s="146">
        <v>3390</v>
      </c>
      <c r="G129" s="146">
        <v>2870</v>
      </c>
      <c r="H129" s="144">
        <v>3290</v>
      </c>
      <c r="I129" s="144">
        <v>3330</v>
      </c>
      <c r="J129" s="144">
        <v>3030</v>
      </c>
    </row>
    <row r="130" spans="1:10" x14ac:dyDescent="0.2">
      <c r="A130" s="147" t="s">
        <v>263</v>
      </c>
      <c r="B130" s="148" t="s">
        <v>264</v>
      </c>
      <c r="C130" s="146">
        <v>3730</v>
      </c>
      <c r="D130" s="146">
        <v>3525</v>
      </c>
      <c r="E130" s="146">
        <v>3570</v>
      </c>
      <c r="F130" s="146">
        <v>3990</v>
      </c>
      <c r="G130" s="146">
        <v>3150</v>
      </c>
      <c r="H130" s="144">
        <v>3520</v>
      </c>
      <c r="I130" s="144">
        <v>3565</v>
      </c>
      <c r="J130" s="144">
        <v>3400</v>
      </c>
    </row>
    <row r="131" spans="1:10" x14ac:dyDescent="0.2">
      <c r="A131" s="147" t="s">
        <v>263</v>
      </c>
      <c r="B131" s="148" t="s">
        <v>265</v>
      </c>
      <c r="C131" s="146">
        <v>4240</v>
      </c>
      <c r="D131" s="146">
        <v>4025</v>
      </c>
      <c r="E131" s="146">
        <v>3875</v>
      </c>
      <c r="F131" s="146">
        <v>4100</v>
      </c>
      <c r="G131" s="146">
        <v>3410</v>
      </c>
      <c r="H131" s="144">
        <v>3885</v>
      </c>
      <c r="I131" s="144">
        <v>3905</v>
      </c>
      <c r="J131" s="144">
        <v>3730</v>
      </c>
    </row>
    <row r="132" spans="1:10" x14ac:dyDescent="0.2">
      <c r="A132" s="147" t="s">
        <v>263</v>
      </c>
      <c r="B132" s="148" t="s">
        <v>266</v>
      </c>
      <c r="C132" s="146">
        <v>5290</v>
      </c>
      <c r="D132" s="146">
        <v>4770</v>
      </c>
      <c r="E132" s="146">
        <v>4675</v>
      </c>
      <c r="F132" s="146">
        <v>4775</v>
      </c>
      <c r="G132" s="146">
        <v>3865</v>
      </c>
      <c r="H132" s="144">
        <v>4390</v>
      </c>
      <c r="I132" s="144">
        <v>4380</v>
      </c>
      <c r="J132" s="144">
        <v>4450</v>
      </c>
    </row>
    <row r="133" spans="1:10" x14ac:dyDescent="0.2">
      <c r="A133" s="147" t="s">
        <v>263</v>
      </c>
      <c r="B133" s="148" t="s">
        <v>281</v>
      </c>
      <c r="C133" s="146">
        <v>4810</v>
      </c>
      <c r="D133" s="146">
        <v>4460</v>
      </c>
      <c r="E133" s="146">
        <v>4515</v>
      </c>
      <c r="F133" s="146">
        <v>4425</v>
      </c>
      <c r="G133" s="146">
        <v>3555</v>
      </c>
      <c r="H133" s="144">
        <v>3825</v>
      </c>
      <c r="I133" s="144">
        <v>3690</v>
      </c>
      <c r="J133" s="144">
        <v>3665</v>
      </c>
    </row>
  </sheetData>
  <hyperlinks>
    <hyperlink ref="A10" location="Contents!A1" display="This cell contains a hyperlink to the Table of Contents" xr:uid="{B13CDC8B-2928-4D0F-A455-9DFEA3DABFBA}"/>
    <hyperlink ref="A8" r:id="rId1" display="Source for areas built up from Data Zones: Small Area Population Estimates - National Records of Scotland. This link opens in a new window." xr:uid="{F7D3C5A2-D5AE-499A-AD17-5EB28C1B9D91}"/>
    <hyperlink ref="A7" r:id="rId2" xr:uid="{B915A548-1356-424E-A5BE-1B7B2BE76139}"/>
  </hyperlinks>
  <pageMargins left="0.7" right="0.7" top="0.75" bottom="0.75" header="0.3" footer="0.3"/>
  <ignoredErrors>
    <ignoredError sqref="C14:J14" formulaRange="1"/>
  </ignoredErrors>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841A-3320-4B4C-BAD7-981E9B8FEFC7}">
  <dimension ref="A1:J132"/>
  <sheetViews>
    <sheetView zoomScaleNormal="100" workbookViewId="0"/>
  </sheetViews>
  <sheetFormatPr defaultColWidth="9.140625" defaultRowHeight="15" x14ac:dyDescent="0.2"/>
  <cols>
    <col min="1" max="1" width="59" style="40" customWidth="1"/>
    <col min="2" max="2" width="51.140625" style="42" customWidth="1"/>
    <col min="3" max="6" width="12.5703125" style="41" customWidth="1"/>
    <col min="7" max="10" width="12.5703125" style="40" customWidth="1"/>
    <col min="11" max="16384" width="9.140625" style="40"/>
  </cols>
  <sheetData>
    <row r="1" spans="1:10" ht="20.25" x14ac:dyDescent="0.3">
      <c r="A1" s="151" t="s">
        <v>384</v>
      </c>
      <c r="B1" s="151"/>
      <c r="C1" s="151"/>
    </row>
    <row r="2" spans="1:10" x14ac:dyDescent="0.2">
      <c r="A2" s="140" t="s">
        <v>152</v>
      </c>
      <c r="B2" s="40"/>
    </row>
    <row r="3" spans="1:10" x14ac:dyDescent="0.2">
      <c r="A3" s="140" t="s">
        <v>297</v>
      </c>
      <c r="B3" s="40"/>
    </row>
    <row r="4" spans="1:10" x14ac:dyDescent="0.2">
      <c r="A4" s="140" t="s">
        <v>302</v>
      </c>
      <c r="B4" s="40"/>
    </row>
    <row r="5" spans="1:10" x14ac:dyDescent="0.2">
      <c r="A5" s="140" t="s">
        <v>349</v>
      </c>
      <c r="B5" s="40"/>
    </row>
    <row r="6" spans="1:10" ht="15" customHeight="1" x14ac:dyDescent="0.2">
      <c r="A6" s="149" t="s">
        <v>351</v>
      </c>
      <c r="B6" s="40"/>
    </row>
    <row r="7" spans="1:10" ht="15" customHeight="1" x14ac:dyDescent="0.2">
      <c r="A7" s="149" t="s">
        <v>352</v>
      </c>
      <c r="B7" s="40"/>
    </row>
    <row r="8" spans="1:10" s="43" customFormat="1" x14ac:dyDescent="0.2">
      <c r="A8" s="141" t="s">
        <v>350</v>
      </c>
      <c r="C8" s="142"/>
      <c r="D8" s="142"/>
      <c r="E8" s="142"/>
      <c r="F8" s="142"/>
      <c r="G8" s="142"/>
      <c r="H8" s="142"/>
      <c r="I8" s="142"/>
    </row>
    <row r="9" spans="1:10" s="43" customFormat="1" ht="30" customHeight="1" x14ac:dyDescent="0.2">
      <c r="A9" s="45" t="s">
        <v>232</v>
      </c>
      <c r="C9" s="142"/>
      <c r="D9" s="142"/>
      <c r="E9" s="142"/>
      <c r="F9" s="142"/>
      <c r="G9" s="142"/>
      <c r="H9" s="142"/>
      <c r="I9" s="142"/>
    </row>
    <row r="10" spans="1:10" ht="15.75" customHeight="1" x14ac:dyDescent="0.25">
      <c r="A10" s="55" t="s">
        <v>156</v>
      </c>
      <c r="B10" s="55" t="s">
        <v>157</v>
      </c>
      <c r="C10" s="46" t="s">
        <v>176</v>
      </c>
      <c r="D10" s="46" t="s">
        <v>177</v>
      </c>
      <c r="E10" s="46" t="s">
        <v>123</v>
      </c>
      <c r="F10" s="47" t="s">
        <v>150</v>
      </c>
      <c r="G10" s="46" t="s">
        <v>187</v>
      </c>
      <c r="H10" s="143" t="s">
        <v>189</v>
      </c>
      <c r="I10" s="46" t="s">
        <v>257</v>
      </c>
      <c r="J10" s="46" t="s">
        <v>316</v>
      </c>
    </row>
    <row r="11" spans="1:10" x14ac:dyDescent="0.2">
      <c r="A11" s="56" t="s">
        <v>178</v>
      </c>
      <c r="B11" s="57" t="s">
        <v>48</v>
      </c>
      <c r="C11" s="73">
        <v>0.14363187692618967</v>
      </c>
      <c r="D11" s="73">
        <v>0.12545940615986542</v>
      </c>
      <c r="E11" s="73">
        <v>0.12271275331966455</v>
      </c>
      <c r="F11" s="73">
        <v>0.12592956666660898</v>
      </c>
      <c r="G11" s="73">
        <v>0.11494883703270323</v>
      </c>
      <c r="H11" s="73">
        <v>0.1238215108813049</v>
      </c>
      <c r="I11" s="73">
        <v>0.11520044038930688</v>
      </c>
      <c r="J11" s="73">
        <v>0.11010192332147044</v>
      </c>
    </row>
    <row r="12" spans="1:10" x14ac:dyDescent="0.2">
      <c r="A12" s="56" t="s">
        <v>178</v>
      </c>
      <c r="B12" s="57" t="s">
        <v>1</v>
      </c>
      <c r="C12" s="73">
        <v>0.12262640128117136</v>
      </c>
      <c r="D12" s="73">
        <v>0.11252551599002042</v>
      </c>
      <c r="E12" s="73">
        <v>0.11120872892163809</v>
      </c>
      <c r="F12" s="73">
        <v>0.11569878035134833</v>
      </c>
      <c r="G12" s="73">
        <v>9.549447435534146E-2</v>
      </c>
      <c r="H12" s="73">
        <v>0.10722994045931386</v>
      </c>
      <c r="I12" s="73">
        <v>0.1082367787082712</v>
      </c>
      <c r="J12" s="73">
        <v>0.10631490153873004</v>
      </c>
    </row>
    <row r="13" spans="1:10" ht="35.450000000000003" customHeight="1" x14ac:dyDescent="0.2">
      <c r="A13" s="57" t="s">
        <v>179</v>
      </c>
      <c r="B13" s="57" t="s">
        <v>35</v>
      </c>
      <c r="C13" s="73">
        <v>0.10290475118216617</v>
      </c>
      <c r="D13" s="73">
        <v>9.8565900295925338E-2</v>
      </c>
      <c r="E13" s="73">
        <v>9.9814298978644383E-2</v>
      </c>
      <c r="F13" s="73">
        <v>0.10039324543141337</v>
      </c>
      <c r="G13" s="73">
        <v>7.9610266159695811E-2</v>
      </c>
      <c r="H13" s="73">
        <v>8.5714285714285715E-2</v>
      </c>
      <c r="I13" s="73">
        <v>8.804871859934027E-2</v>
      </c>
      <c r="J13" s="73">
        <v>9.2170725320764604E-2</v>
      </c>
    </row>
    <row r="14" spans="1:10" x14ac:dyDescent="0.2">
      <c r="A14" s="56" t="s">
        <v>179</v>
      </c>
      <c r="B14" s="57" t="s">
        <v>36</v>
      </c>
      <c r="C14" s="73">
        <v>0.14176426142803172</v>
      </c>
      <c r="D14" s="73">
        <v>0.12879210869160618</v>
      </c>
      <c r="E14" s="73">
        <v>0.12595595687828251</v>
      </c>
      <c r="F14" s="73">
        <v>0.13500998728890504</v>
      </c>
      <c r="G14" s="73">
        <v>0.11190280442130264</v>
      </c>
      <c r="H14" s="73">
        <v>0.1261513454939498</v>
      </c>
      <c r="I14" s="73">
        <v>0.12726780395342541</v>
      </c>
      <c r="J14" s="73">
        <v>0.11993783709662675</v>
      </c>
    </row>
    <row r="15" spans="1:10" x14ac:dyDescent="0.2">
      <c r="A15" s="56" t="s">
        <v>179</v>
      </c>
      <c r="B15" s="57" t="s">
        <v>37</v>
      </c>
      <c r="C15" s="73">
        <v>0.12963170267547297</v>
      </c>
      <c r="D15" s="73">
        <v>0.11572700296735905</v>
      </c>
      <c r="E15" s="73">
        <v>0.11572052401746726</v>
      </c>
      <c r="F15" s="73">
        <v>0.1214095034703684</v>
      </c>
      <c r="G15" s="73">
        <v>9.4442032132001738E-2</v>
      </c>
      <c r="H15" s="73">
        <v>0.10908891568906919</v>
      </c>
      <c r="I15" s="73">
        <v>0.10993823694553621</v>
      </c>
      <c r="J15" s="73">
        <v>0.10698416315369716</v>
      </c>
    </row>
    <row r="16" spans="1:10" x14ac:dyDescent="0.2">
      <c r="A16" s="56" t="s">
        <v>179</v>
      </c>
      <c r="B16" s="57" t="s">
        <v>236</v>
      </c>
      <c r="C16" s="73">
        <v>0.11392405063291139</v>
      </c>
      <c r="D16" s="73">
        <v>0.10733844468784227</v>
      </c>
      <c r="E16" s="73">
        <v>0.11677631578947369</v>
      </c>
      <c r="F16" s="73">
        <v>0.10995052226498075</v>
      </c>
      <c r="G16" s="73">
        <v>9.7615085967831389E-2</v>
      </c>
      <c r="H16" s="73">
        <v>0.10302351623740201</v>
      </c>
      <c r="I16" s="73">
        <v>0.10718358038768529</v>
      </c>
      <c r="J16" s="73">
        <v>0.10523289246693503</v>
      </c>
    </row>
    <row r="17" spans="1:10" x14ac:dyDescent="0.2">
      <c r="A17" s="56" t="s">
        <v>179</v>
      </c>
      <c r="B17" s="57" t="s">
        <v>38</v>
      </c>
      <c r="C17" s="73">
        <v>0.12169543369019008</v>
      </c>
      <c r="D17" s="73">
        <v>0.11325611325611326</v>
      </c>
      <c r="E17" s="73">
        <v>0.10718897976754198</v>
      </c>
      <c r="F17" s="73">
        <v>0.1181702668360864</v>
      </c>
      <c r="G17" s="73">
        <v>9.2952875054042372E-2</v>
      </c>
      <c r="H17" s="73">
        <v>0.1036861392541496</v>
      </c>
      <c r="I17" s="73">
        <v>0.10316761988561372</v>
      </c>
      <c r="J17" s="73">
        <v>0.10217342594667264</v>
      </c>
    </row>
    <row r="18" spans="1:10" x14ac:dyDescent="0.2">
      <c r="A18" s="56" t="s">
        <v>179</v>
      </c>
      <c r="B18" s="57" t="s">
        <v>121</v>
      </c>
      <c r="C18" s="73">
        <v>9.4063431824342639E-2</v>
      </c>
      <c r="D18" s="73">
        <v>9.1106290672451198E-2</v>
      </c>
      <c r="E18" s="73">
        <v>8.4199015855658824E-2</v>
      </c>
      <c r="F18" s="73">
        <v>8.6117902743819613E-2</v>
      </c>
      <c r="G18" s="73">
        <v>7.2039746066795474E-2</v>
      </c>
      <c r="H18" s="73">
        <v>8.3036448342011515E-2</v>
      </c>
      <c r="I18" s="73">
        <v>8.3082809510795302E-2</v>
      </c>
      <c r="J18" s="73">
        <v>9.0859332238642579E-2</v>
      </c>
    </row>
    <row r="19" spans="1:10" x14ac:dyDescent="0.2">
      <c r="A19" s="56" t="s">
        <v>179</v>
      </c>
      <c r="B19" s="57" t="s">
        <v>39</v>
      </c>
      <c r="C19" s="73">
        <v>0.13192346424974824</v>
      </c>
      <c r="D19" s="73">
        <v>0.11714855433698904</v>
      </c>
      <c r="E19" s="73">
        <v>0.10566228513650151</v>
      </c>
      <c r="F19" s="73">
        <v>0.11370407149950347</v>
      </c>
      <c r="G19" s="73">
        <v>0.10085298544907174</v>
      </c>
      <c r="H19" s="73">
        <v>0.10778443113772455</v>
      </c>
      <c r="I19" s="73">
        <v>0.10239429444727458</v>
      </c>
      <c r="J19" s="73">
        <v>0.10684647302904564</v>
      </c>
    </row>
    <row r="20" spans="1:10" x14ac:dyDescent="0.2">
      <c r="A20" s="56" t="s">
        <v>179</v>
      </c>
      <c r="B20" s="57" t="s">
        <v>40</v>
      </c>
      <c r="C20" s="73">
        <v>8.5178875638841564E-2</v>
      </c>
      <c r="D20" s="73">
        <v>7.4899942824471127E-2</v>
      </c>
      <c r="E20" s="73">
        <v>7.8476630121177143E-2</v>
      </c>
      <c r="F20" s="73">
        <v>7.9817559863169893E-2</v>
      </c>
      <c r="G20" s="73">
        <v>7.2337962962962965E-2</v>
      </c>
      <c r="H20" s="73">
        <v>8.5714285714285715E-2</v>
      </c>
      <c r="I20" s="73">
        <v>8.6783891094724896E-2</v>
      </c>
      <c r="J20" s="73">
        <v>8.3617747440273033E-2</v>
      </c>
    </row>
    <row r="21" spans="1:10" ht="36.6" customHeight="1" x14ac:dyDescent="0.2">
      <c r="A21" s="57" t="s">
        <v>180</v>
      </c>
      <c r="B21" s="57" t="s">
        <v>41</v>
      </c>
      <c r="C21" s="73">
        <v>9.0386195562859484E-2</v>
      </c>
      <c r="D21" s="73">
        <v>8.1967213114754092E-2</v>
      </c>
      <c r="E21" s="73">
        <v>7.6986754966887422E-2</v>
      </c>
      <c r="F21" s="73">
        <v>7.3797678275290213E-2</v>
      </c>
      <c r="G21" s="73">
        <v>6.5656565656565663E-2</v>
      </c>
      <c r="H21" s="73">
        <v>7.7943615257048099E-2</v>
      </c>
      <c r="I21" s="73">
        <v>7.6609616951915246E-2</v>
      </c>
      <c r="J21" s="73">
        <v>7.9054604726976369E-2</v>
      </c>
    </row>
    <row r="22" spans="1:10" x14ac:dyDescent="0.2">
      <c r="A22" s="56" t="s">
        <v>180</v>
      </c>
      <c r="B22" s="57" t="s">
        <v>42</v>
      </c>
      <c r="C22" s="73">
        <v>0.10000934666791289</v>
      </c>
      <c r="D22" s="73">
        <v>9.5082273747195217E-2</v>
      </c>
      <c r="E22" s="73">
        <v>9.0883352208380522E-2</v>
      </c>
      <c r="F22" s="73">
        <v>9.2901781550228518E-2</v>
      </c>
      <c r="G22" s="73">
        <v>7.9526066350710897E-2</v>
      </c>
      <c r="H22" s="73">
        <v>8.9771542326286854E-2</v>
      </c>
      <c r="I22" s="73">
        <v>8.8167719701321076E-2</v>
      </c>
      <c r="J22" s="73">
        <v>9.3045843045843041E-2</v>
      </c>
    </row>
    <row r="23" spans="1:10" x14ac:dyDescent="0.2">
      <c r="A23" s="56" t="s">
        <v>180</v>
      </c>
      <c r="B23" s="57" t="s">
        <v>43</v>
      </c>
      <c r="C23" s="73">
        <v>0.13385891434671923</v>
      </c>
      <c r="D23" s="73">
        <v>0.12011647658335356</v>
      </c>
      <c r="E23" s="73">
        <v>0.11877518130539887</v>
      </c>
      <c r="F23" s="73">
        <v>0.12460292249047014</v>
      </c>
      <c r="G23" s="73">
        <v>0.10257852036308138</v>
      </c>
      <c r="H23" s="73">
        <v>0.11585952533675432</v>
      </c>
      <c r="I23" s="73">
        <v>0.11571731679451608</v>
      </c>
      <c r="J23" s="73">
        <v>0.11308240756093517</v>
      </c>
    </row>
    <row r="24" spans="1:10" x14ac:dyDescent="0.2">
      <c r="A24" s="56" t="s">
        <v>180</v>
      </c>
      <c r="B24" s="57" t="s">
        <v>44</v>
      </c>
      <c r="C24" s="73">
        <v>0.1359080459770115</v>
      </c>
      <c r="D24" s="73">
        <v>0.12435186027472028</v>
      </c>
      <c r="E24" s="73">
        <v>0.12591455153102701</v>
      </c>
      <c r="F24" s="73">
        <v>0.13197969543147209</v>
      </c>
      <c r="G24" s="73">
        <v>0.10591731964333964</v>
      </c>
      <c r="H24" s="73">
        <v>0.11735941320293398</v>
      </c>
      <c r="I24" s="73">
        <v>0.12256649300795174</v>
      </c>
      <c r="J24" s="73">
        <v>0.11450806003335186</v>
      </c>
    </row>
    <row r="25" spans="1:10" ht="28.5" customHeight="1" x14ac:dyDescent="0.2">
      <c r="A25" s="57" t="s">
        <v>181</v>
      </c>
      <c r="B25" s="57" t="s">
        <v>45</v>
      </c>
      <c r="C25" s="73">
        <v>9.4063431824342639E-2</v>
      </c>
      <c r="D25" s="73">
        <v>9.1106290672451198E-2</v>
      </c>
      <c r="E25" s="73">
        <v>8.4199015855658824E-2</v>
      </c>
      <c r="F25" s="73">
        <v>8.6117902743819613E-2</v>
      </c>
      <c r="G25" s="73">
        <v>7.2039746066795474E-2</v>
      </c>
      <c r="H25" s="73">
        <v>8.3036448342011515E-2</v>
      </c>
      <c r="I25" s="73">
        <v>8.3082809510795302E-2</v>
      </c>
      <c r="J25" s="73">
        <v>9.0859332238642579E-2</v>
      </c>
    </row>
    <row r="26" spans="1:10" x14ac:dyDescent="0.2">
      <c r="A26" s="56" t="s">
        <v>181</v>
      </c>
      <c r="B26" s="57" t="s">
        <v>120</v>
      </c>
      <c r="C26" s="73">
        <v>8.5178875638841564E-2</v>
      </c>
      <c r="D26" s="73">
        <v>7.4899942824471127E-2</v>
      </c>
      <c r="E26" s="73">
        <v>7.8476630121177143E-2</v>
      </c>
      <c r="F26" s="73">
        <v>7.9817559863169893E-2</v>
      </c>
      <c r="G26" s="73">
        <v>7.2337962962962965E-2</v>
      </c>
      <c r="H26" s="73">
        <v>8.5714285714285715E-2</v>
      </c>
      <c r="I26" s="73">
        <v>8.6783891094724896E-2</v>
      </c>
      <c r="J26" s="73">
        <v>8.3617747440273033E-2</v>
      </c>
    </row>
    <row r="27" spans="1:10" x14ac:dyDescent="0.2">
      <c r="A27" s="56" t="s">
        <v>181</v>
      </c>
      <c r="B27" s="57" t="s">
        <v>46</v>
      </c>
      <c r="C27" s="73">
        <v>0.12843011044108679</v>
      </c>
      <c r="D27" s="73">
        <v>0.11737891737891738</v>
      </c>
      <c r="E27" s="73">
        <v>0.11641131999732388</v>
      </c>
      <c r="F27" s="73">
        <v>0.12136707023389305</v>
      </c>
      <c r="G27" s="73">
        <v>9.9669327632853466E-2</v>
      </c>
      <c r="H27" s="73">
        <v>0.11144588396772789</v>
      </c>
      <c r="I27" s="73">
        <v>0.11264687903280582</v>
      </c>
      <c r="J27" s="73">
        <v>0.10964200642109988</v>
      </c>
    </row>
    <row r="28" spans="1:10" ht="30" customHeight="1" x14ac:dyDescent="0.2">
      <c r="A28" s="57" t="s">
        <v>47</v>
      </c>
      <c r="B28" s="57" t="s">
        <v>22</v>
      </c>
      <c r="C28" s="48">
        <v>0.11055276381909548</v>
      </c>
      <c r="D28" s="48">
        <v>0.10857432775240994</v>
      </c>
      <c r="E28" s="48">
        <v>0.11163275952008346</v>
      </c>
      <c r="F28" s="48">
        <v>0.11186974789915967</v>
      </c>
      <c r="G28" s="73">
        <v>8.9681253376553208E-2</v>
      </c>
      <c r="H28" s="73">
        <v>9.5608671484157859E-2</v>
      </c>
      <c r="I28" s="73">
        <v>0.1037079953650058</v>
      </c>
      <c r="J28" s="73">
        <v>0.10330578512396695</v>
      </c>
    </row>
    <row r="29" spans="1:10" x14ac:dyDescent="0.2">
      <c r="A29" s="56" t="s">
        <v>47</v>
      </c>
      <c r="B29" s="57" t="s">
        <v>23</v>
      </c>
      <c r="C29" s="48">
        <v>9.6695226438188495E-2</v>
      </c>
      <c r="D29" s="48">
        <v>9.0421139554087537E-2</v>
      </c>
      <c r="E29" s="48">
        <v>9.03387703889586E-2</v>
      </c>
      <c r="F29" s="48">
        <v>9.136006614303431E-2</v>
      </c>
      <c r="G29" s="73">
        <v>7.1701315231226137E-2</v>
      </c>
      <c r="H29" s="73">
        <v>7.7961672473867594E-2</v>
      </c>
      <c r="I29" s="73">
        <v>7.584650112866817E-2</v>
      </c>
      <c r="J29" s="73">
        <v>8.3294117647058824E-2</v>
      </c>
    </row>
    <row r="30" spans="1:10" x14ac:dyDescent="0.2">
      <c r="A30" s="56" t="s">
        <v>47</v>
      </c>
      <c r="B30" s="57" t="s">
        <v>29</v>
      </c>
      <c r="C30" s="48">
        <v>0.1043956043956044</v>
      </c>
      <c r="D30" s="48">
        <v>0.10055096418732783</v>
      </c>
      <c r="E30" s="48">
        <v>9.8474341192787793E-2</v>
      </c>
      <c r="F30" s="48">
        <v>9.6551724137931033E-2</v>
      </c>
      <c r="G30" s="73">
        <v>8.8111888111888109E-2</v>
      </c>
      <c r="H30" s="73">
        <v>9.3969144460028048E-2</v>
      </c>
      <c r="I30" s="73">
        <v>9.1807909604519775E-2</v>
      </c>
      <c r="J30" s="73">
        <v>9.6350364963503646E-2</v>
      </c>
    </row>
    <row r="31" spans="1:10" x14ac:dyDescent="0.2">
      <c r="A31" s="56" t="s">
        <v>47</v>
      </c>
      <c r="B31" s="57" t="s">
        <v>24</v>
      </c>
      <c r="C31" s="48">
        <v>9.2006033182503777E-2</v>
      </c>
      <c r="D31" s="48">
        <v>7.9027355623100301E-2</v>
      </c>
      <c r="E31" s="48">
        <v>8.294930875576037E-2</v>
      </c>
      <c r="F31" s="48">
        <v>8.1039755351681952E-2</v>
      </c>
      <c r="G31" s="73">
        <v>6.5015479876160992E-2</v>
      </c>
      <c r="H31" s="73">
        <v>8.8855421686746983E-2</v>
      </c>
      <c r="I31" s="73">
        <v>7.8869047619047616E-2</v>
      </c>
      <c r="J31" s="73">
        <v>8.0476900149031291E-2</v>
      </c>
    </row>
    <row r="32" spans="1:10" x14ac:dyDescent="0.2">
      <c r="A32" s="56" t="s">
        <v>47</v>
      </c>
      <c r="B32" s="57" t="s">
        <v>25</v>
      </c>
      <c r="C32" s="48">
        <v>0.13404625714996268</v>
      </c>
      <c r="D32" s="48">
        <v>0.11794997547817558</v>
      </c>
      <c r="E32" s="48">
        <v>0.12369633761823914</v>
      </c>
      <c r="F32" s="48">
        <v>0.12277790945721735</v>
      </c>
      <c r="G32" s="73">
        <v>9.64722822174226E-2</v>
      </c>
      <c r="H32" s="73">
        <v>0.10903732809430255</v>
      </c>
      <c r="I32" s="73">
        <v>0.11424257674886763</v>
      </c>
      <c r="J32" s="73">
        <v>0.10734319224885262</v>
      </c>
    </row>
    <row r="33" spans="1:10" x14ac:dyDescent="0.2">
      <c r="A33" s="56" t="s">
        <v>47</v>
      </c>
      <c r="B33" s="57" t="s">
        <v>2</v>
      </c>
      <c r="C33" s="48">
        <v>0.1111111111111111</v>
      </c>
      <c r="D33" s="48">
        <v>0.11522633744855967</v>
      </c>
      <c r="E33" s="48">
        <v>0.10970464135021098</v>
      </c>
      <c r="F33" s="48">
        <v>0.1148936170212766</v>
      </c>
      <c r="G33" s="73">
        <v>0.10775862068965517</v>
      </c>
      <c r="H33" s="73">
        <v>0.1072961373390558</v>
      </c>
      <c r="I33" s="73">
        <v>0.11965811965811966</v>
      </c>
      <c r="J33" s="73">
        <v>0.10822510822510822</v>
      </c>
    </row>
    <row r="34" spans="1:10" x14ac:dyDescent="0.2">
      <c r="A34" s="56" t="s">
        <v>47</v>
      </c>
      <c r="B34" s="57" t="s">
        <v>3</v>
      </c>
      <c r="C34" s="48">
        <v>8.2073434125269976E-2</v>
      </c>
      <c r="D34" s="48">
        <v>7.3913043478260873E-2</v>
      </c>
      <c r="E34" s="48">
        <v>8.3877995642701528E-2</v>
      </c>
      <c r="F34" s="48">
        <v>7.8748651564185548E-2</v>
      </c>
      <c r="G34" s="73">
        <v>6.8206820682068209E-2</v>
      </c>
      <c r="H34" s="73">
        <v>8.1877729257641918E-2</v>
      </c>
      <c r="I34" s="73">
        <v>8.6580086580086577E-2</v>
      </c>
      <c r="J34" s="73">
        <v>7.9347826086956522E-2</v>
      </c>
    </row>
    <row r="35" spans="1:10" x14ac:dyDescent="0.2">
      <c r="A35" s="56" t="s">
        <v>47</v>
      </c>
      <c r="B35" s="57" t="s">
        <v>30</v>
      </c>
      <c r="C35" s="48">
        <v>0.13179347826086957</v>
      </c>
      <c r="D35" s="48">
        <v>0.12071330589849108</v>
      </c>
      <c r="E35" s="48">
        <v>0.12990527740189445</v>
      </c>
      <c r="F35" s="48">
        <v>0.1276595744680851</v>
      </c>
      <c r="G35" s="73">
        <v>0.11989459815546773</v>
      </c>
      <c r="H35" s="73">
        <v>0.11443433029908973</v>
      </c>
      <c r="I35" s="73">
        <v>0.12420785804816223</v>
      </c>
      <c r="J35" s="73">
        <v>0.11513583441138421</v>
      </c>
    </row>
    <row r="36" spans="1:10" x14ac:dyDescent="0.2">
      <c r="A36" s="56" t="s">
        <v>47</v>
      </c>
      <c r="B36" s="57" t="s">
        <v>4</v>
      </c>
      <c r="C36" s="48">
        <v>0.13014827018121911</v>
      </c>
      <c r="D36" s="48">
        <v>0.13301282051282051</v>
      </c>
      <c r="E36" s="48">
        <v>0.11274509803921569</v>
      </c>
      <c r="F36" s="48">
        <v>0.11690363349131122</v>
      </c>
      <c r="G36" s="73">
        <v>9.9841521394611721E-2</v>
      </c>
      <c r="H36" s="73">
        <v>0.11773940345368916</v>
      </c>
      <c r="I36" s="73">
        <v>0.11004784688995216</v>
      </c>
      <c r="J36" s="73">
        <v>0.10766721044045677</v>
      </c>
    </row>
    <row r="37" spans="1:10" x14ac:dyDescent="0.2">
      <c r="A37" s="56" t="s">
        <v>47</v>
      </c>
      <c r="B37" s="57" t="s">
        <v>32</v>
      </c>
      <c r="C37" s="48">
        <v>0.11728395061728394</v>
      </c>
      <c r="D37" s="48">
        <v>0.11128048780487805</v>
      </c>
      <c r="E37" s="48">
        <v>0.10872894333843798</v>
      </c>
      <c r="F37" s="48">
        <v>0.1</v>
      </c>
      <c r="G37" s="73">
        <v>9.5163806552262087E-2</v>
      </c>
      <c r="H37" s="73">
        <v>0.10078740157480315</v>
      </c>
      <c r="I37" s="73">
        <v>0.11022364217252396</v>
      </c>
      <c r="J37" s="73">
        <v>9.4214876033057851E-2</v>
      </c>
    </row>
    <row r="38" spans="1:10" x14ac:dyDescent="0.2">
      <c r="A38" s="56" t="s">
        <v>47</v>
      </c>
      <c r="B38" s="57" t="s">
        <v>5</v>
      </c>
      <c r="C38" s="48">
        <v>0.11038961038961038</v>
      </c>
      <c r="D38" s="48">
        <v>0.11234177215189874</v>
      </c>
      <c r="E38" s="48">
        <v>0.1046875</v>
      </c>
      <c r="F38" s="48">
        <v>0.10773899848254932</v>
      </c>
      <c r="G38" s="73">
        <v>7.7639751552795025E-2</v>
      </c>
      <c r="H38" s="73">
        <v>9.9533437013996889E-2</v>
      </c>
      <c r="I38" s="73">
        <v>9.5761381475667193E-2</v>
      </c>
      <c r="J38" s="73">
        <v>0.10543130990415335</v>
      </c>
    </row>
    <row r="39" spans="1:10" x14ac:dyDescent="0.2">
      <c r="A39" s="56" t="s">
        <v>47</v>
      </c>
      <c r="B39" s="57" t="s">
        <v>6</v>
      </c>
      <c r="C39" s="48">
        <v>0.12564543889845095</v>
      </c>
      <c r="D39" s="48">
        <v>0.10902896081771721</v>
      </c>
      <c r="E39" s="48">
        <v>0.11754684838160136</v>
      </c>
      <c r="F39" s="48">
        <v>0.11375212224108659</v>
      </c>
      <c r="G39" s="73">
        <v>9.556313993174062E-2</v>
      </c>
      <c r="H39" s="73">
        <v>0.11447811447811448</v>
      </c>
      <c r="I39" s="73">
        <v>0.11054421768707483</v>
      </c>
      <c r="J39" s="73">
        <v>0.11512027491408934</v>
      </c>
    </row>
    <row r="40" spans="1:10" x14ac:dyDescent="0.2">
      <c r="A40" s="56" t="s">
        <v>47</v>
      </c>
      <c r="B40" s="57" t="s">
        <v>8</v>
      </c>
      <c r="C40" s="48">
        <v>0.12607099143206854</v>
      </c>
      <c r="D40" s="48">
        <v>0.11585365853658537</v>
      </c>
      <c r="E40" s="48">
        <v>0.12054120541205413</v>
      </c>
      <c r="F40" s="48">
        <v>0.11936662606577345</v>
      </c>
      <c r="G40" s="73">
        <v>0.10246913580246914</v>
      </c>
      <c r="H40" s="73">
        <v>0.11264080100125157</v>
      </c>
      <c r="I40" s="73">
        <v>0.11612903225806452</v>
      </c>
      <c r="J40" s="73">
        <v>0.112565445026178</v>
      </c>
    </row>
    <row r="41" spans="1:10" x14ac:dyDescent="0.2">
      <c r="A41" s="56" t="s">
        <v>47</v>
      </c>
      <c r="B41" s="57" t="s">
        <v>9</v>
      </c>
      <c r="C41" s="48">
        <v>0.13926596279537456</v>
      </c>
      <c r="D41" s="48">
        <v>0.1276595744680851</v>
      </c>
      <c r="E41" s="48">
        <v>0.11553398058252427</v>
      </c>
      <c r="F41" s="48">
        <v>0.14123760037789324</v>
      </c>
      <c r="G41" s="73">
        <v>9.3549975381585423E-2</v>
      </c>
      <c r="H41" s="73">
        <v>0.10923535253227408</v>
      </c>
      <c r="I41" s="73">
        <v>0.10719915922228061</v>
      </c>
      <c r="J41" s="73">
        <v>0.1064516129032258</v>
      </c>
    </row>
    <row r="42" spans="1:10" x14ac:dyDescent="0.2">
      <c r="A42" s="56" t="s">
        <v>47</v>
      </c>
      <c r="B42" s="57" t="s">
        <v>33</v>
      </c>
      <c r="C42" s="48">
        <v>0.1506782945736434</v>
      </c>
      <c r="D42" s="48">
        <v>0.13855278766310794</v>
      </c>
      <c r="E42" s="48">
        <v>0.1337371854613234</v>
      </c>
      <c r="F42" s="48">
        <v>0.15043638033991732</v>
      </c>
      <c r="G42" s="73">
        <v>0.11950993989828941</v>
      </c>
      <c r="H42" s="73">
        <v>0.13445378151260504</v>
      </c>
      <c r="I42" s="73">
        <v>0.13701707097933513</v>
      </c>
      <c r="J42" s="73">
        <v>0.12508513053348469</v>
      </c>
    </row>
    <row r="43" spans="1:10" x14ac:dyDescent="0.2">
      <c r="A43" s="56" t="s">
        <v>47</v>
      </c>
      <c r="B43" s="57" t="s">
        <v>10</v>
      </c>
      <c r="C43" s="48">
        <v>9.5487932843651632E-2</v>
      </c>
      <c r="D43" s="48">
        <v>9.1627172195892573E-2</v>
      </c>
      <c r="E43" s="48">
        <v>8.3599574014909472E-2</v>
      </c>
      <c r="F43" s="48">
        <v>9.2534174553101992E-2</v>
      </c>
      <c r="G43" s="73">
        <v>7.5320512820512817E-2</v>
      </c>
      <c r="H43" s="73">
        <v>8.7002652519893905E-2</v>
      </c>
      <c r="I43" s="73">
        <v>8.6261980830670923E-2</v>
      </c>
      <c r="J43" s="73">
        <v>9.7118463180362866E-2</v>
      </c>
    </row>
    <row r="44" spans="1:10" x14ac:dyDescent="0.2">
      <c r="A44" s="56" t="s">
        <v>47</v>
      </c>
      <c r="B44" s="57" t="s">
        <v>11</v>
      </c>
      <c r="C44" s="48">
        <v>0.12195121951219512</v>
      </c>
      <c r="D44" s="48">
        <v>0.11570247933884298</v>
      </c>
      <c r="E44" s="48">
        <v>0.10773480662983426</v>
      </c>
      <c r="F44" s="48">
        <v>0.11764705882352941</v>
      </c>
      <c r="G44" s="73">
        <v>9.8870056497175146E-2</v>
      </c>
      <c r="H44" s="73">
        <v>9.3294460641399415E-2</v>
      </c>
      <c r="I44" s="73">
        <v>0.11403508771929824</v>
      </c>
      <c r="J44" s="73">
        <v>0.10365853658536585</v>
      </c>
    </row>
    <row r="45" spans="1:10" x14ac:dyDescent="0.2">
      <c r="A45" s="56" t="s">
        <v>47</v>
      </c>
      <c r="B45" s="57" t="s">
        <v>12</v>
      </c>
      <c r="C45" s="48">
        <v>0.12345679012345678</v>
      </c>
      <c r="D45" s="48">
        <v>0.10887096774193548</v>
      </c>
      <c r="E45" s="48">
        <v>0.10609037328094302</v>
      </c>
      <c r="F45" s="48">
        <v>0.11175337186897881</v>
      </c>
      <c r="G45" s="73">
        <v>9.5864661654135333E-2</v>
      </c>
      <c r="H45" s="73">
        <v>0.10694183864915573</v>
      </c>
      <c r="I45" s="73">
        <v>0.11666666666666667</v>
      </c>
      <c r="J45" s="73">
        <v>0.11296296296296296</v>
      </c>
    </row>
    <row r="46" spans="1:10" x14ac:dyDescent="0.2">
      <c r="A46" s="56" t="s">
        <v>47</v>
      </c>
      <c r="B46" s="57" t="s">
        <v>13</v>
      </c>
      <c r="C46" s="48">
        <v>9.7173144876325085E-2</v>
      </c>
      <c r="D46" s="48">
        <v>0.10896309314586995</v>
      </c>
      <c r="E46" s="48">
        <v>0.10139860139860139</v>
      </c>
      <c r="F46" s="48">
        <v>9.0750436300174514E-2</v>
      </c>
      <c r="G46" s="73">
        <v>7.460035523978685E-2</v>
      </c>
      <c r="H46" s="73">
        <v>8.0645161290322578E-2</v>
      </c>
      <c r="I46" s="73">
        <v>8.6642599277978335E-2</v>
      </c>
      <c r="J46" s="73">
        <v>9.5840867992766726E-2</v>
      </c>
    </row>
    <row r="47" spans="1:10" x14ac:dyDescent="0.2">
      <c r="A47" s="56" t="s">
        <v>47</v>
      </c>
      <c r="B47" s="57" t="s">
        <v>7</v>
      </c>
      <c r="C47" s="48">
        <v>8.4210526315789472E-2</v>
      </c>
      <c r="D47" s="48">
        <v>8.8082901554404139E-2</v>
      </c>
      <c r="E47" s="48">
        <v>7.3684210526315783E-2</v>
      </c>
      <c r="F47" s="48">
        <v>8.0645161290322578E-2</v>
      </c>
      <c r="G47" s="73">
        <v>7.1038251366120214E-2</v>
      </c>
      <c r="H47" s="73">
        <v>5.4945054945054944E-2</v>
      </c>
      <c r="I47" s="73">
        <v>7.4468085106382975E-2</v>
      </c>
      <c r="J47" s="73">
        <v>8.5561497326203204E-2</v>
      </c>
    </row>
    <row r="48" spans="1:10" x14ac:dyDescent="0.2">
      <c r="A48" s="56" t="s">
        <v>47</v>
      </c>
      <c r="B48" s="57" t="s">
        <v>14</v>
      </c>
      <c r="C48" s="48">
        <v>0.1378299120234604</v>
      </c>
      <c r="D48" s="48">
        <v>0.11465892597968069</v>
      </c>
      <c r="E48" s="48">
        <v>0.10294117647058823</v>
      </c>
      <c r="F48" s="48">
        <v>0.12063953488372094</v>
      </c>
      <c r="G48" s="73">
        <v>9.3333333333333338E-2</v>
      </c>
      <c r="H48" s="73">
        <v>0.10207100591715976</v>
      </c>
      <c r="I48" s="73">
        <v>0.10276073619631902</v>
      </c>
      <c r="J48" s="73">
        <v>0.10651828298887123</v>
      </c>
    </row>
    <row r="49" spans="1:10" x14ac:dyDescent="0.2">
      <c r="A49" s="56" t="s">
        <v>47</v>
      </c>
      <c r="B49" s="57" t="s">
        <v>31</v>
      </c>
      <c r="C49" s="48">
        <v>0.15313653136531366</v>
      </c>
      <c r="D49" s="48">
        <v>0.13277006638503319</v>
      </c>
      <c r="E49" s="48">
        <v>0.12928442573662058</v>
      </c>
      <c r="F49" s="48">
        <v>0.13604240282685512</v>
      </c>
      <c r="G49" s="73">
        <v>0.1163895486935867</v>
      </c>
      <c r="H49" s="73">
        <v>0.13557358053302435</v>
      </c>
      <c r="I49" s="73">
        <v>0.13202084539664158</v>
      </c>
      <c r="J49" s="73">
        <v>0.12706855791962174</v>
      </c>
    </row>
    <row r="50" spans="1:10" x14ac:dyDescent="0.2">
      <c r="A50" s="56" t="s">
        <v>47</v>
      </c>
      <c r="B50" s="57" t="s">
        <v>15</v>
      </c>
      <c r="C50" s="48">
        <v>9.1428571428571428E-2</v>
      </c>
      <c r="D50" s="48">
        <v>8.3798882681564241E-2</v>
      </c>
      <c r="E50" s="48">
        <v>6.1111111111111109E-2</v>
      </c>
      <c r="F50" s="48">
        <v>5.5555555555555552E-2</v>
      </c>
      <c r="G50" s="73">
        <v>5.113636363636364E-2</v>
      </c>
      <c r="H50" s="73">
        <v>5.7803468208092484E-2</v>
      </c>
      <c r="I50" s="73">
        <v>6.8571428571428575E-2</v>
      </c>
      <c r="J50" s="73">
        <v>6.741573033707865E-2</v>
      </c>
    </row>
    <row r="51" spans="1:10" x14ac:dyDescent="0.2">
      <c r="A51" s="56" t="s">
        <v>47</v>
      </c>
      <c r="B51" s="57" t="s">
        <v>16</v>
      </c>
      <c r="C51" s="48">
        <v>9.5195729537366547E-2</v>
      </c>
      <c r="D51" s="48">
        <v>9.0430201931518878E-2</v>
      </c>
      <c r="E51" s="48">
        <v>8.2593250444049734E-2</v>
      </c>
      <c r="F51" s="48">
        <v>8.2446808510638292E-2</v>
      </c>
      <c r="G51" s="73">
        <v>7.6717216770740407E-2</v>
      </c>
      <c r="H51" s="73">
        <v>9.2738407699037614E-2</v>
      </c>
      <c r="I51" s="73">
        <v>8.9005235602094238E-2</v>
      </c>
      <c r="J51" s="73">
        <v>8.9956331877729251E-2</v>
      </c>
    </row>
    <row r="52" spans="1:10" x14ac:dyDescent="0.2">
      <c r="A52" s="56" t="s">
        <v>47</v>
      </c>
      <c r="B52" s="57" t="s">
        <v>26</v>
      </c>
      <c r="C52" s="48">
        <v>0.13953488372093023</v>
      </c>
      <c r="D52" s="48">
        <v>0.12289395441030723</v>
      </c>
      <c r="E52" s="48">
        <v>0.11758893280632411</v>
      </c>
      <c r="F52" s="48">
        <v>0.12790697674418605</v>
      </c>
      <c r="G52" s="73">
        <v>0.10634146341463414</v>
      </c>
      <c r="H52" s="73">
        <v>0.12355212355212356</v>
      </c>
      <c r="I52" s="73">
        <v>0.11057225994180407</v>
      </c>
      <c r="J52" s="73">
        <v>0.11643835616438356</v>
      </c>
    </row>
    <row r="53" spans="1:10" x14ac:dyDescent="0.2">
      <c r="A53" s="56" t="s">
        <v>47</v>
      </c>
      <c r="B53" s="57" t="s">
        <v>17</v>
      </c>
      <c r="C53" s="48">
        <v>8.862275449101796E-2</v>
      </c>
      <c r="D53" s="48">
        <v>7.5995174909529548E-2</v>
      </c>
      <c r="E53" s="48">
        <v>7.2392638036809814E-2</v>
      </c>
      <c r="F53" s="48">
        <v>8.1015719467956465E-2</v>
      </c>
      <c r="G53" s="73">
        <v>7.6923076923076927E-2</v>
      </c>
      <c r="H53" s="73">
        <v>8.9928057553956831E-2</v>
      </c>
      <c r="I53" s="73">
        <v>8.7008343265792612E-2</v>
      </c>
      <c r="J53" s="73">
        <v>8.83054892601432E-2</v>
      </c>
    </row>
    <row r="54" spans="1:10" x14ac:dyDescent="0.2">
      <c r="A54" s="56" t="s">
        <v>47</v>
      </c>
      <c r="B54" s="57" t="s">
        <v>18</v>
      </c>
      <c r="C54" s="48">
        <v>8.9947089947089942E-2</v>
      </c>
      <c r="D54" s="48">
        <v>8.4210526315789472E-2</v>
      </c>
      <c r="E54" s="48">
        <v>7.4866310160427801E-2</v>
      </c>
      <c r="F54" s="48">
        <v>5.9139784946236562E-2</v>
      </c>
      <c r="G54" s="73">
        <v>7.650273224043716E-2</v>
      </c>
      <c r="H54" s="73">
        <v>8.0213903743315509E-2</v>
      </c>
      <c r="I54" s="73">
        <v>7.8125E-2</v>
      </c>
      <c r="J54" s="73">
        <v>7.8534031413612565E-2</v>
      </c>
    </row>
    <row r="55" spans="1:10" x14ac:dyDescent="0.2">
      <c r="A55" s="56" t="s">
        <v>47</v>
      </c>
      <c r="B55" s="57" t="s">
        <v>19</v>
      </c>
      <c r="C55" s="48">
        <v>0.12769010043041606</v>
      </c>
      <c r="D55" s="48">
        <v>0.10533910533910534</v>
      </c>
      <c r="E55" s="48">
        <v>0.10204081632653061</v>
      </c>
      <c r="F55" s="48">
        <v>0.1038961038961039</v>
      </c>
      <c r="G55" s="73">
        <v>0.1091703056768559</v>
      </c>
      <c r="H55" s="73">
        <v>0.10419681620839363</v>
      </c>
      <c r="I55" s="73">
        <v>9.5029239766081866E-2</v>
      </c>
      <c r="J55" s="73">
        <v>0.10641399416909621</v>
      </c>
    </row>
    <row r="56" spans="1:10" x14ac:dyDescent="0.2">
      <c r="A56" s="56" t="s">
        <v>47</v>
      </c>
      <c r="B56" s="57" t="s">
        <v>20</v>
      </c>
      <c r="C56" s="48">
        <v>0.13001083423618634</v>
      </c>
      <c r="D56" s="48">
        <v>0.12137486573576799</v>
      </c>
      <c r="E56" s="48">
        <v>0.12048832271762208</v>
      </c>
      <c r="F56" s="48">
        <v>0.12087912087912088</v>
      </c>
      <c r="G56" s="73">
        <v>0.10625986322987901</v>
      </c>
      <c r="H56" s="73">
        <v>0.121875</v>
      </c>
      <c r="I56" s="73">
        <v>0.12271540469973891</v>
      </c>
      <c r="J56" s="73">
        <v>0.11675392670157068</v>
      </c>
    </row>
    <row r="57" spans="1:10" x14ac:dyDescent="0.2">
      <c r="A57" s="56" t="s">
        <v>47</v>
      </c>
      <c r="B57" s="57" t="s">
        <v>21</v>
      </c>
      <c r="C57" s="48">
        <v>0.10171730515191546</v>
      </c>
      <c r="D57" s="48">
        <v>9.5674967234600256E-2</v>
      </c>
      <c r="E57" s="48">
        <v>0.11498708010335917</v>
      </c>
      <c r="F57" s="48">
        <v>9.8296199213630406E-2</v>
      </c>
      <c r="G57" s="73">
        <v>8.9356110381077533E-2</v>
      </c>
      <c r="H57" s="73">
        <v>9.1511936339522551E-2</v>
      </c>
      <c r="I57" s="73">
        <v>9.3959731543624164E-2</v>
      </c>
      <c r="J57" s="73">
        <v>9.6774193548387094E-2</v>
      </c>
    </row>
    <row r="58" spans="1:10" x14ac:dyDescent="0.2">
      <c r="A58" s="56" t="s">
        <v>47</v>
      </c>
      <c r="B58" s="57" t="s">
        <v>27</v>
      </c>
      <c r="C58" s="48">
        <v>0.14463840399002495</v>
      </c>
      <c r="D58" s="48">
        <v>0.12846347607052896</v>
      </c>
      <c r="E58" s="48">
        <v>0.13250000000000001</v>
      </c>
      <c r="F58" s="48">
        <v>0.15130023640661938</v>
      </c>
      <c r="G58" s="73">
        <v>0.11395348837209303</v>
      </c>
      <c r="H58" s="73">
        <v>0.1079136690647482</v>
      </c>
      <c r="I58" s="73">
        <v>0.12562814070351758</v>
      </c>
      <c r="J58" s="73">
        <v>0.11645569620253164</v>
      </c>
    </row>
    <row r="59" spans="1:10" x14ac:dyDescent="0.2">
      <c r="A59" s="56" t="s">
        <v>47</v>
      </c>
      <c r="B59" s="57" t="s">
        <v>28</v>
      </c>
      <c r="C59" s="48">
        <v>0.14198782961460446</v>
      </c>
      <c r="D59" s="48">
        <v>0.12048192771084337</v>
      </c>
      <c r="E59" s="48">
        <v>0.13030602171767028</v>
      </c>
      <c r="F59" s="48">
        <v>0.12109375</v>
      </c>
      <c r="G59" s="73">
        <v>0.11187438665358194</v>
      </c>
      <c r="H59" s="73">
        <v>0.13170731707317074</v>
      </c>
      <c r="I59" s="73">
        <v>0.1225296442687747</v>
      </c>
      <c r="J59" s="73">
        <v>0.12008072653884964</v>
      </c>
    </row>
    <row r="60" spans="1:10" ht="29.1" customHeight="1" x14ac:dyDescent="0.2">
      <c r="A60" s="57" t="s">
        <v>182</v>
      </c>
      <c r="B60" s="57" t="s">
        <v>54</v>
      </c>
      <c r="C60" s="48">
        <v>0.10552897395002658</v>
      </c>
      <c r="D60" s="48">
        <v>0.10260542573193661</v>
      </c>
      <c r="E60" s="48">
        <v>0.10283200439923014</v>
      </c>
      <c r="F60" s="48">
        <v>0.10309843707156567</v>
      </c>
      <c r="G60" s="73">
        <v>8.1454340473506207E-2</v>
      </c>
      <c r="H60" s="73">
        <v>8.7739686228936659E-2</v>
      </c>
      <c r="I60" s="73">
        <v>8.997273553468646E-2</v>
      </c>
      <c r="J60" s="73">
        <v>9.4239198497182222E-2</v>
      </c>
    </row>
    <row r="61" spans="1:10" x14ac:dyDescent="0.2">
      <c r="A61" s="56" t="s">
        <v>182</v>
      </c>
      <c r="B61" s="56" t="s">
        <v>55</v>
      </c>
      <c r="C61" s="48">
        <v>0.10989010989010989</v>
      </c>
      <c r="D61" s="48">
        <v>0.10344827586206896</v>
      </c>
      <c r="E61" s="48">
        <v>0.1111111111111111</v>
      </c>
      <c r="F61" s="48">
        <v>0.11235955056179775</v>
      </c>
      <c r="G61" s="73">
        <v>8.9385474860335198E-2</v>
      </c>
      <c r="H61" s="73">
        <v>8.0924855491329481E-2</v>
      </c>
      <c r="I61" s="73">
        <v>5.9602649006622516E-2</v>
      </c>
      <c r="J61" s="73">
        <v>0.10135135135135136</v>
      </c>
    </row>
    <row r="62" spans="1:10" x14ac:dyDescent="0.2">
      <c r="A62" s="56" t="s">
        <v>182</v>
      </c>
      <c r="B62" s="56" t="s">
        <v>56</v>
      </c>
      <c r="C62" s="48">
        <v>0.11439114391143912</v>
      </c>
      <c r="D62" s="48">
        <v>9.2307692307692313E-2</v>
      </c>
      <c r="E62" s="48">
        <v>0.11654135338345864</v>
      </c>
      <c r="F62" s="48">
        <v>0.10486891385767791</v>
      </c>
      <c r="G62" s="73">
        <v>0.10943396226415095</v>
      </c>
      <c r="H62" s="73">
        <v>9.8484848484848481E-2</v>
      </c>
      <c r="I62" s="73">
        <v>8.984375E-2</v>
      </c>
      <c r="J62" s="73">
        <v>9.166666666666666E-2</v>
      </c>
    </row>
    <row r="63" spans="1:10" x14ac:dyDescent="0.2">
      <c r="A63" s="56" t="s">
        <v>182</v>
      </c>
      <c r="B63" s="56" t="s">
        <v>57</v>
      </c>
      <c r="C63" s="48">
        <v>0.1111111111111111</v>
      </c>
      <c r="D63" s="48">
        <v>7.575757575757576E-2</v>
      </c>
      <c r="E63" s="48">
        <v>8.3969465648854963E-2</v>
      </c>
      <c r="F63" s="48">
        <v>9.8484848484848481E-2</v>
      </c>
      <c r="G63" s="73">
        <v>6.25E-2</v>
      </c>
      <c r="H63" s="73">
        <v>8.5271317829457363E-2</v>
      </c>
      <c r="I63" s="73">
        <v>8.9552238805970144E-2</v>
      </c>
      <c r="J63" s="73">
        <v>0.10294117647058823</v>
      </c>
    </row>
    <row r="64" spans="1:10" x14ac:dyDescent="0.2">
      <c r="A64" s="56" t="s">
        <v>182</v>
      </c>
      <c r="B64" s="56" t="s">
        <v>58</v>
      </c>
      <c r="C64" s="48">
        <v>0.13316582914572864</v>
      </c>
      <c r="D64" s="48">
        <v>0.11596009975062344</v>
      </c>
      <c r="E64" s="48">
        <v>0.10592686002522068</v>
      </c>
      <c r="F64" s="48">
        <v>0.11042944785276074</v>
      </c>
      <c r="G64" s="73">
        <v>0.10794044665012408</v>
      </c>
      <c r="H64" s="73">
        <v>0.10723192019950124</v>
      </c>
      <c r="I64" s="73">
        <v>0.10012674271229405</v>
      </c>
      <c r="J64" s="73">
        <v>0.10970996216897856</v>
      </c>
    </row>
    <row r="65" spans="1:10" x14ac:dyDescent="0.2">
      <c r="A65" s="56" t="s">
        <v>182</v>
      </c>
      <c r="B65" s="56" t="s">
        <v>96</v>
      </c>
      <c r="C65" s="48">
        <v>9.285714285714286E-2</v>
      </c>
      <c r="D65" s="48">
        <v>7.9710144927536225E-2</v>
      </c>
      <c r="E65" s="48">
        <v>5.8823529411764705E-2</v>
      </c>
      <c r="F65" s="48">
        <v>6.6666666666666666E-2</v>
      </c>
      <c r="G65" s="73">
        <v>6.9230769230769235E-2</v>
      </c>
      <c r="H65" s="73">
        <v>9.7014925373134331E-2</v>
      </c>
      <c r="I65" s="73">
        <v>8.2089552238805971E-2</v>
      </c>
      <c r="J65" s="73">
        <v>9.4890510948905105E-2</v>
      </c>
    </row>
    <row r="66" spans="1:10" x14ac:dyDescent="0.2">
      <c r="A66" s="56" t="s">
        <v>182</v>
      </c>
      <c r="B66" s="56" t="s">
        <v>59</v>
      </c>
      <c r="C66" s="48">
        <v>6.9444444444444448E-2</v>
      </c>
      <c r="D66" s="48">
        <v>8.3333333333333329E-2</v>
      </c>
      <c r="E66" s="48">
        <v>5.6338028169014086E-2</v>
      </c>
      <c r="F66" s="48">
        <v>9.8591549295774641E-2</v>
      </c>
      <c r="G66" s="73">
        <v>4.4776119402985072E-2</v>
      </c>
      <c r="H66" s="73">
        <v>0.1</v>
      </c>
      <c r="I66" s="73">
        <v>9.7222222222222224E-2</v>
      </c>
      <c r="J66" s="73">
        <v>8.2191780821917804E-2</v>
      </c>
    </row>
    <row r="67" spans="1:10" x14ac:dyDescent="0.2">
      <c r="A67" s="56" t="s">
        <v>182</v>
      </c>
      <c r="B67" s="56" t="s">
        <v>60</v>
      </c>
      <c r="C67" s="48">
        <v>5.8823529411764705E-2</v>
      </c>
      <c r="D67" s="48">
        <v>7.8431372549019607E-2</v>
      </c>
      <c r="E67" s="48">
        <v>5.8823529411764705E-2</v>
      </c>
      <c r="F67" s="48">
        <v>6.1224489795918366E-2</v>
      </c>
      <c r="G67" s="73">
        <v>8.1632653061224483E-2</v>
      </c>
      <c r="H67" s="73">
        <v>7.8431372549019607E-2</v>
      </c>
      <c r="I67" s="73">
        <v>3.9215686274509803E-2</v>
      </c>
      <c r="J67" s="73">
        <v>4.0816326530612242E-2</v>
      </c>
    </row>
    <row r="68" spans="1:10" x14ac:dyDescent="0.2">
      <c r="A68" s="56" t="s">
        <v>182</v>
      </c>
      <c r="B68" s="56" t="s">
        <v>97</v>
      </c>
      <c r="C68" s="48">
        <v>0.1</v>
      </c>
      <c r="D68" s="48">
        <v>9.6774193548387094E-2</v>
      </c>
      <c r="E68" s="48">
        <v>0.125</v>
      </c>
      <c r="F68" s="48">
        <v>9.0909090909090912E-2</v>
      </c>
      <c r="G68" s="73">
        <v>8.6956521739130432E-2</v>
      </c>
      <c r="H68" s="73">
        <v>0.10144927536231885</v>
      </c>
      <c r="I68" s="73">
        <v>7.575757575757576E-2</v>
      </c>
      <c r="J68" s="73">
        <v>0.1076923076923077</v>
      </c>
    </row>
    <row r="69" spans="1:10" x14ac:dyDescent="0.2">
      <c r="A69" s="56" t="s">
        <v>182</v>
      </c>
      <c r="B69" s="56" t="s">
        <v>61</v>
      </c>
      <c r="C69" s="48">
        <v>6.569343065693431E-2</v>
      </c>
      <c r="D69" s="48">
        <v>6.7164179104477612E-2</v>
      </c>
      <c r="E69" s="48">
        <v>6.7164179104477612E-2</v>
      </c>
      <c r="F69" s="48">
        <v>5.9259259259259262E-2</v>
      </c>
      <c r="G69" s="73">
        <v>6.7669172932330823E-2</v>
      </c>
      <c r="H69" s="73">
        <v>7.5187969924812026E-2</v>
      </c>
      <c r="I69" s="73">
        <v>6.1538461538461542E-2</v>
      </c>
      <c r="J69" s="73">
        <v>6.9767441860465115E-2</v>
      </c>
    </row>
    <row r="70" spans="1:10" x14ac:dyDescent="0.2">
      <c r="A70" s="56" t="s">
        <v>182</v>
      </c>
      <c r="B70" s="56" t="s">
        <v>62</v>
      </c>
      <c r="C70" s="48">
        <v>0.12103746397694524</v>
      </c>
      <c r="D70" s="48">
        <v>0.11560693641618497</v>
      </c>
      <c r="E70" s="48">
        <v>0.11271676300578035</v>
      </c>
      <c r="F70" s="48">
        <v>0.13513513513513514</v>
      </c>
      <c r="G70" s="73">
        <v>8.7301587301587297E-2</v>
      </c>
      <c r="H70" s="73">
        <v>9.5108695652173919E-2</v>
      </c>
      <c r="I70" s="73">
        <v>9.3567251461988299E-2</v>
      </c>
      <c r="J70" s="73">
        <v>0.10059171597633136</v>
      </c>
    </row>
    <row r="71" spans="1:10" x14ac:dyDescent="0.2">
      <c r="A71" s="56" t="s">
        <v>182</v>
      </c>
      <c r="B71" s="56" t="s">
        <v>63</v>
      </c>
      <c r="C71" s="48">
        <v>9.0252707581227443E-2</v>
      </c>
      <c r="D71" s="48">
        <v>7.4275362318840576E-2</v>
      </c>
      <c r="E71" s="48">
        <v>8.9090909090909096E-2</v>
      </c>
      <c r="F71" s="48">
        <v>8.4380610412926396E-2</v>
      </c>
      <c r="G71" s="73">
        <v>7.1428571428571425E-2</v>
      </c>
      <c r="H71" s="73">
        <v>8.3788706739526417E-2</v>
      </c>
      <c r="I71" s="73">
        <v>9.4306049822064059E-2</v>
      </c>
      <c r="J71" s="73">
        <v>8.3778966131907315E-2</v>
      </c>
    </row>
    <row r="72" spans="1:10" x14ac:dyDescent="0.2">
      <c r="A72" s="56" t="s">
        <v>182</v>
      </c>
      <c r="B72" s="56" t="s">
        <v>64</v>
      </c>
      <c r="C72" s="48">
        <v>0.11651234567901235</v>
      </c>
      <c r="D72" s="48">
        <v>0.11102544333076329</v>
      </c>
      <c r="E72" s="48">
        <v>0.11351351351351352</v>
      </c>
      <c r="F72" s="48">
        <v>0.11204268292682927</v>
      </c>
      <c r="G72" s="73">
        <v>0.10160427807486631</v>
      </c>
      <c r="H72" s="73">
        <v>0.10708898944193061</v>
      </c>
      <c r="I72" s="73">
        <v>0.11127596439169139</v>
      </c>
      <c r="J72" s="73">
        <v>0.10725075528700906</v>
      </c>
    </row>
    <row r="73" spans="1:10" x14ac:dyDescent="0.2">
      <c r="A73" s="56" t="s">
        <v>182</v>
      </c>
      <c r="B73" s="56" t="s">
        <v>65</v>
      </c>
      <c r="C73" s="48">
        <v>0.15566944266495836</v>
      </c>
      <c r="D73" s="48">
        <v>0.13730255164034022</v>
      </c>
      <c r="E73" s="48">
        <v>0.12012195121951219</v>
      </c>
      <c r="F73" s="48">
        <v>0.15165876777251186</v>
      </c>
      <c r="G73" s="73">
        <v>9.9009900990099015E-2</v>
      </c>
      <c r="H73" s="73">
        <v>0.11383647798742139</v>
      </c>
      <c r="I73" s="73">
        <v>0.11209239130434782</v>
      </c>
      <c r="J73" s="73">
        <v>0.116214335421016</v>
      </c>
    </row>
    <row r="74" spans="1:10" x14ac:dyDescent="0.2">
      <c r="A74" s="56" t="s">
        <v>182</v>
      </c>
      <c r="B74" s="56" t="s">
        <v>66</v>
      </c>
      <c r="C74" s="48">
        <v>8.2191780821917804E-2</v>
      </c>
      <c r="D74" s="48">
        <v>5.6737588652482268E-2</v>
      </c>
      <c r="E74" s="48">
        <v>7.407407407407407E-2</v>
      </c>
      <c r="F74" s="48">
        <v>8.2089552238805971E-2</v>
      </c>
      <c r="G74" s="73">
        <v>6.0606060606060608E-2</v>
      </c>
      <c r="H74" s="73">
        <v>8.2089552238805971E-2</v>
      </c>
      <c r="I74" s="73">
        <v>9.4890510948905105E-2</v>
      </c>
      <c r="J74" s="73">
        <v>7.857142857142857E-2</v>
      </c>
    </row>
    <row r="75" spans="1:10" x14ac:dyDescent="0.2">
      <c r="A75" s="56" t="s">
        <v>182</v>
      </c>
      <c r="B75" s="56" t="s">
        <v>67</v>
      </c>
      <c r="C75" s="48">
        <v>0.12995552117578804</v>
      </c>
      <c r="D75" s="48">
        <v>0.11616834888592649</v>
      </c>
      <c r="E75" s="48">
        <v>0.11926260346124906</v>
      </c>
      <c r="F75" s="48">
        <v>0.11980889378904815</v>
      </c>
      <c r="G75" s="73">
        <v>9.3761604158930562E-2</v>
      </c>
      <c r="H75" s="73">
        <v>0.10754110754110754</v>
      </c>
      <c r="I75" s="73">
        <v>0.11194605009633911</v>
      </c>
      <c r="J75" s="73">
        <v>0.1073589693538942</v>
      </c>
    </row>
    <row r="76" spans="1:10" x14ac:dyDescent="0.2">
      <c r="A76" s="56" t="s">
        <v>182</v>
      </c>
      <c r="B76" s="56" t="s">
        <v>68</v>
      </c>
      <c r="C76" s="48">
        <v>9.7244732576985418E-2</v>
      </c>
      <c r="D76" s="48">
        <v>0.1050080775444265</v>
      </c>
      <c r="E76" s="48">
        <v>9.6774193548387094E-2</v>
      </c>
      <c r="F76" s="48">
        <v>9.0177133655394523E-2</v>
      </c>
      <c r="G76" s="73">
        <v>7.3529411764705885E-2</v>
      </c>
      <c r="H76" s="73">
        <v>7.9207920792079209E-2</v>
      </c>
      <c r="I76" s="73">
        <v>8.6378737541528236E-2</v>
      </c>
      <c r="J76" s="73">
        <v>9.1819699499165269E-2</v>
      </c>
    </row>
    <row r="77" spans="1:10" x14ac:dyDescent="0.2">
      <c r="A77" s="56" t="s">
        <v>182</v>
      </c>
      <c r="B77" s="56" t="s">
        <v>69</v>
      </c>
      <c r="C77" s="48">
        <v>0.11336032388663968</v>
      </c>
      <c r="D77" s="48">
        <v>0.10862068965517241</v>
      </c>
      <c r="E77" s="48">
        <v>0.11615871190339276</v>
      </c>
      <c r="F77" s="48">
        <v>0.10885929357266937</v>
      </c>
      <c r="G77" s="73">
        <v>9.8591549295774641E-2</v>
      </c>
      <c r="H77" s="73">
        <v>0.10348905972797161</v>
      </c>
      <c r="I77" s="73">
        <v>0.10649819494584838</v>
      </c>
      <c r="J77" s="73">
        <v>0.10542352224253504</v>
      </c>
    </row>
    <row r="78" spans="1:10" x14ac:dyDescent="0.2">
      <c r="A78" s="56" t="s">
        <v>182</v>
      </c>
      <c r="B78" s="56" t="s">
        <v>70</v>
      </c>
      <c r="C78" s="48">
        <v>6.8965517241379309E-2</v>
      </c>
      <c r="D78" s="48">
        <v>8.8888888888888892E-2</v>
      </c>
      <c r="E78" s="48">
        <v>8.2872928176795577E-2</v>
      </c>
      <c r="F78" s="48">
        <v>6.5573770491803282E-2</v>
      </c>
      <c r="G78" s="73">
        <v>7.650273224043716E-2</v>
      </c>
      <c r="H78" s="73">
        <v>9.5238095238095233E-2</v>
      </c>
      <c r="I78" s="73">
        <v>9.5959595959595953E-2</v>
      </c>
      <c r="J78" s="73">
        <v>9.950248756218906E-2</v>
      </c>
    </row>
    <row r="79" spans="1:10" x14ac:dyDescent="0.2">
      <c r="A79" s="56" t="s">
        <v>182</v>
      </c>
      <c r="B79" s="56" t="s">
        <v>71</v>
      </c>
      <c r="C79" s="48">
        <v>7.3825503355704702E-2</v>
      </c>
      <c r="D79" s="48">
        <v>7.3825503355704702E-2</v>
      </c>
      <c r="E79" s="48">
        <v>9.2715231788079472E-2</v>
      </c>
      <c r="F79" s="48">
        <v>8.5526315789473686E-2</v>
      </c>
      <c r="G79" s="73">
        <v>8.7248322147651006E-2</v>
      </c>
      <c r="H79" s="73">
        <v>6.8493150684931503E-2</v>
      </c>
      <c r="I79" s="73">
        <v>8.9655172413793102E-2</v>
      </c>
      <c r="J79" s="73">
        <v>0.1048951048951049</v>
      </c>
    </row>
    <row r="80" spans="1:10" x14ac:dyDescent="0.2">
      <c r="A80" s="56" t="s">
        <v>182</v>
      </c>
      <c r="B80" s="56" t="s">
        <v>72</v>
      </c>
      <c r="C80" s="48">
        <v>0.10046728971962617</v>
      </c>
      <c r="D80" s="48">
        <v>7.9254079254079249E-2</v>
      </c>
      <c r="E80" s="48">
        <v>7.8199052132701424E-2</v>
      </c>
      <c r="F80" s="48">
        <v>9.0487238979118326E-2</v>
      </c>
      <c r="G80" s="73">
        <v>7.9254079254079249E-2</v>
      </c>
      <c r="H80" s="73">
        <v>8.9861751152073732E-2</v>
      </c>
      <c r="I80" s="73">
        <v>8.2379862700228831E-2</v>
      </c>
      <c r="J80" s="73">
        <v>8.755760368663594E-2</v>
      </c>
    </row>
    <row r="81" spans="1:10" x14ac:dyDescent="0.2">
      <c r="A81" s="56" t="s">
        <v>182</v>
      </c>
      <c r="B81" s="56" t="s">
        <v>73</v>
      </c>
      <c r="C81" s="48">
        <v>6.5573770491803282E-2</v>
      </c>
      <c r="D81" s="48">
        <v>6.8965517241379309E-2</v>
      </c>
      <c r="E81" s="48">
        <v>5.3571428571428568E-2</v>
      </c>
      <c r="F81" s="48">
        <v>7.1428571428571425E-2</v>
      </c>
      <c r="G81" s="73">
        <v>7.2727272727272724E-2</v>
      </c>
      <c r="H81" s="73">
        <v>8.771929824561403E-2</v>
      </c>
      <c r="I81" s="73">
        <v>7.1428571428571425E-2</v>
      </c>
      <c r="J81" s="73">
        <v>7.2727272727272724E-2</v>
      </c>
    </row>
    <row r="82" spans="1:10" x14ac:dyDescent="0.2">
      <c r="A82" s="56" t="s">
        <v>182</v>
      </c>
      <c r="B82" s="56" t="s">
        <v>53</v>
      </c>
      <c r="C82" s="48">
        <v>0.14278435868042288</v>
      </c>
      <c r="D82" s="48">
        <v>0.12998874014762918</v>
      </c>
      <c r="E82" s="48">
        <v>0.12667161961367013</v>
      </c>
      <c r="F82" s="48">
        <v>0.13620246973957698</v>
      </c>
      <c r="G82" s="73">
        <v>0.11298461538461538</v>
      </c>
      <c r="H82" s="73">
        <v>0.1276104905293832</v>
      </c>
      <c r="I82" s="73">
        <v>0.12792247122955785</v>
      </c>
      <c r="J82" s="73">
        <v>0.12020585712535228</v>
      </c>
    </row>
    <row r="83" spans="1:10" x14ac:dyDescent="0.2">
      <c r="A83" s="56" t="s">
        <v>182</v>
      </c>
      <c r="B83" s="56" t="s">
        <v>74</v>
      </c>
      <c r="C83" s="48">
        <v>6.3829787234042548E-2</v>
      </c>
      <c r="D83" s="48">
        <v>0.10526315789473684</v>
      </c>
      <c r="E83" s="48">
        <v>5.4945054945054944E-2</v>
      </c>
      <c r="F83" s="48">
        <v>9.6774193548387094E-2</v>
      </c>
      <c r="G83" s="73">
        <v>6.5217391304347824E-2</v>
      </c>
      <c r="H83" s="73">
        <v>6.741573033707865E-2</v>
      </c>
      <c r="I83" s="73">
        <v>8.7912087912087919E-2</v>
      </c>
      <c r="J83" s="73">
        <v>6.9767441860465115E-2</v>
      </c>
    </row>
    <row r="84" spans="1:10" x14ac:dyDescent="0.2">
      <c r="A84" s="56" t="s">
        <v>182</v>
      </c>
      <c r="B84" s="56" t="s">
        <v>75</v>
      </c>
      <c r="C84" s="48">
        <v>0.12176165803108809</v>
      </c>
      <c r="D84" s="48">
        <v>0.11315789473684211</v>
      </c>
      <c r="E84" s="48">
        <v>0.10638297872340426</v>
      </c>
      <c r="F84" s="48">
        <v>0.11559139784946236</v>
      </c>
      <c r="G84" s="73">
        <v>9.5108695652173919E-2</v>
      </c>
      <c r="H84" s="73">
        <v>9.217877094972067E-2</v>
      </c>
      <c r="I84" s="73">
        <v>0.11204481792717087</v>
      </c>
      <c r="J84" s="73">
        <v>0.1</v>
      </c>
    </row>
    <row r="85" spans="1:10" x14ac:dyDescent="0.2">
      <c r="A85" s="56" t="s">
        <v>182</v>
      </c>
      <c r="B85" s="56" t="s">
        <v>76</v>
      </c>
      <c r="C85" s="48">
        <v>7.0175438596491224E-2</v>
      </c>
      <c r="D85" s="48">
        <v>7.1111111111111111E-2</v>
      </c>
      <c r="E85" s="48">
        <v>6.7567567567567571E-2</v>
      </c>
      <c r="F85" s="48">
        <v>7.1428571428571425E-2</v>
      </c>
      <c r="G85" s="73">
        <v>8.4070796460176997E-2</v>
      </c>
      <c r="H85" s="73">
        <v>8.15450643776824E-2</v>
      </c>
      <c r="I85" s="73">
        <v>9.6638655462184878E-2</v>
      </c>
      <c r="J85" s="73">
        <v>8.7866108786610872E-2</v>
      </c>
    </row>
    <row r="86" spans="1:10" x14ac:dyDescent="0.2">
      <c r="A86" s="56" t="s">
        <v>182</v>
      </c>
      <c r="B86" s="56" t="s">
        <v>77</v>
      </c>
      <c r="C86" s="48">
        <v>0.10312862108922363</v>
      </c>
      <c r="D86" s="48">
        <v>9.9537037037037035E-2</v>
      </c>
      <c r="E86" s="48">
        <v>8.8578088578088576E-2</v>
      </c>
      <c r="F86" s="48">
        <v>9.3858632676709158E-2</v>
      </c>
      <c r="G86" s="73">
        <v>8.5280373831775697E-2</v>
      </c>
      <c r="H86" s="73">
        <v>9.4470046082949302E-2</v>
      </c>
      <c r="I86" s="73">
        <v>9.4470046082949302E-2</v>
      </c>
      <c r="J86" s="73">
        <v>0.10562571756601608</v>
      </c>
    </row>
    <row r="87" spans="1:10" x14ac:dyDescent="0.2">
      <c r="A87" s="56" t="s">
        <v>182</v>
      </c>
      <c r="B87" s="56" t="s">
        <v>78</v>
      </c>
      <c r="C87" s="48">
        <v>0.13384321223709369</v>
      </c>
      <c r="D87" s="48">
        <v>0.12075471698113208</v>
      </c>
      <c r="E87" s="48">
        <v>0.10803059273422562</v>
      </c>
      <c r="F87" s="48">
        <v>0.12064090480678605</v>
      </c>
      <c r="G87" s="73">
        <v>9.9715099715099717E-2</v>
      </c>
      <c r="H87" s="73">
        <v>0.10922787193973635</v>
      </c>
      <c r="I87" s="73">
        <v>0.10521235521235521</v>
      </c>
      <c r="J87" s="73">
        <v>0.106</v>
      </c>
    </row>
    <row r="88" spans="1:10" x14ac:dyDescent="0.2">
      <c r="A88" s="56" t="s">
        <v>182</v>
      </c>
      <c r="B88" s="56" t="s">
        <v>79</v>
      </c>
      <c r="C88" s="48">
        <v>0.1391465677179963</v>
      </c>
      <c r="D88" s="48">
        <v>0.11889400921658987</v>
      </c>
      <c r="E88" s="48">
        <v>0.12964641885766093</v>
      </c>
      <c r="F88" s="48">
        <v>0.12186379928315412</v>
      </c>
      <c r="G88" s="73">
        <v>0.10820559062218214</v>
      </c>
      <c r="H88" s="73">
        <v>0.13094170403587443</v>
      </c>
      <c r="I88" s="73">
        <v>0.12112932604735883</v>
      </c>
      <c r="J88" s="73">
        <v>0.11955514365152919</v>
      </c>
    </row>
    <row r="89" spans="1:10" x14ac:dyDescent="0.2">
      <c r="A89" s="56" t="s">
        <v>182</v>
      </c>
      <c r="B89" s="56" t="s">
        <v>80</v>
      </c>
      <c r="C89" s="48">
        <v>6.25E-2</v>
      </c>
      <c r="D89" s="48">
        <v>7.5949367088607597E-2</v>
      </c>
      <c r="E89" s="48">
        <v>5.1948051948051951E-2</v>
      </c>
      <c r="F89" s="48">
        <v>7.6923076923076927E-2</v>
      </c>
      <c r="G89" s="73">
        <v>6.5789473684210523E-2</v>
      </c>
      <c r="H89" s="73">
        <v>7.792207792207792E-2</v>
      </c>
      <c r="I89" s="73">
        <v>7.4999999999999997E-2</v>
      </c>
      <c r="J89" s="73">
        <v>8.7499999999999994E-2</v>
      </c>
    </row>
    <row r="90" spans="1:10" x14ac:dyDescent="0.2">
      <c r="A90" s="56" t="s">
        <v>182</v>
      </c>
      <c r="B90" s="56" t="s">
        <v>81</v>
      </c>
      <c r="C90" s="48">
        <v>0.14241486068111456</v>
      </c>
      <c r="D90" s="48">
        <v>0.12620087336244543</v>
      </c>
      <c r="E90" s="48">
        <v>0.12624297449200172</v>
      </c>
      <c r="F90" s="48">
        <v>0.12919677008074798</v>
      </c>
      <c r="G90" s="73">
        <v>0.110397946084724</v>
      </c>
      <c r="H90" s="73">
        <v>0.12710437710437711</v>
      </c>
      <c r="I90" s="73">
        <v>0.12782900251466892</v>
      </c>
      <c r="J90" s="73">
        <v>0.12245762711864407</v>
      </c>
    </row>
    <row r="91" spans="1:10" x14ac:dyDescent="0.2">
      <c r="A91" s="56" t="s">
        <v>182</v>
      </c>
      <c r="B91" s="56" t="s">
        <v>82</v>
      </c>
      <c r="C91" s="48">
        <v>8.3333333333333329E-2</v>
      </c>
      <c r="D91" s="48">
        <v>7.2289156626506021E-2</v>
      </c>
      <c r="E91" s="48">
        <v>0.10344827586206896</v>
      </c>
      <c r="F91" s="48">
        <v>7.8651685393258425E-2</v>
      </c>
      <c r="G91" s="73">
        <v>5.8139534883720929E-2</v>
      </c>
      <c r="H91" s="73">
        <v>0.1</v>
      </c>
      <c r="I91" s="73">
        <v>7.6086956521739135E-2</v>
      </c>
      <c r="J91" s="73">
        <v>8.247422680412371E-2</v>
      </c>
    </row>
    <row r="92" spans="1:10" x14ac:dyDescent="0.2">
      <c r="A92" s="56" t="s">
        <v>182</v>
      </c>
      <c r="B92" s="56" t="s">
        <v>83</v>
      </c>
      <c r="C92" s="48">
        <v>6.8965517241379309E-2</v>
      </c>
      <c r="D92" s="48">
        <v>6.0240963855421686E-2</v>
      </c>
      <c r="E92" s="48">
        <v>7.0588235294117646E-2</v>
      </c>
      <c r="F92" s="48">
        <v>7.1428571428571425E-2</v>
      </c>
      <c r="G92" s="73">
        <v>6.1728395061728392E-2</v>
      </c>
      <c r="H92" s="73">
        <v>7.3170731707317069E-2</v>
      </c>
      <c r="I92" s="73">
        <v>8.2352941176470587E-2</v>
      </c>
      <c r="J92" s="73">
        <v>5.8823529411764705E-2</v>
      </c>
    </row>
    <row r="93" spans="1:10" x14ac:dyDescent="0.2">
      <c r="A93" s="56" t="s">
        <v>182</v>
      </c>
      <c r="B93" s="56" t="s">
        <v>84</v>
      </c>
      <c r="C93" s="48">
        <v>0.1</v>
      </c>
      <c r="D93" s="48">
        <v>7.8947368421052627E-2</v>
      </c>
      <c r="E93" s="48">
        <v>8.0536912751677847E-2</v>
      </c>
      <c r="F93" s="48">
        <v>7.2368421052631582E-2</v>
      </c>
      <c r="G93" s="73">
        <v>6.535947712418301E-2</v>
      </c>
      <c r="H93" s="73">
        <v>9.4339622641509441E-2</v>
      </c>
      <c r="I93" s="73">
        <v>7.9754601226993863E-2</v>
      </c>
      <c r="J93" s="73">
        <v>8.1761006289308172E-2</v>
      </c>
    </row>
    <row r="94" spans="1:10" x14ac:dyDescent="0.2">
      <c r="A94" s="56" t="s">
        <v>182</v>
      </c>
      <c r="B94" s="56" t="s">
        <v>15</v>
      </c>
      <c r="C94" s="48">
        <v>9.1428571428571428E-2</v>
      </c>
      <c r="D94" s="48">
        <v>8.3798882681564241E-2</v>
      </c>
      <c r="E94" s="48">
        <v>6.1111111111111109E-2</v>
      </c>
      <c r="F94" s="48">
        <v>5.5555555555555552E-2</v>
      </c>
      <c r="G94" s="73">
        <v>5.113636363636364E-2</v>
      </c>
      <c r="H94" s="73">
        <v>5.7471264367816091E-2</v>
      </c>
      <c r="I94" s="73">
        <v>6.8571428571428575E-2</v>
      </c>
      <c r="J94" s="73">
        <v>6.741573033707865E-2</v>
      </c>
    </row>
    <row r="95" spans="1:10" x14ac:dyDescent="0.2">
      <c r="A95" s="56" t="s">
        <v>182</v>
      </c>
      <c r="B95" s="56" t="s">
        <v>85</v>
      </c>
      <c r="C95" s="48">
        <v>9.5132743362831854E-2</v>
      </c>
      <c r="D95" s="48">
        <v>9.1903719912472648E-2</v>
      </c>
      <c r="E95" s="48">
        <v>8.4801762114537452E-2</v>
      </c>
      <c r="F95" s="48">
        <v>8.4245076586433265E-2</v>
      </c>
      <c r="G95" s="73">
        <v>7.7519379844961239E-2</v>
      </c>
      <c r="H95" s="73">
        <v>9.4155844155844159E-2</v>
      </c>
      <c r="I95" s="73">
        <v>9.2190889370932755E-2</v>
      </c>
      <c r="J95" s="73">
        <v>8.7051142546245922E-2</v>
      </c>
    </row>
    <row r="96" spans="1:10" x14ac:dyDescent="0.2">
      <c r="A96" s="56" t="s">
        <v>182</v>
      </c>
      <c r="B96" s="56" t="s">
        <v>86</v>
      </c>
      <c r="C96" s="48">
        <v>0.10344827586206896</v>
      </c>
      <c r="D96" s="48">
        <v>8.4507042253521125E-2</v>
      </c>
      <c r="E96" s="48">
        <v>8.1560283687943269E-2</v>
      </c>
      <c r="F96" s="48">
        <v>8.8652482269503549E-2</v>
      </c>
      <c r="G96" s="73">
        <v>7.6642335766423361E-2</v>
      </c>
      <c r="H96" s="73">
        <v>7.8066914498141265E-2</v>
      </c>
      <c r="I96" s="73">
        <v>7.3643410852713184E-2</v>
      </c>
      <c r="J96" s="73">
        <v>7.2289156626506021E-2</v>
      </c>
    </row>
    <row r="97" spans="1:10" x14ac:dyDescent="0.2">
      <c r="A97" s="56" t="s">
        <v>182</v>
      </c>
      <c r="B97" s="56" t="s">
        <v>87</v>
      </c>
      <c r="C97" s="48">
        <v>8.9655172413793102E-2</v>
      </c>
      <c r="D97" s="48">
        <v>7.4829931972789115E-2</v>
      </c>
      <c r="E97" s="48">
        <v>7.586206896551724E-2</v>
      </c>
      <c r="F97" s="48">
        <v>7.6388888888888895E-2</v>
      </c>
      <c r="G97" s="73">
        <v>6.7567567567567571E-2</v>
      </c>
      <c r="H97" s="73">
        <v>8.1081081081081086E-2</v>
      </c>
      <c r="I97" s="73">
        <v>8.4415584415584416E-2</v>
      </c>
      <c r="J97" s="73">
        <v>0.10126582278481013</v>
      </c>
    </row>
    <row r="98" spans="1:10" x14ac:dyDescent="0.2">
      <c r="A98" s="56" t="s">
        <v>182</v>
      </c>
      <c r="B98" s="56" t="s">
        <v>88</v>
      </c>
      <c r="C98" s="48">
        <v>9.3023255813953487E-2</v>
      </c>
      <c r="D98" s="48">
        <v>6.9767441860465115E-2</v>
      </c>
      <c r="E98" s="48">
        <v>7.1428571428571425E-2</v>
      </c>
      <c r="F98" s="48">
        <v>0.12359550561797752</v>
      </c>
      <c r="G98" s="73">
        <v>5.6818181818181816E-2</v>
      </c>
      <c r="H98" s="73">
        <v>6.8965517241379309E-2</v>
      </c>
      <c r="I98" s="73">
        <v>9.8901098901098897E-2</v>
      </c>
      <c r="J98" s="73">
        <v>0.10638297872340426</v>
      </c>
    </row>
    <row r="99" spans="1:10" x14ac:dyDescent="0.2">
      <c r="A99" s="56" t="s">
        <v>182</v>
      </c>
      <c r="B99" s="56" t="s">
        <v>18</v>
      </c>
      <c r="C99" s="48">
        <v>8.9947089947089942E-2</v>
      </c>
      <c r="D99" s="48">
        <v>8.4210526315789472E-2</v>
      </c>
      <c r="E99" s="48">
        <v>7.4866310160427801E-2</v>
      </c>
      <c r="F99" s="48">
        <v>5.9139784946236562E-2</v>
      </c>
      <c r="G99" s="73">
        <v>7.650273224043716E-2</v>
      </c>
      <c r="H99" s="73">
        <v>8.0213903743315509E-2</v>
      </c>
      <c r="I99" s="73">
        <v>7.8125E-2</v>
      </c>
      <c r="J99" s="73">
        <v>7.8534031413612565E-2</v>
      </c>
    </row>
    <row r="100" spans="1:10" x14ac:dyDescent="0.2">
      <c r="A100" s="56" t="s">
        <v>182</v>
      </c>
      <c r="B100" s="56" t="s">
        <v>89</v>
      </c>
      <c r="C100" s="48">
        <v>8.1159420289855067E-2</v>
      </c>
      <c r="D100" s="48">
        <v>9.3567251461988299E-2</v>
      </c>
      <c r="E100" s="48">
        <v>8.9020771513353122E-2</v>
      </c>
      <c r="F100" s="48">
        <v>9.8550724637681164E-2</v>
      </c>
      <c r="G100" s="73">
        <v>6.5671641791044774E-2</v>
      </c>
      <c r="H100" s="73">
        <v>8.2840236686390539E-2</v>
      </c>
      <c r="I100" s="73">
        <v>8.7463556851311949E-2</v>
      </c>
      <c r="J100" s="73">
        <v>7.3746312684365781E-2</v>
      </c>
    </row>
    <row r="101" spans="1:10" x14ac:dyDescent="0.2">
      <c r="A101" s="56" t="s">
        <v>182</v>
      </c>
      <c r="B101" s="56" t="s">
        <v>90</v>
      </c>
      <c r="C101" s="48">
        <v>7.3684210526315783E-2</v>
      </c>
      <c r="D101" s="48">
        <v>7.2916666666666671E-2</v>
      </c>
      <c r="E101" s="48">
        <v>6.5217391304347824E-2</v>
      </c>
      <c r="F101" s="48">
        <v>6.5217391304347824E-2</v>
      </c>
      <c r="G101" s="73">
        <v>4.5977011494252873E-2</v>
      </c>
      <c r="H101" s="73">
        <v>7.9545454545454544E-2</v>
      </c>
      <c r="I101" s="73">
        <v>8.0459770114942528E-2</v>
      </c>
      <c r="J101" s="73">
        <v>5.8823529411764705E-2</v>
      </c>
    </row>
    <row r="102" spans="1:10" x14ac:dyDescent="0.2">
      <c r="A102" s="56" t="s">
        <v>182</v>
      </c>
      <c r="B102" s="56" t="s">
        <v>91</v>
      </c>
      <c r="C102" s="48">
        <v>8.6206896551724144E-2</v>
      </c>
      <c r="D102" s="48">
        <v>7.8260869565217397E-2</v>
      </c>
      <c r="E102" s="48">
        <v>8.8495575221238937E-2</v>
      </c>
      <c r="F102" s="48">
        <v>7.9646017699115043E-2</v>
      </c>
      <c r="G102" s="73">
        <v>5.5045871559633031E-2</v>
      </c>
      <c r="H102" s="73">
        <v>6.6666666666666666E-2</v>
      </c>
      <c r="I102" s="73">
        <v>6.0606060606060608E-2</v>
      </c>
      <c r="J102" s="73">
        <v>6.4516129032258063E-2</v>
      </c>
    </row>
    <row r="103" spans="1:10" x14ac:dyDescent="0.2">
      <c r="A103" s="56" t="s">
        <v>182</v>
      </c>
      <c r="B103" s="56" t="s">
        <v>92</v>
      </c>
      <c r="C103" s="48">
        <v>6.965174129353234E-2</v>
      </c>
      <c r="D103" s="48">
        <v>7.0000000000000007E-2</v>
      </c>
      <c r="E103" s="48">
        <v>8.9552238805970144E-2</v>
      </c>
      <c r="F103" s="48">
        <v>8.3333333333333329E-2</v>
      </c>
      <c r="G103" s="73">
        <v>6.0606060606060608E-2</v>
      </c>
      <c r="H103" s="73">
        <v>7.9601990049751242E-2</v>
      </c>
      <c r="I103" s="73">
        <v>7.9601990049751242E-2</v>
      </c>
      <c r="J103" s="73">
        <v>8.1218274111675121E-2</v>
      </c>
    </row>
    <row r="104" spans="1:10" x14ac:dyDescent="0.2">
      <c r="A104" s="56" t="s">
        <v>182</v>
      </c>
      <c r="B104" s="56" t="s">
        <v>93</v>
      </c>
      <c r="C104" s="48">
        <v>8.1395348837209308E-2</v>
      </c>
      <c r="D104" s="48">
        <v>8.2352941176470587E-2</v>
      </c>
      <c r="E104" s="48">
        <v>5.9523809523809521E-2</v>
      </c>
      <c r="F104" s="48">
        <v>6.9767441860465115E-2</v>
      </c>
      <c r="G104" s="73">
        <v>4.878048780487805E-2</v>
      </c>
      <c r="H104" s="73">
        <v>6.0240963855421686E-2</v>
      </c>
      <c r="I104" s="73">
        <v>5.9523809523809521E-2</v>
      </c>
      <c r="J104" s="73">
        <v>8.0459770114942528E-2</v>
      </c>
    </row>
    <row r="105" spans="1:10" x14ac:dyDescent="0.2">
      <c r="A105" s="56" t="s">
        <v>182</v>
      </c>
      <c r="B105" s="56" t="s">
        <v>94</v>
      </c>
      <c r="C105" s="48">
        <v>8.4210526315789472E-2</v>
      </c>
      <c r="D105" s="48">
        <v>8.8082901554404139E-2</v>
      </c>
      <c r="E105" s="48">
        <v>7.3684210526315783E-2</v>
      </c>
      <c r="F105" s="48">
        <v>8.0645161290322578E-2</v>
      </c>
      <c r="G105" s="73">
        <v>7.1038251366120214E-2</v>
      </c>
      <c r="H105" s="73">
        <v>5.4945054945054944E-2</v>
      </c>
      <c r="I105" s="73">
        <v>7.4468085106382975E-2</v>
      </c>
      <c r="J105" s="73">
        <v>8.5561497326203204E-2</v>
      </c>
    </row>
    <row r="106" spans="1:10" x14ac:dyDescent="0.2">
      <c r="A106" s="56" t="s">
        <v>182</v>
      </c>
      <c r="B106" s="56" t="s">
        <v>95</v>
      </c>
      <c r="C106" s="48">
        <v>0.1111111111111111</v>
      </c>
      <c r="D106" s="48">
        <v>7.2916666666666671E-2</v>
      </c>
      <c r="E106" s="48">
        <v>7.4468085106382975E-2</v>
      </c>
      <c r="F106" s="48">
        <v>8.4210526315789472E-2</v>
      </c>
      <c r="G106" s="73">
        <v>5.6179775280898875E-2</v>
      </c>
      <c r="H106" s="73">
        <v>8.7912087912087919E-2</v>
      </c>
      <c r="I106" s="73">
        <v>6.6666666666666666E-2</v>
      </c>
      <c r="J106" s="73">
        <v>7.0588235294117646E-2</v>
      </c>
    </row>
    <row r="107" spans="1:10" ht="27" customHeight="1" x14ac:dyDescent="0.2">
      <c r="A107" s="57" t="s">
        <v>183</v>
      </c>
      <c r="B107" s="42" t="s">
        <v>112</v>
      </c>
      <c r="C107" s="48">
        <v>8.4805653710247356E-2</v>
      </c>
      <c r="D107" s="48">
        <v>7.4733096085409248E-2</v>
      </c>
      <c r="E107" s="48">
        <v>7.9422382671480149E-2</v>
      </c>
      <c r="F107" s="48">
        <v>7.5403949730700179E-2</v>
      </c>
      <c r="G107" s="73">
        <v>6.5573770491803282E-2</v>
      </c>
      <c r="H107" s="73">
        <v>8.9630931458699478E-2</v>
      </c>
      <c r="I107" s="73">
        <v>8.0617495711835338E-2</v>
      </c>
      <c r="J107" s="73">
        <v>7.8632478632478631E-2</v>
      </c>
    </row>
    <row r="108" spans="1:10" x14ac:dyDescent="0.2">
      <c r="A108" s="56" t="s">
        <v>183</v>
      </c>
      <c r="B108" s="42" t="s">
        <v>113</v>
      </c>
      <c r="C108" s="48">
        <v>8.3832335329341312E-2</v>
      </c>
      <c r="D108" s="48">
        <v>8.1818181818181818E-2</v>
      </c>
      <c r="E108" s="48">
        <v>7.1651090342679122E-2</v>
      </c>
      <c r="F108" s="48">
        <v>8.615384615384615E-2</v>
      </c>
      <c r="G108" s="73">
        <v>5.7507987220447282E-2</v>
      </c>
      <c r="H108" s="73">
        <v>7.1428571428571425E-2</v>
      </c>
      <c r="I108" s="73">
        <v>6.9306930693069313E-2</v>
      </c>
      <c r="J108" s="73">
        <v>6.9204152249134954E-2</v>
      </c>
    </row>
    <row r="109" spans="1:10" x14ac:dyDescent="0.2">
      <c r="A109" s="56" t="s">
        <v>183</v>
      </c>
      <c r="B109" s="42" t="s">
        <v>114</v>
      </c>
      <c r="C109" s="48">
        <v>0.10579345088161209</v>
      </c>
      <c r="D109" s="48">
        <v>9.6446700507614211E-2</v>
      </c>
      <c r="E109" s="48">
        <v>9.0366581415174771E-2</v>
      </c>
      <c r="F109" s="48">
        <v>9.7046413502109699E-2</v>
      </c>
      <c r="G109" s="73">
        <v>8.5034013605442174E-2</v>
      </c>
      <c r="H109" s="73">
        <v>9.1216216216216214E-2</v>
      </c>
      <c r="I109" s="73">
        <v>8.8336192109777015E-2</v>
      </c>
      <c r="J109" s="73">
        <v>0.10445205479452055</v>
      </c>
    </row>
    <row r="110" spans="1:10" x14ac:dyDescent="0.2">
      <c r="A110" s="56" t="s">
        <v>183</v>
      </c>
      <c r="B110" s="42" t="s">
        <v>115</v>
      </c>
      <c r="C110" s="48">
        <v>7.6115485564304461E-2</v>
      </c>
      <c r="D110" s="48">
        <v>8.247422680412371E-2</v>
      </c>
      <c r="E110" s="48">
        <v>7.2727272727272724E-2</v>
      </c>
      <c r="F110" s="48">
        <v>8.1632653061224483E-2</v>
      </c>
      <c r="G110" s="73">
        <v>5.9895833333333336E-2</v>
      </c>
      <c r="H110" s="73">
        <v>8.6513994910941472E-2</v>
      </c>
      <c r="I110" s="73">
        <v>9.2909535452322736E-2</v>
      </c>
      <c r="J110" s="73">
        <v>9.3525179856115109E-2</v>
      </c>
    </row>
    <row r="111" spans="1:10" x14ac:dyDescent="0.2">
      <c r="A111" s="56" t="s">
        <v>183</v>
      </c>
      <c r="B111" s="42" t="s">
        <v>13</v>
      </c>
      <c r="C111" s="48">
        <v>9.7173144876325085E-2</v>
      </c>
      <c r="D111" s="48">
        <v>0.10896309314586995</v>
      </c>
      <c r="E111" s="48">
        <v>0.10139860139860139</v>
      </c>
      <c r="F111" s="48">
        <v>9.0750436300174514E-2</v>
      </c>
      <c r="G111" s="73">
        <v>7.460035523978685E-2</v>
      </c>
      <c r="H111" s="73">
        <v>8.0645161290322578E-2</v>
      </c>
      <c r="I111" s="73">
        <v>8.6642599277978335E-2</v>
      </c>
      <c r="J111" s="73">
        <v>9.5840867992766726E-2</v>
      </c>
    </row>
    <row r="112" spans="1:10" x14ac:dyDescent="0.2">
      <c r="A112" s="56" t="s">
        <v>183</v>
      </c>
      <c r="B112" s="42" t="s">
        <v>116</v>
      </c>
      <c r="C112" s="48">
        <v>9.1428571428571428E-2</v>
      </c>
      <c r="D112" s="48">
        <v>8.4269662921348312E-2</v>
      </c>
      <c r="E112" s="48">
        <v>6.1111111111111109E-2</v>
      </c>
      <c r="F112" s="48">
        <v>5.5555555555555552E-2</v>
      </c>
      <c r="G112" s="73">
        <v>5.113636363636364E-2</v>
      </c>
      <c r="H112" s="73">
        <v>5.7471264367816091E-2</v>
      </c>
      <c r="I112" s="73">
        <v>6.8571428571428575E-2</v>
      </c>
      <c r="J112" s="73">
        <v>6.741573033707865E-2</v>
      </c>
    </row>
    <row r="113" spans="1:10" x14ac:dyDescent="0.2">
      <c r="A113" s="56" t="s">
        <v>183</v>
      </c>
      <c r="B113" s="42" t="s">
        <v>117</v>
      </c>
      <c r="C113" s="48">
        <v>8.4210526315789472E-2</v>
      </c>
      <c r="D113" s="48">
        <v>8.8082901554404139E-2</v>
      </c>
      <c r="E113" s="48">
        <v>7.3684210526315783E-2</v>
      </c>
      <c r="F113" s="48">
        <v>8.0645161290322578E-2</v>
      </c>
      <c r="G113" s="73">
        <v>7.1038251366120214E-2</v>
      </c>
      <c r="H113" s="73">
        <v>5.4945054945054944E-2</v>
      </c>
      <c r="I113" s="73">
        <v>7.4468085106382975E-2</v>
      </c>
      <c r="J113" s="73">
        <v>8.5561497326203204E-2</v>
      </c>
    </row>
    <row r="114" spans="1:10" x14ac:dyDescent="0.2">
      <c r="A114" s="56" t="s">
        <v>183</v>
      </c>
      <c r="B114" s="42" t="s">
        <v>118</v>
      </c>
      <c r="C114" s="48">
        <v>8.9947089947089942E-2</v>
      </c>
      <c r="D114" s="48">
        <v>8.4210526315789472E-2</v>
      </c>
      <c r="E114" s="48">
        <v>7.4866310160427801E-2</v>
      </c>
      <c r="F114" s="48">
        <v>6.4516129032258063E-2</v>
      </c>
      <c r="G114" s="73">
        <v>7.650273224043716E-2</v>
      </c>
      <c r="H114" s="73">
        <v>8.0213903743315509E-2</v>
      </c>
      <c r="I114" s="73">
        <v>7.8534031413612565E-2</v>
      </c>
      <c r="J114" s="73">
        <v>7.8534031413612565E-2</v>
      </c>
    </row>
    <row r="115" spans="1:10" x14ac:dyDescent="0.2">
      <c r="A115" s="56" t="s">
        <v>183</v>
      </c>
      <c r="B115" s="42" t="s">
        <v>184</v>
      </c>
      <c r="C115" s="73">
        <v>9.3262806236080173E-2</v>
      </c>
      <c r="D115" s="73">
        <v>9.0478841870824056E-2</v>
      </c>
      <c r="E115" s="73">
        <v>8.3660864682762487E-2</v>
      </c>
      <c r="F115" s="73">
        <v>8.5379464285714288E-2</v>
      </c>
      <c r="G115" s="73">
        <v>7.2299404593138647E-2</v>
      </c>
      <c r="H115" s="73">
        <v>8.2981715893108293E-2</v>
      </c>
      <c r="I115" s="73">
        <v>8.3496777808910058E-2</v>
      </c>
      <c r="J115" s="73">
        <v>9.052690582959641E-2</v>
      </c>
    </row>
    <row r="116" spans="1:10" ht="28.5" customHeight="1" x14ac:dyDescent="0.2">
      <c r="A116" s="57" t="s">
        <v>185</v>
      </c>
      <c r="B116" s="57" t="s">
        <v>111</v>
      </c>
      <c r="C116" s="48">
        <v>0.14594594594594595</v>
      </c>
      <c r="D116" s="48">
        <v>0.13917525773195877</v>
      </c>
      <c r="E116" s="48">
        <v>0.14358974358974358</v>
      </c>
      <c r="F116" s="48">
        <v>0.14356435643564355</v>
      </c>
      <c r="G116" s="73">
        <v>0.13592233009708737</v>
      </c>
      <c r="H116" s="73">
        <v>0.18340611353711792</v>
      </c>
      <c r="I116" s="73">
        <v>0.15352697095435686</v>
      </c>
      <c r="J116" s="73">
        <v>0.14516129032258066</v>
      </c>
    </row>
    <row r="117" spans="1:10" x14ac:dyDescent="0.2">
      <c r="A117" s="57" t="s">
        <v>185</v>
      </c>
      <c r="B117" s="42" t="s">
        <v>186</v>
      </c>
      <c r="C117" s="73">
        <v>0.12504665920119448</v>
      </c>
      <c r="D117" s="73">
        <v>0.11561338289962825</v>
      </c>
      <c r="E117" s="73">
        <v>0.1183345507669832</v>
      </c>
      <c r="F117" s="73">
        <v>0.12044609665427509</v>
      </c>
      <c r="G117" s="73">
        <v>0.1004121393780442</v>
      </c>
      <c r="H117" s="73">
        <v>0.1136279242480505</v>
      </c>
      <c r="I117" s="73">
        <v>0.11420096403411198</v>
      </c>
      <c r="J117" s="73">
        <v>0.11329137356534617</v>
      </c>
    </row>
    <row r="118" spans="1:10" x14ac:dyDescent="0.2">
      <c r="A118" s="57" t="s">
        <v>185</v>
      </c>
      <c r="B118" s="42" t="s">
        <v>151</v>
      </c>
      <c r="C118" s="73">
        <v>0.1377814501136129</v>
      </c>
      <c r="D118" s="73">
        <v>0.1273209549071618</v>
      </c>
      <c r="E118" s="73">
        <v>0.12737832966152612</v>
      </c>
      <c r="F118" s="73">
        <v>0.14166929382093316</v>
      </c>
      <c r="G118" s="73">
        <v>0.11078140454995054</v>
      </c>
      <c r="H118" s="73">
        <v>0.12663670119210474</v>
      </c>
      <c r="I118" s="73">
        <v>0.12653061224489795</v>
      </c>
      <c r="J118" s="73">
        <v>0.12065599375244045</v>
      </c>
    </row>
    <row r="119" spans="1:10" ht="36" customHeight="1" x14ac:dyDescent="0.2">
      <c r="A119" s="106" t="s">
        <v>270</v>
      </c>
      <c r="B119" s="107" t="s">
        <v>271</v>
      </c>
      <c r="C119" s="150">
        <v>8.6956521739130432E-2</v>
      </c>
      <c r="D119" s="150">
        <v>8.7912087912087919E-2</v>
      </c>
      <c r="E119" s="150">
        <v>0.10638297872340426</v>
      </c>
      <c r="F119" s="150">
        <v>7.2916666666666671E-2</v>
      </c>
      <c r="G119" s="150">
        <v>5.3763440860215055E-2</v>
      </c>
      <c r="H119" s="73">
        <v>0.1111111111111111</v>
      </c>
      <c r="I119" s="73">
        <v>7.0000000000000007E-2</v>
      </c>
      <c r="J119" s="73">
        <v>7.5471698113207544E-2</v>
      </c>
    </row>
    <row r="120" spans="1:10" x14ac:dyDescent="0.2">
      <c r="A120" s="106" t="s">
        <v>270</v>
      </c>
      <c r="B120" s="107" t="s">
        <v>272</v>
      </c>
      <c r="C120" s="150">
        <v>9.2783505154639179E-2</v>
      </c>
      <c r="D120" s="150">
        <v>7.2916666666666671E-2</v>
      </c>
      <c r="E120" s="150">
        <v>7.6086956521739135E-2</v>
      </c>
      <c r="F120" s="150">
        <v>7.5268817204301078E-2</v>
      </c>
      <c r="G120" s="150">
        <v>6.5934065934065936E-2</v>
      </c>
      <c r="H120" s="73">
        <v>9.2783505154639179E-2</v>
      </c>
      <c r="I120" s="73">
        <v>9.9009900990099015E-2</v>
      </c>
      <c r="J120" s="73">
        <v>7.9207920792079209E-2</v>
      </c>
    </row>
    <row r="121" spans="1:10" x14ac:dyDescent="0.2">
      <c r="A121" s="106" t="s">
        <v>270</v>
      </c>
      <c r="B121" s="107" t="s">
        <v>273</v>
      </c>
      <c r="C121" s="150">
        <v>7.8260869565217397E-2</v>
      </c>
      <c r="D121" s="150">
        <v>6.9565217391304349E-2</v>
      </c>
      <c r="E121" s="150">
        <v>7.0175438596491224E-2</v>
      </c>
      <c r="F121" s="150">
        <v>0.11016949152542373</v>
      </c>
      <c r="G121" s="150">
        <v>6.0869565217391307E-2</v>
      </c>
      <c r="H121" s="73">
        <v>7.7586206896551727E-2</v>
      </c>
      <c r="I121" s="73">
        <v>9.8360655737704916E-2</v>
      </c>
      <c r="J121" s="73">
        <v>0.104</v>
      </c>
    </row>
    <row r="122" spans="1:10" x14ac:dyDescent="0.2">
      <c r="A122" s="106" t="s">
        <v>270</v>
      </c>
      <c r="B122" s="107" t="s">
        <v>274</v>
      </c>
      <c r="C122" s="150">
        <v>8.7248322147651006E-2</v>
      </c>
      <c r="D122" s="150">
        <v>9.2105263157894732E-2</v>
      </c>
      <c r="E122" s="150">
        <v>7.3825503355704702E-2</v>
      </c>
      <c r="F122" s="150">
        <v>8.1632653061224483E-2</v>
      </c>
      <c r="G122" s="150">
        <v>6.8965517241379309E-2</v>
      </c>
      <c r="H122" s="73">
        <v>5.6338028169014086E-2</v>
      </c>
      <c r="I122" s="73">
        <v>7.5342465753424653E-2</v>
      </c>
      <c r="J122" s="73">
        <v>8.9041095890410954E-2</v>
      </c>
    </row>
    <row r="123" spans="1:10" x14ac:dyDescent="0.2">
      <c r="A123" s="106" t="s">
        <v>270</v>
      </c>
      <c r="B123" s="107" t="s">
        <v>275</v>
      </c>
      <c r="C123" s="150">
        <v>8.666666666666667E-2</v>
      </c>
      <c r="D123" s="150">
        <v>8.4415584415584416E-2</v>
      </c>
      <c r="E123" s="150">
        <v>6.4102564102564097E-2</v>
      </c>
      <c r="F123" s="150">
        <v>5.7324840764331211E-2</v>
      </c>
      <c r="G123" s="150">
        <v>5.1948051948051951E-2</v>
      </c>
      <c r="H123" s="73">
        <v>0.06</v>
      </c>
      <c r="I123" s="73">
        <v>7.2847682119205295E-2</v>
      </c>
      <c r="J123" s="73">
        <v>7.1428571428571425E-2</v>
      </c>
    </row>
    <row r="124" spans="1:10" x14ac:dyDescent="0.2">
      <c r="A124" s="106" t="s">
        <v>270</v>
      </c>
      <c r="B124" s="107" t="s">
        <v>276</v>
      </c>
      <c r="C124" s="150">
        <v>0.12</v>
      </c>
      <c r="D124" s="150">
        <v>0.08</v>
      </c>
      <c r="E124" s="150">
        <v>4.1666666666666664E-2</v>
      </c>
      <c r="F124" s="150">
        <v>4.1666666666666664E-2</v>
      </c>
      <c r="G124" s="150">
        <v>0</v>
      </c>
      <c r="H124" s="73">
        <v>4.1666666666666664E-2</v>
      </c>
      <c r="I124" s="73">
        <v>8.3333333333333329E-2</v>
      </c>
      <c r="J124" s="73">
        <v>4.1666666666666664E-2</v>
      </c>
    </row>
    <row r="125" spans="1:10" x14ac:dyDescent="0.2">
      <c r="A125" s="106" t="s">
        <v>270</v>
      </c>
      <c r="B125" s="107" t="s">
        <v>277</v>
      </c>
      <c r="C125" s="150">
        <v>8.771929824561403E-2</v>
      </c>
      <c r="D125" s="150">
        <v>8.6705202312138727E-2</v>
      </c>
      <c r="E125" s="150">
        <v>7.6023391812865493E-2</v>
      </c>
      <c r="F125" s="150">
        <v>5.9171597633136092E-2</v>
      </c>
      <c r="G125" s="150">
        <v>7.7844311377245512E-2</v>
      </c>
      <c r="H125" s="73">
        <v>8.2352941176470587E-2</v>
      </c>
      <c r="I125" s="73">
        <v>0.08</v>
      </c>
      <c r="J125" s="73">
        <v>8.0459770114942528E-2</v>
      </c>
    </row>
    <row r="126" spans="1:10" x14ac:dyDescent="0.2">
      <c r="A126" s="106" t="s">
        <v>270</v>
      </c>
      <c r="B126" s="107" t="s">
        <v>278</v>
      </c>
      <c r="C126" s="150">
        <v>0.11764705882352941</v>
      </c>
      <c r="D126" s="150">
        <v>5.8823529411764705E-2</v>
      </c>
      <c r="E126" s="150">
        <v>5.8823529411764705E-2</v>
      </c>
      <c r="F126" s="150">
        <v>5.8823529411764705E-2</v>
      </c>
      <c r="G126" s="150">
        <v>6.25E-2</v>
      </c>
      <c r="H126" s="73">
        <v>5.8823529411764705E-2</v>
      </c>
      <c r="I126" s="73">
        <v>5.8823529411764705E-2</v>
      </c>
      <c r="J126" s="73">
        <v>6.25E-2</v>
      </c>
    </row>
    <row r="127" spans="1:10" x14ac:dyDescent="0.2">
      <c r="A127" s="106" t="s">
        <v>270</v>
      </c>
      <c r="B127" s="107" t="s">
        <v>279</v>
      </c>
      <c r="C127" s="150">
        <v>7.3170731707317069E-2</v>
      </c>
      <c r="D127" s="150">
        <v>7.3170731707317069E-2</v>
      </c>
      <c r="E127" s="150">
        <v>7.3170731707317069E-2</v>
      </c>
      <c r="F127" s="150">
        <v>7.6923076923076927E-2</v>
      </c>
      <c r="G127" s="150">
        <v>7.8947368421052627E-2</v>
      </c>
      <c r="H127" s="73">
        <v>5.128205128205128E-2</v>
      </c>
      <c r="I127" s="73">
        <v>7.3170731707317069E-2</v>
      </c>
      <c r="J127" s="73">
        <v>7.3170731707317069E-2</v>
      </c>
    </row>
    <row r="128" spans="1:10" ht="35.1" customHeight="1" x14ac:dyDescent="0.2">
      <c r="A128" s="147" t="s">
        <v>263</v>
      </c>
      <c r="B128" s="148" t="s">
        <v>280</v>
      </c>
      <c r="C128" s="150">
        <v>0.14898320070733864</v>
      </c>
      <c r="D128" s="150">
        <v>0.13328984561861273</v>
      </c>
      <c r="E128" s="150">
        <v>0.12869790541999568</v>
      </c>
      <c r="F128" s="150">
        <v>0.14294750158127767</v>
      </c>
      <c r="G128" s="150">
        <v>0.12107150390213035</v>
      </c>
      <c r="H128" s="73">
        <v>0.13508519811127079</v>
      </c>
      <c r="I128" s="73">
        <v>0.13597386688444263</v>
      </c>
      <c r="J128" s="73">
        <v>0.12596133859904385</v>
      </c>
    </row>
    <row r="129" spans="1:10" x14ac:dyDescent="0.2">
      <c r="A129" s="147" t="s">
        <v>263</v>
      </c>
      <c r="B129" s="148" t="s">
        <v>264</v>
      </c>
      <c r="C129" s="150">
        <v>0.12982944657152801</v>
      </c>
      <c r="D129" s="150">
        <v>0.12134251290877797</v>
      </c>
      <c r="E129" s="150">
        <v>0.12175989085948158</v>
      </c>
      <c r="F129" s="150">
        <v>0.13313313313313313</v>
      </c>
      <c r="G129" s="150">
        <v>0.1059001512859304</v>
      </c>
      <c r="H129" s="73">
        <v>0.11739202934800734</v>
      </c>
      <c r="I129" s="73">
        <v>0.11917098445595854</v>
      </c>
      <c r="J129" s="73">
        <v>0.11469050430089391</v>
      </c>
    </row>
    <row r="130" spans="1:10" x14ac:dyDescent="0.2">
      <c r="A130" s="147" t="s">
        <v>263</v>
      </c>
      <c r="B130" s="148" t="s">
        <v>265</v>
      </c>
      <c r="C130" s="150">
        <v>0.11425491781191054</v>
      </c>
      <c r="D130" s="150">
        <v>0.10773554603854389</v>
      </c>
      <c r="E130" s="150">
        <v>0.10399892646269458</v>
      </c>
      <c r="F130" s="150">
        <v>0.10858050847457627</v>
      </c>
      <c r="G130" s="150">
        <v>9.1568206229860366E-2</v>
      </c>
      <c r="H130" s="73">
        <v>0.10389089450461292</v>
      </c>
      <c r="I130" s="73">
        <v>0.10367715385636532</v>
      </c>
      <c r="J130" s="73">
        <v>9.9572877736252008E-2</v>
      </c>
    </row>
    <row r="131" spans="1:10" x14ac:dyDescent="0.2">
      <c r="A131" s="147" t="s">
        <v>263</v>
      </c>
      <c r="B131" s="148" t="s">
        <v>266</v>
      </c>
      <c r="C131" s="150">
        <v>0.11673838684762219</v>
      </c>
      <c r="D131" s="150">
        <v>0.10412573673870335</v>
      </c>
      <c r="E131" s="150">
        <v>0.10210767718685158</v>
      </c>
      <c r="F131" s="150">
        <v>0.10361288922642943</v>
      </c>
      <c r="G131" s="150">
        <v>8.5150914298303584E-2</v>
      </c>
      <c r="H131" s="73">
        <v>9.7059473800574836E-2</v>
      </c>
      <c r="I131" s="73">
        <v>9.8272380525016828E-2</v>
      </c>
      <c r="J131" s="73">
        <v>0.10041746586934447</v>
      </c>
    </row>
    <row r="132" spans="1:10" x14ac:dyDescent="0.2">
      <c r="A132" s="147" t="s">
        <v>263</v>
      </c>
      <c r="B132" s="148" t="s">
        <v>281</v>
      </c>
      <c r="C132" s="150">
        <v>0.11713137708510897</v>
      </c>
      <c r="D132" s="150">
        <v>0.10839713209381456</v>
      </c>
      <c r="E132" s="150">
        <v>0.11037770443711038</v>
      </c>
      <c r="F132" s="150">
        <v>0.10737685027905848</v>
      </c>
      <c r="G132" s="150">
        <v>8.8060440921476343E-2</v>
      </c>
      <c r="H132" s="73">
        <v>9.7118192205154247E-2</v>
      </c>
      <c r="I132" s="73">
        <v>9.7877984084880632E-2</v>
      </c>
      <c r="J132" s="73">
        <v>0.10063152114222955</v>
      </c>
    </row>
  </sheetData>
  <hyperlinks>
    <hyperlink ref="A9" location="Contents!A1" display="This cell contains a hyperlink to the Table of Contents" xr:uid="{D7E85DFE-AB10-4D85-9ED8-6DA7177B6E9B}"/>
    <hyperlink ref="A6" r:id="rId1" xr:uid="{7D98F457-FE80-4B3F-BE58-220546F6ACAA}"/>
    <hyperlink ref="A7" r:id="rId2" display="Source for areas built up from Data Zones: Small Area Population Estimates - National Records of Scotland. This link opens in a new window." xr:uid="{562B2030-DA3A-4D5C-8F59-C23B2273577E}"/>
  </hyperlinks>
  <pageMargins left="0.7" right="0.7" top="0.75" bottom="0.75" header="0.3" footer="0.3"/>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D63D8-C998-4C2F-AFBC-038834ECC289}">
  <dimension ref="A1:J133"/>
  <sheetViews>
    <sheetView zoomScaleNormal="100" workbookViewId="0"/>
  </sheetViews>
  <sheetFormatPr defaultColWidth="9.140625" defaultRowHeight="15" x14ac:dyDescent="0.2"/>
  <cols>
    <col min="1" max="1" width="59" style="40" customWidth="1"/>
    <col min="2" max="2" width="51.140625" style="42" customWidth="1"/>
    <col min="3" max="6" width="12.5703125" style="41" customWidth="1"/>
    <col min="7" max="10" width="12.5703125" style="40" customWidth="1"/>
    <col min="11" max="16384" width="9.140625" style="40"/>
  </cols>
  <sheetData>
    <row r="1" spans="1:10" ht="20.25" x14ac:dyDescent="0.3">
      <c r="A1" s="151" t="s">
        <v>385</v>
      </c>
      <c r="B1" s="151"/>
      <c r="C1" s="151"/>
    </row>
    <row r="2" spans="1:10" x14ac:dyDescent="0.2">
      <c r="A2" s="140" t="s">
        <v>152</v>
      </c>
      <c r="B2" s="40"/>
    </row>
    <row r="3" spans="1:10" x14ac:dyDescent="0.2">
      <c r="A3" s="140" t="s">
        <v>297</v>
      </c>
      <c r="B3" s="40"/>
    </row>
    <row r="4" spans="1:10" x14ac:dyDescent="0.2">
      <c r="A4" s="140" t="s">
        <v>302</v>
      </c>
      <c r="B4" s="40"/>
    </row>
    <row r="5" spans="1:10" x14ac:dyDescent="0.2">
      <c r="A5" s="140" t="s">
        <v>371</v>
      </c>
      <c r="B5" s="40"/>
    </row>
    <row r="6" spans="1:10" x14ac:dyDescent="0.2">
      <c r="A6" s="140" t="s">
        <v>349</v>
      </c>
      <c r="B6" s="40"/>
    </row>
    <row r="7" spans="1:10" ht="15" customHeight="1" x14ac:dyDescent="0.2">
      <c r="A7" s="149" t="s">
        <v>351</v>
      </c>
      <c r="B7" s="40"/>
    </row>
    <row r="8" spans="1:10" ht="15" customHeight="1" x14ac:dyDescent="0.2">
      <c r="A8" s="149" t="s">
        <v>352</v>
      </c>
      <c r="B8" s="40"/>
    </row>
    <row r="9" spans="1:10" s="43" customFormat="1" x14ac:dyDescent="0.2">
      <c r="A9" s="141" t="s">
        <v>350</v>
      </c>
      <c r="C9" s="142"/>
      <c r="D9" s="142"/>
      <c r="E9" s="142"/>
      <c r="F9" s="142"/>
      <c r="G9" s="142"/>
      <c r="H9" s="142"/>
      <c r="I9" s="142"/>
    </row>
    <row r="10" spans="1:10" s="43" customFormat="1" ht="30" customHeight="1" x14ac:dyDescent="0.2">
      <c r="A10" s="45" t="s">
        <v>232</v>
      </c>
      <c r="C10" s="142"/>
      <c r="D10" s="142"/>
      <c r="E10" s="142"/>
      <c r="F10" s="142"/>
      <c r="G10" s="142"/>
      <c r="H10" s="142"/>
      <c r="I10" s="142"/>
    </row>
    <row r="11" spans="1:10" ht="15.75" customHeight="1" x14ac:dyDescent="0.25">
      <c r="A11" s="55" t="s">
        <v>156</v>
      </c>
      <c r="B11" s="55" t="s">
        <v>157</v>
      </c>
      <c r="C11" s="46" t="s">
        <v>176</v>
      </c>
      <c r="D11" s="46" t="s">
        <v>177</v>
      </c>
      <c r="E11" s="46" t="s">
        <v>123</v>
      </c>
      <c r="F11" s="47" t="s">
        <v>150</v>
      </c>
      <c r="G11" s="46" t="s">
        <v>187</v>
      </c>
      <c r="H11" s="143" t="s">
        <v>189</v>
      </c>
      <c r="I11" s="46" t="s">
        <v>257</v>
      </c>
      <c r="J11" s="46" t="s">
        <v>316</v>
      </c>
    </row>
    <row r="12" spans="1:10" x14ac:dyDescent="0.2">
      <c r="A12" s="56" t="s">
        <v>178</v>
      </c>
      <c r="B12" s="57" t="s">
        <v>48</v>
      </c>
      <c r="C12" s="58">
        <v>269015</v>
      </c>
      <c r="D12" s="58">
        <v>331450</v>
      </c>
      <c r="E12" s="58">
        <v>296575</v>
      </c>
      <c r="F12" s="58">
        <v>303495</v>
      </c>
      <c r="G12" s="58">
        <v>300475</v>
      </c>
      <c r="H12" s="58">
        <v>328495</v>
      </c>
      <c r="I12" s="144">
        <v>348695</v>
      </c>
      <c r="J12" s="144">
        <v>309290</v>
      </c>
    </row>
    <row r="13" spans="1:10" x14ac:dyDescent="0.2">
      <c r="A13" s="56" t="s">
        <v>178</v>
      </c>
      <c r="B13" s="57" t="s">
        <v>1</v>
      </c>
      <c r="C13" s="58">
        <v>17905</v>
      </c>
      <c r="D13" s="58">
        <v>18790</v>
      </c>
      <c r="E13" s="58">
        <v>17370</v>
      </c>
      <c r="F13" s="58">
        <v>18310</v>
      </c>
      <c r="G13" s="58">
        <v>18270</v>
      </c>
      <c r="H13" s="58">
        <v>19785</v>
      </c>
      <c r="I13" s="144">
        <v>19875</v>
      </c>
      <c r="J13" s="144">
        <v>17295</v>
      </c>
    </row>
    <row r="14" spans="1:10" ht="35.450000000000003" customHeight="1" x14ac:dyDescent="0.2">
      <c r="A14" s="57" t="s">
        <v>179</v>
      </c>
      <c r="B14" s="57" t="s">
        <v>35</v>
      </c>
      <c r="C14" s="58">
        <f t="shared" ref="C14:J14" si="0">SUM(C29:C30)</f>
        <v>2560</v>
      </c>
      <c r="D14" s="58">
        <f t="shared" si="0"/>
        <v>2380</v>
      </c>
      <c r="E14" s="58">
        <f t="shared" si="0"/>
        <v>2010</v>
      </c>
      <c r="F14" s="58">
        <f t="shared" si="0"/>
        <v>2115</v>
      </c>
      <c r="G14" s="58">
        <f t="shared" si="0"/>
        <v>2165</v>
      </c>
      <c r="H14" s="58">
        <f t="shared" si="0"/>
        <v>2435</v>
      </c>
      <c r="I14" s="158">
        <f t="shared" si="0"/>
        <v>2490</v>
      </c>
      <c r="J14" s="144">
        <f t="shared" si="0"/>
        <v>1875</v>
      </c>
    </row>
    <row r="15" spans="1:10" x14ac:dyDescent="0.2">
      <c r="A15" s="56" t="s">
        <v>179</v>
      </c>
      <c r="B15" s="57" t="s">
        <v>36</v>
      </c>
      <c r="C15" s="58">
        <f t="shared" ref="C15:J15" si="1">SUM(C38,C40,C43,C45,C50,C53,C57,C59)</f>
        <v>6010</v>
      </c>
      <c r="D15" s="58">
        <f t="shared" si="1"/>
        <v>6135</v>
      </c>
      <c r="E15" s="58">
        <f t="shared" si="1"/>
        <v>6025</v>
      </c>
      <c r="F15" s="58">
        <f t="shared" si="1"/>
        <v>6140</v>
      </c>
      <c r="G15" s="58">
        <f t="shared" si="1"/>
        <v>6050</v>
      </c>
      <c r="H15" s="58">
        <f t="shared" si="1"/>
        <v>6560</v>
      </c>
      <c r="I15" s="158">
        <f t="shared" si="1"/>
        <v>6815</v>
      </c>
      <c r="J15" s="144">
        <f t="shared" si="1"/>
        <v>6155</v>
      </c>
    </row>
    <row r="16" spans="1:10" x14ac:dyDescent="0.2">
      <c r="A16" s="56" t="s">
        <v>179</v>
      </c>
      <c r="B16" s="57" t="s">
        <v>37</v>
      </c>
      <c r="C16" s="58">
        <f t="shared" ref="C16:J16" si="2">SUM(C33,C39,C42,C46,C54,C60)</f>
        <v>4295</v>
      </c>
      <c r="D16" s="58">
        <f t="shared" si="2"/>
        <v>4770</v>
      </c>
      <c r="E16" s="58">
        <f t="shared" si="2"/>
        <v>4465</v>
      </c>
      <c r="F16" s="58">
        <f t="shared" si="2"/>
        <v>4855</v>
      </c>
      <c r="G16" s="58">
        <f t="shared" si="2"/>
        <v>5210</v>
      </c>
      <c r="H16" s="58">
        <f t="shared" si="2"/>
        <v>5615</v>
      </c>
      <c r="I16" s="158">
        <f t="shared" si="2"/>
        <v>5070</v>
      </c>
      <c r="J16" s="144">
        <f t="shared" si="2"/>
        <v>4385</v>
      </c>
    </row>
    <row r="17" spans="1:10" x14ac:dyDescent="0.2">
      <c r="A17" s="56" t="s">
        <v>179</v>
      </c>
      <c r="B17" s="57" t="s">
        <v>236</v>
      </c>
      <c r="C17" s="58">
        <f t="shared" ref="C17:J17" si="3">SUM(C34,C58,C41)</f>
        <v>880</v>
      </c>
      <c r="D17" s="58">
        <f t="shared" si="3"/>
        <v>1045</v>
      </c>
      <c r="E17" s="58">
        <f t="shared" si="3"/>
        <v>920</v>
      </c>
      <c r="F17" s="58">
        <f t="shared" si="3"/>
        <v>940</v>
      </c>
      <c r="G17" s="58">
        <f t="shared" si="3"/>
        <v>960</v>
      </c>
      <c r="H17" s="58">
        <f t="shared" si="3"/>
        <v>1035</v>
      </c>
      <c r="I17" s="158">
        <f t="shared" si="3"/>
        <v>940</v>
      </c>
      <c r="J17" s="144">
        <f t="shared" si="3"/>
        <v>845</v>
      </c>
    </row>
    <row r="18" spans="1:10" x14ac:dyDescent="0.2">
      <c r="A18" s="56" t="s">
        <v>179</v>
      </c>
      <c r="B18" s="57" t="s">
        <v>38</v>
      </c>
      <c r="C18" s="58">
        <f t="shared" ref="C18:J18" si="4">SUM(C31,C36,C42,C52)</f>
        <v>2185</v>
      </c>
      <c r="D18" s="58">
        <f t="shared" si="4"/>
        <v>2430</v>
      </c>
      <c r="E18" s="58">
        <f t="shared" si="4"/>
        <v>2335</v>
      </c>
      <c r="F18" s="58">
        <f t="shared" si="4"/>
        <v>2570</v>
      </c>
      <c r="G18" s="58">
        <f t="shared" si="4"/>
        <v>2280</v>
      </c>
      <c r="H18" s="58">
        <f t="shared" si="4"/>
        <v>2750</v>
      </c>
      <c r="I18" s="158">
        <f t="shared" si="4"/>
        <v>2560</v>
      </c>
      <c r="J18" s="144">
        <f t="shared" si="4"/>
        <v>2200</v>
      </c>
    </row>
    <row r="19" spans="1:10" x14ac:dyDescent="0.2">
      <c r="A19" s="56" t="s">
        <v>179</v>
      </c>
      <c r="B19" s="57" t="s">
        <v>121</v>
      </c>
      <c r="C19" s="58">
        <f t="shared" ref="C19:J19" si="5">C26</f>
        <v>1625</v>
      </c>
      <c r="D19" s="58">
        <f t="shared" si="5"/>
        <v>1665</v>
      </c>
      <c r="E19" s="58">
        <f t="shared" si="5"/>
        <v>1440</v>
      </c>
      <c r="F19" s="58">
        <f t="shared" si="5"/>
        <v>1540</v>
      </c>
      <c r="G19" s="58">
        <f t="shared" si="5"/>
        <v>1390</v>
      </c>
      <c r="H19" s="58">
        <f t="shared" si="5"/>
        <v>1430</v>
      </c>
      <c r="I19" s="158">
        <f t="shared" si="5"/>
        <v>1620</v>
      </c>
      <c r="J19" s="144">
        <f t="shared" si="5"/>
        <v>1475</v>
      </c>
    </row>
    <row r="20" spans="1:10" x14ac:dyDescent="0.2">
      <c r="A20" s="56" t="s">
        <v>179</v>
      </c>
      <c r="B20" s="57" t="s">
        <v>39</v>
      </c>
      <c r="C20" s="58">
        <f t="shared" ref="C20:J20" si="6">SUM(C37,C49,C56)</f>
        <v>965</v>
      </c>
      <c r="D20" s="58">
        <f t="shared" si="6"/>
        <v>1130</v>
      </c>
      <c r="E20" s="58">
        <f t="shared" si="6"/>
        <v>1020</v>
      </c>
      <c r="F20" s="58">
        <f t="shared" si="6"/>
        <v>1090</v>
      </c>
      <c r="G20" s="58">
        <f t="shared" si="6"/>
        <v>1030</v>
      </c>
      <c r="H20" s="58">
        <f t="shared" si="6"/>
        <v>1170</v>
      </c>
      <c r="I20" s="158">
        <f t="shared" si="6"/>
        <v>1155</v>
      </c>
      <c r="J20" s="144">
        <f t="shared" si="6"/>
        <v>1010</v>
      </c>
    </row>
    <row r="21" spans="1:10" x14ac:dyDescent="0.2">
      <c r="A21" s="56" t="s">
        <v>179</v>
      </c>
      <c r="B21" s="57" t="s">
        <v>40</v>
      </c>
      <c r="C21" s="58">
        <f t="shared" ref="C21:J21" si="7">SUM(C35,C54)</f>
        <v>695</v>
      </c>
      <c r="D21" s="58">
        <f t="shared" si="7"/>
        <v>740</v>
      </c>
      <c r="E21" s="58">
        <f t="shared" si="7"/>
        <v>600</v>
      </c>
      <c r="F21" s="58">
        <f t="shared" si="7"/>
        <v>740</v>
      </c>
      <c r="G21" s="58">
        <f t="shared" si="7"/>
        <v>655</v>
      </c>
      <c r="H21" s="58">
        <f t="shared" si="7"/>
        <v>630</v>
      </c>
      <c r="I21" s="158">
        <f t="shared" si="7"/>
        <v>740</v>
      </c>
      <c r="J21" s="144">
        <f t="shared" si="7"/>
        <v>710</v>
      </c>
    </row>
    <row r="22" spans="1:10" ht="36.6" customHeight="1" x14ac:dyDescent="0.2">
      <c r="A22" s="57" t="s">
        <v>180</v>
      </c>
      <c r="B22" s="57" t="s">
        <v>41</v>
      </c>
      <c r="C22" s="58">
        <f t="shared" ref="C22:J22" si="8">SUM(C32,C48,C51,C55)</f>
        <v>460</v>
      </c>
      <c r="D22" s="58">
        <f t="shared" si="8"/>
        <v>520</v>
      </c>
      <c r="E22" s="58">
        <f t="shared" si="8"/>
        <v>445</v>
      </c>
      <c r="F22" s="58">
        <f t="shared" si="8"/>
        <v>470</v>
      </c>
      <c r="G22" s="58">
        <f t="shared" si="8"/>
        <v>390</v>
      </c>
      <c r="H22" s="58">
        <f t="shared" si="8"/>
        <v>375</v>
      </c>
      <c r="I22" s="158">
        <f t="shared" si="8"/>
        <v>455</v>
      </c>
      <c r="J22" s="144">
        <f t="shared" si="8"/>
        <v>435</v>
      </c>
    </row>
    <row r="23" spans="1:10" x14ac:dyDescent="0.2">
      <c r="A23" s="56" t="s">
        <v>180</v>
      </c>
      <c r="B23" s="57" t="s">
        <v>42</v>
      </c>
      <c r="C23" s="58">
        <f t="shared" ref="C23:J23" si="9">SUM(C30:C31,C34:C35,C37,C39,C44,C47,C52,C54,C56)</f>
        <v>4870</v>
      </c>
      <c r="D23" s="58">
        <f t="shared" si="9"/>
        <v>5140</v>
      </c>
      <c r="E23" s="58">
        <f t="shared" si="9"/>
        <v>4430</v>
      </c>
      <c r="F23" s="58">
        <f t="shared" si="9"/>
        <v>4965</v>
      </c>
      <c r="G23" s="58">
        <f t="shared" si="9"/>
        <v>4695</v>
      </c>
      <c r="H23" s="58">
        <f t="shared" si="9"/>
        <v>4925</v>
      </c>
      <c r="I23" s="158">
        <f t="shared" si="9"/>
        <v>5330</v>
      </c>
      <c r="J23" s="144">
        <f t="shared" si="9"/>
        <v>4580</v>
      </c>
    </row>
    <row r="24" spans="1:10" x14ac:dyDescent="0.2">
      <c r="A24" s="56" t="s">
        <v>180</v>
      </c>
      <c r="B24" s="57" t="s">
        <v>43</v>
      </c>
      <c r="C24" s="58">
        <f t="shared" ref="C24:J24" si="10">SUM(C38,C40:C42,C45:C46,C49:C50,C53,C57:C60)</f>
        <v>6175</v>
      </c>
      <c r="D24" s="58">
        <f t="shared" si="10"/>
        <v>6890</v>
      </c>
      <c r="E24" s="58">
        <f t="shared" si="10"/>
        <v>6715</v>
      </c>
      <c r="F24" s="58">
        <f t="shared" si="10"/>
        <v>6990</v>
      </c>
      <c r="G24" s="58">
        <f t="shared" si="10"/>
        <v>6915</v>
      </c>
      <c r="H24" s="58">
        <f t="shared" si="10"/>
        <v>7870</v>
      </c>
      <c r="I24" s="158">
        <f t="shared" si="10"/>
        <v>7415</v>
      </c>
      <c r="J24" s="144">
        <f t="shared" si="10"/>
        <v>6430</v>
      </c>
    </row>
    <row r="25" spans="1:10" x14ac:dyDescent="0.2">
      <c r="A25" s="56" t="s">
        <v>180</v>
      </c>
      <c r="B25" s="57" t="s">
        <v>44</v>
      </c>
      <c r="C25" s="58">
        <f t="shared" ref="C25:J25" si="11">SUM(C29,C33,C36,C43)</f>
        <v>6400</v>
      </c>
      <c r="D25" s="58">
        <f t="shared" si="11"/>
        <v>6240</v>
      </c>
      <c r="E25" s="58">
        <f t="shared" si="11"/>
        <v>5780</v>
      </c>
      <c r="F25" s="58">
        <f t="shared" si="11"/>
        <v>5885</v>
      </c>
      <c r="G25" s="58">
        <f t="shared" si="11"/>
        <v>6270</v>
      </c>
      <c r="H25" s="58">
        <f t="shared" si="11"/>
        <v>6615</v>
      </c>
      <c r="I25" s="158">
        <f t="shared" si="11"/>
        <v>6675</v>
      </c>
      <c r="J25" s="144">
        <f t="shared" si="11"/>
        <v>5850</v>
      </c>
    </row>
    <row r="26" spans="1:10" ht="28.5" customHeight="1" x14ac:dyDescent="0.2">
      <c r="A26" s="57" t="s">
        <v>181</v>
      </c>
      <c r="B26" s="57" t="s">
        <v>45</v>
      </c>
      <c r="C26" s="58">
        <f t="shared" ref="C26:J26" si="12">SUM(C32,C44,C47,C48,C51,C55)</f>
        <v>1625</v>
      </c>
      <c r="D26" s="58">
        <f t="shared" si="12"/>
        <v>1665</v>
      </c>
      <c r="E26" s="58">
        <f t="shared" si="12"/>
        <v>1440</v>
      </c>
      <c r="F26" s="58">
        <f t="shared" si="12"/>
        <v>1540</v>
      </c>
      <c r="G26" s="58">
        <f t="shared" si="12"/>
        <v>1390</v>
      </c>
      <c r="H26" s="58">
        <f t="shared" si="12"/>
        <v>1430</v>
      </c>
      <c r="I26" s="158">
        <f t="shared" si="12"/>
        <v>1620</v>
      </c>
      <c r="J26" s="144">
        <f t="shared" si="12"/>
        <v>1475</v>
      </c>
    </row>
    <row r="27" spans="1:10" x14ac:dyDescent="0.2">
      <c r="A27" s="56" t="s">
        <v>181</v>
      </c>
      <c r="B27" s="57" t="s">
        <v>120</v>
      </c>
      <c r="C27" s="58">
        <f t="shared" ref="C27:J27" si="13">C21</f>
        <v>695</v>
      </c>
      <c r="D27" s="58">
        <f t="shared" si="13"/>
        <v>740</v>
      </c>
      <c r="E27" s="58">
        <f t="shared" si="13"/>
        <v>600</v>
      </c>
      <c r="F27" s="58">
        <f t="shared" si="13"/>
        <v>740</v>
      </c>
      <c r="G27" s="58">
        <f t="shared" si="13"/>
        <v>655</v>
      </c>
      <c r="H27" s="58">
        <f t="shared" si="13"/>
        <v>630</v>
      </c>
      <c r="I27" s="158">
        <f t="shared" si="13"/>
        <v>740</v>
      </c>
      <c r="J27" s="144">
        <f t="shared" si="13"/>
        <v>710</v>
      </c>
    </row>
    <row r="28" spans="1:10" x14ac:dyDescent="0.2">
      <c r="A28" s="56" t="s">
        <v>181</v>
      </c>
      <c r="B28" s="57" t="s">
        <v>46</v>
      </c>
      <c r="C28" s="58">
        <f t="shared" ref="C28:I28" si="14">C13-SUM(C26:C27)</f>
        <v>15585</v>
      </c>
      <c r="D28" s="58">
        <f t="shared" si="14"/>
        <v>16385</v>
      </c>
      <c r="E28" s="58">
        <f t="shared" si="14"/>
        <v>15330</v>
      </c>
      <c r="F28" s="58">
        <f t="shared" si="14"/>
        <v>16030</v>
      </c>
      <c r="G28" s="58">
        <f t="shared" si="14"/>
        <v>16225</v>
      </c>
      <c r="H28" s="58">
        <f t="shared" si="14"/>
        <v>17725</v>
      </c>
      <c r="I28" s="158">
        <f t="shared" si="14"/>
        <v>17515</v>
      </c>
      <c r="J28" s="144">
        <f t="shared" ref="J28" si="15">J13-SUM(J26:J27)</f>
        <v>15110</v>
      </c>
    </row>
    <row r="29" spans="1:10" ht="30" customHeight="1" x14ac:dyDescent="0.2">
      <c r="A29" s="57" t="s">
        <v>47</v>
      </c>
      <c r="B29" s="57" t="s">
        <v>22</v>
      </c>
      <c r="C29" s="109">
        <v>1375</v>
      </c>
      <c r="D29" s="109">
        <v>1170</v>
      </c>
      <c r="E29" s="109">
        <v>1005</v>
      </c>
      <c r="F29" s="109">
        <v>960</v>
      </c>
      <c r="G29" s="58">
        <v>1030</v>
      </c>
      <c r="H29" s="58">
        <v>1205</v>
      </c>
      <c r="I29" s="144">
        <v>1200</v>
      </c>
      <c r="J29" s="145">
        <v>920</v>
      </c>
    </row>
    <row r="30" spans="1:10" x14ac:dyDescent="0.2">
      <c r="A30" s="56" t="s">
        <v>47</v>
      </c>
      <c r="B30" s="57" t="s">
        <v>23</v>
      </c>
      <c r="C30" s="109">
        <v>1185</v>
      </c>
      <c r="D30" s="109">
        <v>1210</v>
      </c>
      <c r="E30" s="109">
        <v>1005</v>
      </c>
      <c r="F30" s="109">
        <v>1155</v>
      </c>
      <c r="G30" s="58">
        <v>1135</v>
      </c>
      <c r="H30" s="58">
        <v>1230</v>
      </c>
      <c r="I30" s="144">
        <v>1290</v>
      </c>
      <c r="J30" s="145">
        <v>955</v>
      </c>
    </row>
    <row r="31" spans="1:10" x14ac:dyDescent="0.2">
      <c r="A31" s="56" t="s">
        <v>47</v>
      </c>
      <c r="B31" s="57" t="s">
        <v>29</v>
      </c>
      <c r="C31" s="109">
        <v>360</v>
      </c>
      <c r="D31" s="109">
        <v>365</v>
      </c>
      <c r="E31" s="109">
        <v>335</v>
      </c>
      <c r="F31" s="109">
        <v>365</v>
      </c>
      <c r="G31" s="58">
        <v>330</v>
      </c>
      <c r="H31" s="58">
        <v>335</v>
      </c>
      <c r="I31" s="144">
        <v>415</v>
      </c>
      <c r="J31" s="145">
        <v>320</v>
      </c>
    </row>
    <row r="32" spans="1:10" x14ac:dyDescent="0.2">
      <c r="A32" s="56" t="s">
        <v>47</v>
      </c>
      <c r="B32" s="57" t="s">
        <v>24</v>
      </c>
      <c r="C32" s="109">
        <v>265</v>
      </c>
      <c r="D32" s="109">
        <v>300</v>
      </c>
      <c r="E32" s="109">
        <v>255</v>
      </c>
      <c r="F32" s="109">
        <v>255</v>
      </c>
      <c r="G32" s="58">
        <v>210</v>
      </c>
      <c r="H32" s="58">
        <v>235</v>
      </c>
      <c r="I32" s="144">
        <v>280</v>
      </c>
      <c r="J32" s="145">
        <v>265</v>
      </c>
    </row>
    <row r="33" spans="1:10" x14ac:dyDescent="0.2">
      <c r="A33" s="56" t="s">
        <v>47</v>
      </c>
      <c r="B33" s="57" t="s">
        <v>25</v>
      </c>
      <c r="C33" s="109">
        <v>1990</v>
      </c>
      <c r="D33" s="109">
        <v>2160</v>
      </c>
      <c r="E33" s="109">
        <v>1955</v>
      </c>
      <c r="F33" s="109">
        <v>2055</v>
      </c>
      <c r="G33" s="58">
        <v>2520</v>
      </c>
      <c r="H33" s="58">
        <v>2490</v>
      </c>
      <c r="I33" s="144">
        <v>2255</v>
      </c>
      <c r="J33" s="145">
        <v>1970</v>
      </c>
    </row>
    <row r="34" spans="1:10" x14ac:dyDescent="0.2">
      <c r="A34" s="56" t="s">
        <v>47</v>
      </c>
      <c r="B34" s="57" t="s">
        <v>2</v>
      </c>
      <c r="C34" s="109">
        <v>130</v>
      </c>
      <c r="D34" s="109">
        <v>140</v>
      </c>
      <c r="E34" s="109">
        <v>135</v>
      </c>
      <c r="F34" s="109">
        <v>135</v>
      </c>
      <c r="G34" s="58">
        <v>125</v>
      </c>
      <c r="H34" s="58">
        <v>130</v>
      </c>
      <c r="I34" s="144">
        <v>135</v>
      </c>
      <c r="J34" s="145">
        <v>115</v>
      </c>
    </row>
    <row r="35" spans="1:10" x14ac:dyDescent="0.2">
      <c r="A35" s="56" t="s">
        <v>47</v>
      </c>
      <c r="B35" s="57" t="s">
        <v>3</v>
      </c>
      <c r="C35" s="109">
        <v>365</v>
      </c>
      <c r="D35" s="109">
        <v>375</v>
      </c>
      <c r="E35" s="109">
        <v>315</v>
      </c>
      <c r="F35" s="109">
        <v>385</v>
      </c>
      <c r="G35" s="58">
        <v>335</v>
      </c>
      <c r="H35" s="58">
        <v>330</v>
      </c>
      <c r="I35" s="144">
        <v>370</v>
      </c>
      <c r="J35" s="145">
        <v>325</v>
      </c>
    </row>
    <row r="36" spans="1:10" x14ac:dyDescent="0.2">
      <c r="A36" s="56" t="s">
        <v>47</v>
      </c>
      <c r="B36" s="57" t="s">
        <v>30</v>
      </c>
      <c r="C36" s="109">
        <v>405</v>
      </c>
      <c r="D36" s="109">
        <v>430</v>
      </c>
      <c r="E36" s="109">
        <v>410</v>
      </c>
      <c r="F36" s="109">
        <v>415</v>
      </c>
      <c r="G36" s="58">
        <v>365</v>
      </c>
      <c r="H36" s="58">
        <v>385</v>
      </c>
      <c r="I36" s="144">
        <v>495</v>
      </c>
      <c r="J36" s="145">
        <v>430</v>
      </c>
    </row>
    <row r="37" spans="1:10" x14ac:dyDescent="0.2">
      <c r="A37" s="56" t="s">
        <v>47</v>
      </c>
      <c r="B37" s="57" t="s">
        <v>4</v>
      </c>
      <c r="C37" s="109">
        <v>290</v>
      </c>
      <c r="D37" s="109">
        <v>380</v>
      </c>
      <c r="E37" s="109">
        <v>325</v>
      </c>
      <c r="F37" s="109">
        <v>315</v>
      </c>
      <c r="G37" s="58">
        <v>355</v>
      </c>
      <c r="H37" s="58">
        <v>365</v>
      </c>
      <c r="I37" s="144">
        <v>370</v>
      </c>
      <c r="J37" s="145">
        <v>335</v>
      </c>
    </row>
    <row r="38" spans="1:10" x14ac:dyDescent="0.2">
      <c r="A38" s="56" t="s">
        <v>47</v>
      </c>
      <c r="B38" s="57" t="s">
        <v>32</v>
      </c>
      <c r="C38" s="109">
        <v>305</v>
      </c>
      <c r="D38" s="109">
        <v>355</v>
      </c>
      <c r="E38" s="109">
        <v>345</v>
      </c>
      <c r="F38" s="109">
        <v>350</v>
      </c>
      <c r="G38" s="58">
        <v>365</v>
      </c>
      <c r="H38" s="58">
        <v>360</v>
      </c>
      <c r="I38" s="144">
        <v>375</v>
      </c>
      <c r="J38" s="145">
        <v>325</v>
      </c>
    </row>
    <row r="39" spans="1:10" x14ac:dyDescent="0.2">
      <c r="A39" s="56" t="s">
        <v>47</v>
      </c>
      <c r="B39" s="57" t="s">
        <v>5</v>
      </c>
      <c r="C39" s="109">
        <v>275</v>
      </c>
      <c r="D39" s="109">
        <v>290</v>
      </c>
      <c r="E39" s="109">
        <v>285</v>
      </c>
      <c r="F39" s="109">
        <v>320</v>
      </c>
      <c r="G39" s="58">
        <v>335</v>
      </c>
      <c r="H39" s="58">
        <v>335</v>
      </c>
      <c r="I39" s="144">
        <v>360</v>
      </c>
      <c r="J39" s="145">
        <v>280</v>
      </c>
    </row>
    <row r="40" spans="1:10" x14ac:dyDescent="0.2">
      <c r="A40" s="56" t="s">
        <v>47</v>
      </c>
      <c r="B40" s="57" t="s">
        <v>6</v>
      </c>
      <c r="C40" s="109">
        <v>275</v>
      </c>
      <c r="D40" s="109">
        <v>335</v>
      </c>
      <c r="E40" s="109">
        <v>325</v>
      </c>
      <c r="F40" s="109">
        <v>320</v>
      </c>
      <c r="G40" s="58">
        <v>290</v>
      </c>
      <c r="H40" s="58">
        <v>365</v>
      </c>
      <c r="I40" s="144">
        <v>360</v>
      </c>
      <c r="J40" s="145">
        <v>310</v>
      </c>
    </row>
    <row r="41" spans="1:10" x14ac:dyDescent="0.2">
      <c r="A41" s="56" t="s">
        <v>47</v>
      </c>
      <c r="B41" s="57" t="s">
        <v>8</v>
      </c>
      <c r="C41" s="109">
        <v>430</v>
      </c>
      <c r="D41" s="109">
        <v>485</v>
      </c>
      <c r="E41" s="109">
        <v>455</v>
      </c>
      <c r="F41" s="109">
        <v>460</v>
      </c>
      <c r="G41" s="58">
        <v>480</v>
      </c>
      <c r="H41" s="58">
        <v>545</v>
      </c>
      <c r="I41" s="144">
        <v>450</v>
      </c>
      <c r="J41" s="145">
        <v>420</v>
      </c>
    </row>
    <row r="42" spans="1:10" x14ac:dyDescent="0.2">
      <c r="A42" s="56" t="s">
        <v>47</v>
      </c>
      <c r="B42" s="57" t="s">
        <v>9</v>
      </c>
      <c r="C42" s="109">
        <v>980</v>
      </c>
      <c r="D42" s="109">
        <v>1140</v>
      </c>
      <c r="E42" s="109">
        <v>1160</v>
      </c>
      <c r="F42" s="109">
        <v>1325</v>
      </c>
      <c r="G42" s="58">
        <v>1150</v>
      </c>
      <c r="H42" s="58">
        <v>1540</v>
      </c>
      <c r="I42" s="144">
        <v>1145</v>
      </c>
      <c r="J42" s="145">
        <v>975</v>
      </c>
    </row>
    <row r="43" spans="1:10" x14ac:dyDescent="0.2">
      <c r="A43" s="56" t="s">
        <v>47</v>
      </c>
      <c r="B43" s="57" t="s">
        <v>33</v>
      </c>
      <c r="C43" s="109">
        <v>2630</v>
      </c>
      <c r="D43" s="109">
        <v>2480</v>
      </c>
      <c r="E43" s="109">
        <v>2410</v>
      </c>
      <c r="F43" s="109">
        <v>2455</v>
      </c>
      <c r="G43" s="58">
        <v>2355</v>
      </c>
      <c r="H43" s="58">
        <v>2535</v>
      </c>
      <c r="I43" s="144">
        <v>2725</v>
      </c>
      <c r="J43" s="145">
        <v>2530</v>
      </c>
    </row>
    <row r="44" spans="1:10" x14ac:dyDescent="0.2">
      <c r="A44" s="56" t="s">
        <v>47</v>
      </c>
      <c r="B44" s="57" t="s">
        <v>10</v>
      </c>
      <c r="C44" s="109">
        <v>890</v>
      </c>
      <c r="D44" s="109">
        <v>870</v>
      </c>
      <c r="E44" s="109">
        <v>750</v>
      </c>
      <c r="F44" s="109">
        <v>830</v>
      </c>
      <c r="G44" s="58">
        <v>745</v>
      </c>
      <c r="H44" s="58">
        <v>795</v>
      </c>
      <c r="I44" s="144">
        <v>900</v>
      </c>
      <c r="J44" s="145">
        <v>770</v>
      </c>
    </row>
    <row r="45" spans="1:10" x14ac:dyDescent="0.2">
      <c r="A45" s="56" t="s">
        <v>47</v>
      </c>
      <c r="B45" s="57" t="s">
        <v>11</v>
      </c>
      <c r="C45" s="109">
        <v>205</v>
      </c>
      <c r="D45" s="109">
        <v>195</v>
      </c>
      <c r="E45" s="109">
        <v>210</v>
      </c>
      <c r="F45" s="109">
        <v>190</v>
      </c>
      <c r="G45" s="58">
        <v>205</v>
      </c>
      <c r="H45" s="58">
        <v>190</v>
      </c>
      <c r="I45" s="144">
        <v>215</v>
      </c>
      <c r="J45" s="145">
        <v>185</v>
      </c>
    </row>
    <row r="46" spans="1:10" x14ac:dyDescent="0.2">
      <c r="A46" s="56" t="s">
        <v>47</v>
      </c>
      <c r="B46" s="57" t="s">
        <v>12</v>
      </c>
      <c r="C46" s="109">
        <v>215</v>
      </c>
      <c r="D46" s="109">
        <v>245</v>
      </c>
      <c r="E46" s="109">
        <v>235</v>
      </c>
      <c r="F46" s="109">
        <v>225</v>
      </c>
      <c r="G46" s="58">
        <v>280</v>
      </c>
      <c r="H46" s="58">
        <v>280</v>
      </c>
      <c r="I46" s="144">
        <v>300</v>
      </c>
      <c r="J46" s="145">
        <v>260</v>
      </c>
    </row>
    <row r="47" spans="1:10" x14ac:dyDescent="0.2">
      <c r="A47" s="56" t="s">
        <v>47</v>
      </c>
      <c r="B47" s="57" t="s">
        <v>13</v>
      </c>
      <c r="C47" s="109">
        <v>275</v>
      </c>
      <c r="D47" s="109">
        <v>275</v>
      </c>
      <c r="E47" s="109">
        <v>245</v>
      </c>
      <c r="F47" s="109">
        <v>240</v>
      </c>
      <c r="G47" s="58">
        <v>255</v>
      </c>
      <c r="H47" s="58">
        <v>260</v>
      </c>
      <c r="I47" s="144">
        <v>265</v>
      </c>
      <c r="J47" s="145">
        <v>270</v>
      </c>
    </row>
    <row r="48" spans="1:10" x14ac:dyDescent="0.2">
      <c r="A48" s="56" t="s">
        <v>47</v>
      </c>
      <c r="B48" s="57" t="s">
        <v>7</v>
      </c>
      <c r="C48" s="109">
        <v>70</v>
      </c>
      <c r="D48" s="109">
        <v>85</v>
      </c>
      <c r="E48" s="109">
        <v>80</v>
      </c>
      <c r="F48" s="109">
        <v>75</v>
      </c>
      <c r="G48" s="58">
        <v>55</v>
      </c>
      <c r="H48" s="58">
        <v>45</v>
      </c>
      <c r="I48" s="144">
        <v>70</v>
      </c>
      <c r="J48" s="145">
        <v>65</v>
      </c>
    </row>
    <row r="49" spans="1:10" x14ac:dyDescent="0.2">
      <c r="A49" s="56" t="s">
        <v>47</v>
      </c>
      <c r="B49" s="57" t="s">
        <v>14</v>
      </c>
      <c r="C49" s="109">
        <v>345</v>
      </c>
      <c r="D49" s="109">
        <v>375</v>
      </c>
      <c r="E49" s="109">
        <v>375</v>
      </c>
      <c r="F49" s="109">
        <v>375</v>
      </c>
      <c r="G49" s="58">
        <v>350</v>
      </c>
      <c r="H49" s="58">
        <v>450</v>
      </c>
      <c r="I49" s="144">
        <v>435</v>
      </c>
      <c r="J49" s="145">
        <v>325</v>
      </c>
    </row>
    <row r="50" spans="1:10" x14ac:dyDescent="0.2">
      <c r="A50" s="56" t="s">
        <v>47</v>
      </c>
      <c r="B50" s="57" t="s">
        <v>31</v>
      </c>
      <c r="C50" s="109">
        <v>880</v>
      </c>
      <c r="D50" s="109">
        <v>990</v>
      </c>
      <c r="E50" s="109">
        <v>960</v>
      </c>
      <c r="F50" s="109">
        <v>975</v>
      </c>
      <c r="G50" s="58">
        <v>970</v>
      </c>
      <c r="H50" s="58">
        <v>1065</v>
      </c>
      <c r="I50" s="144">
        <v>1150</v>
      </c>
      <c r="J50" s="145">
        <v>950</v>
      </c>
    </row>
    <row r="51" spans="1:10" x14ac:dyDescent="0.2">
      <c r="A51" s="56" t="s">
        <v>47</v>
      </c>
      <c r="B51" s="57" t="s">
        <v>15</v>
      </c>
      <c r="C51" s="109">
        <v>60</v>
      </c>
      <c r="D51" s="109">
        <v>55</v>
      </c>
      <c r="E51" s="109">
        <v>45</v>
      </c>
      <c r="F51" s="109">
        <v>65</v>
      </c>
      <c r="G51" s="58">
        <v>65</v>
      </c>
      <c r="H51" s="58">
        <v>50</v>
      </c>
      <c r="I51" s="144">
        <v>40</v>
      </c>
      <c r="J51" s="145">
        <v>45</v>
      </c>
    </row>
    <row r="52" spans="1:10" x14ac:dyDescent="0.2">
      <c r="A52" s="56" t="s">
        <v>47</v>
      </c>
      <c r="B52" s="57" t="s">
        <v>16</v>
      </c>
      <c r="C52" s="109">
        <v>440</v>
      </c>
      <c r="D52" s="109">
        <v>495</v>
      </c>
      <c r="E52" s="109">
        <v>430</v>
      </c>
      <c r="F52" s="109">
        <v>465</v>
      </c>
      <c r="G52" s="58">
        <v>435</v>
      </c>
      <c r="H52" s="58">
        <v>490</v>
      </c>
      <c r="I52" s="144">
        <v>505</v>
      </c>
      <c r="J52" s="145">
        <v>475</v>
      </c>
    </row>
    <row r="53" spans="1:10" x14ac:dyDescent="0.2">
      <c r="A53" s="56" t="s">
        <v>47</v>
      </c>
      <c r="B53" s="57" t="s">
        <v>26</v>
      </c>
      <c r="C53" s="109">
        <v>535</v>
      </c>
      <c r="D53" s="109">
        <v>540</v>
      </c>
      <c r="E53" s="109">
        <v>515</v>
      </c>
      <c r="F53" s="109">
        <v>575</v>
      </c>
      <c r="G53" s="58">
        <v>570</v>
      </c>
      <c r="H53" s="58">
        <v>580</v>
      </c>
      <c r="I53" s="144">
        <v>615</v>
      </c>
      <c r="J53" s="145">
        <v>585</v>
      </c>
    </row>
    <row r="54" spans="1:10" x14ac:dyDescent="0.2">
      <c r="A54" s="56" t="s">
        <v>47</v>
      </c>
      <c r="B54" s="57" t="s">
        <v>17</v>
      </c>
      <c r="C54" s="109">
        <v>330</v>
      </c>
      <c r="D54" s="109">
        <v>365</v>
      </c>
      <c r="E54" s="109">
        <v>285</v>
      </c>
      <c r="F54" s="109">
        <v>355</v>
      </c>
      <c r="G54" s="58">
        <v>320</v>
      </c>
      <c r="H54" s="58">
        <v>300</v>
      </c>
      <c r="I54" s="144">
        <v>370</v>
      </c>
      <c r="J54" s="145">
        <v>385</v>
      </c>
    </row>
    <row r="55" spans="1:10" x14ac:dyDescent="0.2">
      <c r="A55" s="56" t="s">
        <v>47</v>
      </c>
      <c r="B55" s="57" t="s">
        <v>18</v>
      </c>
      <c r="C55" s="109">
        <v>65</v>
      </c>
      <c r="D55" s="109">
        <v>80</v>
      </c>
      <c r="E55" s="109">
        <v>65</v>
      </c>
      <c r="F55" s="109">
        <v>75</v>
      </c>
      <c r="G55" s="58">
        <v>60</v>
      </c>
      <c r="H55" s="58">
        <v>45</v>
      </c>
      <c r="I55" s="144">
        <v>65</v>
      </c>
      <c r="J55" s="145">
        <v>60</v>
      </c>
    </row>
    <row r="56" spans="1:10" x14ac:dyDescent="0.2">
      <c r="A56" s="56" t="s">
        <v>47</v>
      </c>
      <c r="B56" s="57" t="s">
        <v>19</v>
      </c>
      <c r="C56" s="109">
        <v>330</v>
      </c>
      <c r="D56" s="109">
        <v>375</v>
      </c>
      <c r="E56" s="109">
        <v>320</v>
      </c>
      <c r="F56" s="109">
        <v>400</v>
      </c>
      <c r="G56" s="58">
        <v>325</v>
      </c>
      <c r="H56" s="58">
        <v>355</v>
      </c>
      <c r="I56" s="144">
        <v>350</v>
      </c>
      <c r="J56" s="145">
        <v>350</v>
      </c>
    </row>
    <row r="57" spans="1:10" x14ac:dyDescent="0.2">
      <c r="A57" s="56" t="s">
        <v>47</v>
      </c>
      <c r="B57" s="57" t="s">
        <v>20</v>
      </c>
      <c r="C57" s="109">
        <v>950</v>
      </c>
      <c r="D57" s="109">
        <v>1015</v>
      </c>
      <c r="E57" s="109">
        <v>1010</v>
      </c>
      <c r="F57" s="109">
        <v>1055</v>
      </c>
      <c r="G57" s="58">
        <v>1040</v>
      </c>
      <c r="H57" s="58">
        <v>1125</v>
      </c>
      <c r="I57" s="144">
        <v>1140</v>
      </c>
      <c r="J57" s="145">
        <v>1050</v>
      </c>
    </row>
    <row r="58" spans="1:10" x14ac:dyDescent="0.2">
      <c r="A58" s="56" t="s">
        <v>47</v>
      </c>
      <c r="B58" s="57" t="s">
        <v>21</v>
      </c>
      <c r="C58" s="109">
        <v>320</v>
      </c>
      <c r="D58" s="109">
        <v>420</v>
      </c>
      <c r="E58" s="109">
        <v>330</v>
      </c>
      <c r="F58" s="109">
        <v>345</v>
      </c>
      <c r="G58" s="58">
        <v>355</v>
      </c>
      <c r="H58" s="58">
        <v>360</v>
      </c>
      <c r="I58" s="144">
        <v>355</v>
      </c>
      <c r="J58" s="145">
        <v>310</v>
      </c>
    </row>
    <row r="59" spans="1:10" x14ac:dyDescent="0.2">
      <c r="A59" s="56" t="s">
        <v>47</v>
      </c>
      <c r="B59" s="57" t="s">
        <v>27</v>
      </c>
      <c r="C59" s="109">
        <v>230</v>
      </c>
      <c r="D59" s="109">
        <v>225</v>
      </c>
      <c r="E59" s="109">
        <v>250</v>
      </c>
      <c r="F59" s="109">
        <v>220</v>
      </c>
      <c r="G59" s="58">
        <v>255</v>
      </c>
      <c r="H59" s="58">
        <v>340</v>
      </c>
      <c r="I59" s="144">
        <v>235</v>
      </c>
      <c r="J59" s="145">
        <v>220</v>
      </c>
    </row>
    <row r="60" spans="1:10" x14ac:dyDescent="0.2">
      <c r="A60" s="56" t="s">
        <v>47</v>
      </c>
      <c r="B60" s="57" t="s">
        <v>28</v>
      </c>
      <c r="C60" s="109">
        <v>505</v>
      </c>
      <c r="D60" s="109">
        <v>570</v>
      </c>
      <c r="E60" s="109">
        <v>545</v>
      </c>
      <c r="F60" s="109">
        <v>575</v>
      </c>
      <c r="G60" s="58">
        <v>605</v>
      </c>
      <c r="H60" s="58">
        <v>670</v>
      </c>
      <c r="I60" s="144">
        <v>640</v>
      </c>
      <c r="J60" s="145">
        <v>515</v>
      </c>
    </row>
    <row r="61" spans="1:10" ht="29.1" customHeight="1" x14ac:dyDescent="0.2">
      <c r="A61" s="57" t="s">
        <v>182</v>
      </c>
      <c r="B61" s="57" t="s">
        <v>54</v>
      </c>
      <c r="C61" s="109">
        <v>2280</v>
      </c>
      <c r="D61" s="109">
        <v>2085</v>
      </c>
      <c r="E61" s="109">
        <v>1755</v>
      </c>
      <c r="F61" s="109">
        <v>1800</v>
      </c>
      <c r="G61" s="58">
        <v>1890</v>
      </c>
      <c r="H61" s="58">
        <v>2145</v>
      </c>
      <c r="I61" s="144">
        <v>2185</v>
      </c>
      <c r="J61" s="144">
        <v>1620</v>
      </c>
    </row>
    <row r="62" spans="1:10" x14ac:dyDescent="0.2">
      <c r="A62" s="56" t="s">
        <v>182</v>
      </c>
      <c r="B62" s="56" t="s">
        <v>55</v>
      </c>
      <c r="C62" s="109">
        <v>120</v>
      </c>
      <c r="D62" s="109">
        <v>100</v>
      </c>
      <c r="E62" s="109">
        <v>85</v>
      </c>
      <c r="F62" s="109">
        <v>95</v>
      </c>
      <c r="G62" s="58">
        <v>95</v>
      </c>
      <c r="H62" s="58">
        <v>145</v>
      </c>
      <c r="I62" s="144">
        <v>100</v>
      </c>
      <c r="J62" s="144">
        <v>70</v>
      </c>
    </row>
    <row r="63" spans="1:10" x14ac:dyDescent="0.2">
      <c r="A63" s="56" t="s">
        <v>182</v>
      </c>
      <c r="B63" s="56" t="s">
        <v>56</v>
      </c>
      <c r="C63" s="109">
        <v>170</v>
      </c>
      <c r="D63" s="109">
        <v>125</v>
      </c>
      <c r="E63" s="109">
        <v>135</v>
      </c>
      <c r="F63" s="109">
        <v>155</v>
      </c>
      <c r="G63" s="58">
        <v>135</v>
      </c>
      <c r="H63" s="58">
        <v>150</v>
      </c>
      <c r="I63" s="144">
        <v>180</v>
      </c>
      <c r="J63" s="144">
        <v>110</v>
      </c>
    </row>
    <row r="64" spans="1:10" x14ac:dyDescent="0.2">
      <c r="A64" s="56" t="s">
        <v>182</v>
      </c>
      <c r="B64" s="56" t="s">
        <v>57</v>
      </c>
      <c r="C64" s="109">
        <v>50</v>
      </c>
      <c r="D64" s="109">
        <v>60</v>
      </c>
      <c r="E64" s="109">
        <v>55</v>
      </c>
      <c r="F64" s="109">
        <v>65</v>
      </c>
      <c r="G64" s="58">
        <v>45</v>
      </c>
      <c r="H64" s="58">
        <v>35</v>
      </c>
      <c r="I64" s="144">
        <v>50</v>
      </c>
      <c r="J64" s="144">
        <v>55</v>
      </c>
    </row>
    <row r="65" spans="1:10" x14ac:dyDescent="0.2">
      <c r="A65" s="56" t="s">
        <v>182</v>
      </c>
      <c r="B65" s="56" t="s">
        <v>58</v>
      </c>
      <c r="C65" s="109">
        <v>390</v>
      </c>
      <c r="D65" s="109">
        <v>460</v>
      </c>
      <c r="E65" s="109">
        <v>385</v>
      </c>
      <c r="F65" s="109">
        <v>460</v>
      </c>
      <c r="G65" s="58">
        <v>435</v>
      </c>
      <c r="H65" s="58">
        <v>450</v>
      </c>
      <c r="I65" s="144">
        <v>405</v>
      </c>
      <c r="J65" s="144">
        <v>415</v>
      </c>
    </row>
    <row r="66" spans="1:10" x14ac:dyDescent="0.2">
      <c r="A66" s="56" t="s">
        <v>182</v>
      </c>
      <c r="B66" s="56" t="s">
        <v>96</v>
      </c>
      <c r="C66" s="109">
        <v>55</v>
      </c>
      <c r="D66" s="109">
        <v>60</v>
      </c>
      <c r="E66" s="109">
        <v>55</v>
      </c>
      <c r="F66" s="109">
        <v>70</v>
      </c>
      <c r="G66" s="58">
        <v>65</v>
      </c>
      <c r="H66" s="58">
        <v>50</v>
      </c>
      <c r="I66" s="144">
        <v>55</v>
      </c>
      <c r="J66" s="144">
        <v>65</v>
      </c>
    </row>
    <row r="67" spans="1:10" x14ac:dyDescent="0.2">
      <c r="A67" s="56" t="s">
        <v>182</v>
      </c>
      <c r="B67" s="56" t="s">
        <v>59</v>
      </c>
      <c r="C67" s="109">
        <v>25</v>
      </c>
      <c r="D67" s="109">
        <v>25</v>
      </c>
      <c r="E67" s="109">
        <v>35</v>
      </c>
      <c r="F67" s="109">
        <v>30</v>
      </c>
      <c r="G67" s="58">
        <v>25</v>
      </c>
      <c r="H67" s="58">
        <v>30</v>
      </c>
      <c r="I67" s="144">
        <v>25</v>
      </c>
      <c r="J67" s="144">
        <v>20</v>
      </c>
    </row>
    <row r="68" spans="1:10" x14ac:dyDescent="0.2">
      <c r="A68" s="56" t="s">
        <v>182</v>
      </c>
      <c r="B68" s="56" t="s">
        <v>60</v>
      </c>
      <c r="C68" s="109">
        <v>20</v>
      </c>
      <c r="D68" s="109">
        <v>15</v>
      </c>
      <c r="E68" s="109">
        <v>30</v>
      </c>
      <c r="F68" s="109">
        <v>15</v>
      </c>
      <c r="G68" s="58">
        <v>10</v>
      </c>
      <c r="H68" s="58">
        <v>15</v>
      </c>
      <c r="I68" s="144">
        <v>20</v>
      </c>
      <c r="J68" s="144">
        <v>20</v>
      </c>
    </row>
    <row r="69" spans="1:10" x14ac:dyDescent="0.2">
      <c r="A69" s="56" t="s">
        <v>182</v>
      </c>
      <c r="B69" s="56" t="s">
        <v>97</v>
      </c>
      <c r="C69" s="109">
        <v>25</v>
      </c>
      <c r="D69" s="109">
        <v>25</v>
      </c>
      <c r="E69" s="109">
        <v>20</v>
      </c>
      <c r="F69" s="109">
        <v>25</v>
      </c>
      <c r="G69" s="58">
        <v>25</v>
      </c>
      <c r="H69" s="58">
        <v>30</v>
      </c>
      <c r="I69" s="144">
        <v>35</v>
      </c>
      <c r="J69" s="144">
        <v>25</v>
      </c>
    </row>
    <row r="70" spans="1:10" x14ac:dyDescent="0.2">
      <c r="A70" s="56" t="s">
        <v>182</v>
      </c>
      <c r="B70" s="56" t="s">
        <v>61</v>
      </c>
      <c r="C70" s="109">
        <v>55</v>
      </c>
      <c r="D70" s="109">
        <v>45</v>
      </c>
      <c r="E70" s="109">
        <v>35</v>
      </c>
      <c r="F70" s="109">
        <v>55</v>
      </c>
      <c r="G70" s="58">
        <v>50</v>
      </c>
      <c r="H70" s="58">
        <v>55</v>
      </c>
      <c r="I70" s="144">
        <v>40</v>
      </c>
      <c r="J70" s="144">
        <v>45</v>
      </c>
    </row>
    <row r="71" spans="1:10" x14ac:dyDescent="0.2">
      <c r="A71" s="56" t="s">
        <v>182</v>
      </c>
      <c r="B71" s="56" t="s">
        <v>62</v>
      </c>
      <c r="C71" s="109">
        <v>170</v>
      </c>
      <c r="D71" s="109">
        <v>180</v>
      </c>
      <c r="E71" s="109">
        <v>170</v>
      </c>
      <c r="F71" s="109">
        <v>160</v>
      </c>
      <c r="G71" s="58">
        <v>205</v>
      </c>
      <c r="H71" s="58">
        <v>285</v>
      </c>
      <c r="I71" s="144">
        <v>195</v>
      </c>
      <c r="J71" s="144">
        <v>165</v>
      </c>
    </row>
    <row r="72" spans="1:10" x14ac:dyDescent="0.2">
      <c r="A72" s="56" t="s">
        <v>182</v>
      </c>
      <c r="B72" s="56" t="s">
        <v>63</v>
      </c>
      <c r="C72" s="109">
        <v>220</v>
      </c>
      <c r="D72" s="109">
        <v>235</v>
      </c>
      <c r="E72" s="109">
        <v>200</v>
      </c>
      <c r="F72" s="109">
        <v>235</v>
      </c>
      <c r="G72" s="58">
        <v>205</v>
      </c>
      <c r="H72" s="58">
        <v>185</v>
      </c>
      <c r="I72" s="144">
        <v>225</v>
      </c>
      <c r="J72" s="144">
        <v>190</v>
      </c>
    </row>
    <row r="73" spans="1:10" x14ac:dyDescent="0.2">
      <c r="A73" s="56" t="s">
        <v>182</v>
      </c>
      <c r="B73" s="56" t="s">
        <v>64</v>
      </c>
      <c r="C73" s="109">
        <v>635</v>
      </c>
      <c r="D73" s="109">
        <v>725</v>
      </c>
      <c r="E73" s="109">
        <v>650</v>
      </c>
      <c r="F73" s="109">
        <v>675</v>
      </c>
      <c r="G73" s="58">
        <v>600</v>
      </c>
      <c r="H73" s="58">
        <v>635</v>
      </c>
      <c r="I73" s="144">
        <v>785</v>
      </c>
      <c r="J73" s="144">
        <v>685</v>
      </c>
    </row>
    <row r="74" spans="1:10" x14ac:dyDescent="0.2">
      <c r="A74" s="56" t="s">
        <v>182</v>
      </c>
      <c r="B74" s="56" t="s">
        <v>65</v>
      </c>
      <c r="C74" s="109">
        <v>795</v>
      </c>
      <c r="D74" s="109">
        <v>930</v>
      </c>
      <c r="E74" s="109">
        <v>970</v>
      </c>
      <c r="F74" s="109">
        <v>1105</v>
      </c>
      <c r="G74" s="58">
        <v>1005</v>
      </c>
      <c r="H74" s="58">
        <v>1375</v>
      </c>
      <c r="I74" s="144">
        <v>940</v>
      </c>
      <c r="J74" s="144">
        <v>795</v>
      </c>
    </row>
    <row r="75" spans="1:10" x14ac:dyDescent="0.2">
      <c r="A75" s="56" t="s">
        <v>182</v>
      </c>
      <c r="B75" s="56" t="s">
        <v>66</v>
      </c>
      <c r="C75" s="109">
        <v>70</v>
      </c>
      <c r="D75" s="109">
        <v>80</v>
      </c>
      <c r="E75" s="109">
        <v>60</v>
      </c>
      <c r="F75" s="109">
        <v>55</v>
      </c>
      <c r="G75" s="58">
        <v>50</v>
      </c>
      <c r="H75" s="58">
        <v>50</v>
      </c>
      <c r="I75" s="144">
        <v>45</v>
      </c>
      <c r="J75" s="144">
        <v>60</v>
      </c>
    </row>
    <row r="76" spans="1:10" x14ac:dyDescent="0.2">
      <c r="A76" s="56" t="s">
        <v>182</v>
      </c>
      <c r="B76" s="56" t="s">
        <v>67</v>
      </c>
      <c r="C76" s="109">
        <v>2510</v>
      </c>
      <c r="D76" s="109">
        <v>2715</v>
      </c>
      <c r="E76" s="109">
        <v>2495</v>
      </c>
      <c r="F76" s="109">
        <v>2620</v>
      </c>
      <c r="G76" s="58">
        <v>3160</v>
      </c>
      <c r="H76" s="58">
        <v>3135</v>
      </c>
      <c r="I76" s="144">
        <v>2935</v>
      </c>
      <c r="J76" s="144">
        <v>2535</v>
      </c>
    </row>
    <row r="77" spans="1:10" x14ac:dyDescent="0.2">
      <c r="A77" s="56" t="s">
        <v>182</v>
      </c>
      <c r="B77" s="56" t="s">
        <v>68</v>
      </c>
      <c r="C77" s="109">
        <v>295</v>
      </c>
      <c r="D77" s="109">
        <v>295</v>
      </c>
      <c r="E77" s="109">
        <v>265</v>
      </c>
      <c r="F77" s="109">
        <v>260</v>
      </c>
      <c r="G77" s="58">
        <v>270</v>
      </c>
      <c r="H77" s="58">
        <v>280</v>
      </c>
      <c r="I77" s="144">
        <v>290</v>
      </c>
      <c r="J77" s="144">
        <v>285</v>
      </c>
    </row>
    <row r="78" spans="1:10" x14ac:dyDescent="0.2">
      <c r="A78" s="56" t="s">
        <v>182</v>
      </c>
      <c r="B78" s="56" t="s">
        <v>69</v>
      </c>
      <c r="C78" s="109">
        <v>835</v>
      </c>
      <c r="D78" s="109">
        <v>1000</v>
      </c>
      <c r="E78" s="109">
        <v>885</v>
      </c>
      <c r="F78" s="109">
        <v>925</v>
      </c>
      <c r="G78" s="58">
        <v>900</v>
      </c>
      <c r="H78" s="58">
        <v>970</v>
      </c>
      <c r="I78" s="144">
        <v>920</v>
      </c>
      <c r="J78" s="144">
        <v>795</v>
      </c>
    </row>
    <row r="79" spans="1:10" x14ac:dyDescent="0.2">
      <c r="A79" s="56" t="s">
        <v>182</v>
      </c>
      <c r="B79" s="56" t="s">
        <v>70</v>
      </c>
      <c r="C79" s="109">
        <v>50</v>
      </c>
      <c r="D79" s="109">
        <v>70</v>
      </c>
      <c r="E79" s="109">
        <v>50</v>
      </c>
      <c r="F79" s="109">
        <v>60</v>
      </c>
      <c r="G79" s="58">
        <v>60</v>
      </c>
      <c r="H79" s="58">
        <v>50</v>
      </c>
      <c r="I79" s="144">
        <v>75</v>
      </c>
      <c r="J79" s="144">
        <v>80</v>
      </c>
    </row>
    <row r="80" spans="1:10" x14ac:dyDescent="0.2">
      <c r="A80" s="56" t="s">
        <v>182</v>
      </c>
      <c r="B80" s="56" t="s">
        <v>71</v>
      </c>
      <c r="C80" s="109">
        <v>55</v>
      </c>
      <c r="D80" s="109">
        <v>60</v>
      </c>
      <c r="E80" s="109">
        <v>55</v>
      </c>
      <c r="F80" s="109">
        <v>70</v>
      </c>
      <c r="G80" s="58">
        <v>55</v>
      </c>
      <c r="H80" s="58">
        <v>60</v>
      </c>
      <c r="I80" s="144">
        <v>75</v>
      </c>
      <c r="J80" s="144">
        <v>65</v>
      </c>
    </row>
    <row r="81" spans="1:10" x14ac:dyDescent="0.2">
      <c r="A81" s="56" t="s">
        <v>182</v>
      </c>
      <c r="B81" s="56" t="s">
        <v>72</v>
      </c>
      <c r="C81" s="109">
        <v>165</v>
      </c>
      <c r="D81" s="109">
        <v>195</v>
      </c>
      <c r="E81" s="109">
        <v>145</v>
      </c>
      <c r="F81" s="109">
        <v>180</v>
      </c>
      <c r="G81" s="58">
        <v>165</v>
      </c>
      <c r="H81" s="58">
        <v>155</v>
      </c>
      <c r="I81" s="144">
        <v>195</v>
      </c>
      <c r="J81" s="144">
        <v>190</v>
      </c>
    </row>
    <row r="82" spans="1:10" x14ac:dyDescent="0.2">
      <c r="A82" s="56" t="s">
        <v>182</v>
      </c>
      <c r="B82" s="56" t="s">
        <v>73</v>
      </c>
      <c r="C82" s="109">
        <v>30</v>
      </c>
      <c r="D82" s="109">
        <v>20</v>
      </c>
      <c r="E82" s="109">
        <v>15</v>
      </c>
      <c r="F82" s="109">
        <v>25</v>
      </c>
      <c r="G82" s="58">
        <v>15</v>
      </c>
      <c r="H82" s="58">
        <v>25</v>
      </c>
      <c r="I82" s="144">
        <v>25</v>
      </c>
      <c r="J82" s="144">
        <v>25</v>
      </c>
    </row>
    <row r="83" spans="1:10" x14ac:dyDescent="0.2">
      <c r="A83" s="56" t="s">
        <v>182</v>
      </c>
      <c r="B83" s="56" t="s">
        <v>53</v>
      </c>
      <c r="C83" s="109">
        <v>4535</v>
      </c>
      <c r="D83" s="109">
        <v>4570</v>
      </c>
      <c r="E83" s="109">
        <v>4490</v>
      </c>
      <c r="F83" s="109">
        <v>4605</v>
      </c>
      <c r="G83" s="58">
        <v>4435</v>
      </c>
      <c r="H83" s="58">
        <v>4810</v>
      </c>
      <c r="I83" s="144">
        <v>5050</v>
      </c>
      <c r="J83" s="144">
        <v>4610</v>
      </c>
    </row>
    <row r="84" spans="1:10" x14ac:dyDescent="0.2">
      <c r="A84" s="56" t="s">
        <v>182</v>
      </c>
      <c r="B84" s="56" t="s">
        <v>74</v>
      </c>
      <c r="C84" s="109">
        <v>40</v>
      </c>
      <c r="D84" s="109">
        <v>45</v>
      </c>
      <c r="E84" s="109">
        <v>35</v>
      </c>
      <c r="F84" s="109">
        <v>35</v>
      </c>
      <c r="G84" s="58">
        <v>35</v>
      </c>
      <c r="H84" s="58">
        <v>35</v>
      </c>
      <c r="I84" s="144">
        <v>50</v>
      </c>
      <c r="J84" s="144">
        <v>25</v>
      </c>
    </row>
    <row r="85" spans="1:10" x14ac:dyDescent="0.2">
      <c r="A85" s="56" t="s">
        <v>182</v>
      </c>
      <c r="B85" s="56" t="s">
        <v>75</v>
      </c>
      <c r="C85" s="109">
        <v>215</v>
      </c>
      <c r="D85" s="109">
        <v>205</v>
      </c>
      <c r="E85" s="109">
        <v>225</v>
      </c>
      <c r="F85" s="109">
        <v>190</v>
      </c>
      <c r="G85" s="58">
        <v>210</v>
      </c>
      <c r="H85" s="58">
        <v>200</v>
      </c>
      <c r="I85" s="144">
        <v>225</v>
      </c>
      <c r="J85" s="144">
        <v>190</v>
      </c>
    </row>
    <row r="86" spans="1:10" x14ac:dyDescent="0.2">
      <c r="A86" s="56" t="s">
        <v>182</v>
      </c>
      <c r="B86" s="56" t="s">
        <v>76</v>
      </c>
      <c r="C86" s="109">
        <v>85</v>
      </c>
      <c r="D86" s="109">
        <v>90</v>
      </c>
      <c r="E86" s="109">
        <v>65</v>
      </c>
      <c r="F86" s="109">
        <v>95</v>
      </c>
      <c r="G86" s="58">
        <v>70</v>
      </c>
      <c r="H86" s="58">
        <v>75</v>
      </c>
      <c r="I86" s="144">
        <v>95</v>
      </c>
      <c r="J86" s="144">
        <v>105</v>
      </c>
    </row>
    <row r="87" spans="1:10" x14ac:dyDescent="0.2">
      <c r="A87" s="56" t="s">
        <v>182</v>
      </c>
      <c r="B87" s="56" t="s">
        <v>77</v>
      </c>
      <c r="C87" s="109">
        <v>440</v>
      </c>
      <c r="D87" s="109">
        <v>405</v>
      </c>
      <c r="E87" s="109">
        <v>360</v>
      </c>
      <c r="F87" s="109">
        <v>380</v>
      </c>
      <c r="G87" s="58">
        <v>350</v>
      </c>
      <c r="H87" s="58">
        <v>370</v>
      </c>
      <c r="I87" s="144">
        <v>425</v>
      </c>
      <c r="J87" s="144">
        <v>385</v>
      </c>
    </row>
    <row r="88" spans="1:10" x14ac:dyDescent="0.2">
      <c r="A88" s="56" t="s">
        <v>182</v>
      </c>
      <c r="B88" s="56" t="s">
        <v>78</v>
      </c>
      <c r="C88" s="109">
        <v>510</v>
      </c>
      <c r="D88" s="109">
        <v>610</v>
      </c>
      <c r="E88" s="109">
        <v>565</v>
      </c>
      <c r="F88" s="109">
        <v>565</v>
      </c>
      <c r="G88" s="58">
        <v>545</v>
      </c>
      <c r="H88" s="58">
        <v>650</v>
      </c>
      <c r="I88" s="144">
        <v>680</v>
      </c>
      <c r="J88" s="144">
        <v>525</v>
      </c>
    </row>
    <row r="89" spans="1:10" x14ac:dyDescent="0.2">
      <c r="A89" s="56" t="s">
        <v>182</v>
      </c>
      <c r="B89" s="56" t="s">
        <v>79</v>
      </c>
      <c r="C89" s="109">
        <v>550</v>
      </c>
      <c r="D89" s="109">
        <v>615</v>
      </c>
      <c r="E89" s="109">
        <v>600</v>
      </c>
      <c r="F89" s="109">
        <v>610</v>
      </c>
      <c r="G89" s="58">
        <v>660</v>
      </c>
      <c r="H89" s="58">
        <v>725</v>
      </c>
      <c r="I89" s="144">
        <v>685</v>
      </c>
      <c r="J89" s="144">
        <v>560</v>
      </c>
    </row>
    <row r="90" spans="1:10" x14ac:dyDescent="0.2">
      <c r="A90" s="56" t="s">
        <v>182</v>
      </c>
      <c r="B90" s="56" t="s">
        <v>80</v>
      </c>
      <c r="C90" s="109">
        <v>30</v>
      </c>
      <c r="D90" s="109">
        <v>35</v>
      </c>
      <c r="E90" s="109">
        <v>25</v>
      </c>
      <c r="F90" s="109">
        <v>35</v>
      </c>
      <c r="G90" s="58">
        <v>20</v>
      </c>
      <c r="H90" s="58">
        <v>20</v>
      </c>
      <c r="I90" s="144">
        <v>35</v>
      </c>
      <c r="J90" s="144">
        <v>30</v>
      </c>
    </row>
    <row r="91" spans="1:10" x14ac:dyDescent="0.2">
      <c r="A91" s="56" t="s">
        <v>182</v>
      </c>
      <c r="B91" s="56" t="s">
        <v>81</v>
      </c>
      <c r="C91" s="109">
        <v>1205</v>
      </c>
      <c r="D91" s="109">
        <v>1315</v>
      </c>
      <c r="E91" s="109">
        <v>1280</v>
      </c>
      <c r="F91" s="109">
        <v>1295</v>
      </c>
      <c r="G91" s="58">
        <v>1310</v>
      </c>
      <c r="H91" s="58">
        <v>1410</v>
      </c>
      <c r="I91" s="144">
        <v>1485</v>
      </c>
      <c r="J91" s="144">
        <v>1320</v>
      </c>
    </row>
    <row r="92" spans="1:10" x14ac:dyDescent="0.2">
      <c r="A92" s="56" t="s">
        <v>182</v>
      </c>
      <c r="B92" s="56" t="s">
        <v>82</v>
      </c>
      <c r="C92" s="109">
        <v>30</v>
      </c>
      <c r="D92" s="109">
        <v>20</v>
      </c>
      <c r="E92" s="109">
        <v>25</v>
      </c>
      <c r="F92" s="109">
        <v>30</v>
      </c>
      <c r="G92" s="58">
        <v>30</v>
      </c>
      <c r="H92" s="58">
        <v>20</v>
      </c>
      <c r="I92" s="144">
        <v>20</v>
      </c>
      <c r="J92" s="144">
        <v>35</v>
      </c>
    </row>
    <row r="93" spans="1:10" x14ac:dyDescent="0.2">
      <c r="A93" s="56" t="s">
        <v>182</v>
      </c>
      <c r="B93" s="56" t="s">
        <v>83</v>
      </c>
      <c r="C93" s="109">
        <v>40</v>
      </c>
      <c r="D93" s="109">
        <v>30</v>
      </c>
      <c r="E93" s="109">
        <v>25</v>
      </c>
      <c r="F93" s="109">
        <v>30</v>
      </c>
      <c r="G93" s="58">
        <v>30</v>
      </c>
      <c r="H93" s="58">
        <v>25</v>
      </c>
      <c r="I93" s="144">
        <v>25</v>
      </c>
      <c r="J93" s="144">
        <v>25</v>
      </c>
    </row>
    <row r="94" spans="1:10" x14ac:dyDescent="0.2">
      <c r="A94" s="56" t="s">
        <v>182</v>
      </c>
      <c r="B94" s="56" t="s">
        <v>84</v>
      </c>
      <c r="C94" s="109">
        <v>50</v>
      </c>
      <c r="D94" s="109">
        <v>65</v>
      </c>
      <c r="E94" s="109">
        <v>45</v>
      </c>
      <c r="F94" s="109">
        <v>50</v>
      </c>
      <c r="G94" s="58">
        <v>45</v>
      </c>
      <c r="H94" s="58">
        <v>50</v>
      </c>
      <c r="I94" s="144">
        <v>75</v>
      </c>
      <c r="J94" s="144">
        <v>55</v>
      </c>
    </row>
    <row r="95" spans="1:10" x14ac:dyDescent="0.2">
      <c r="A95" s="56" t="s">
        <v>182</v>
      </c>
      <c r="B95" s="56" t="s">
        <v>15</v>
      </c>
      <c r="C95" s="109">
        <v>60</v>
      </c>
      <c r="D95" s="109">
        <v>55</v>
      </c>
      <c r="E95" s="109">
        <v>45</v>
      </c>
      <c r="F95" s="109">
        <v>65</v>
      </c>
      <c r="G95" s="58">
        <v>65</v>
      </c>
      <c r="H95" s="58">
        <v>50</v>
      </c>
      <c r="I95" s="144">
        <v>40</v>
      </c>
      <c r="J95" s="144">
        <v>45</v>
      </c>
    </row>
    <row r="96" spans="1:10" x14ac:dyDescent="0.2">
      <c r="A96" s="56" t="s">
        <v>182</v>
      </c>
      <c r="B96" s="56" t="s">
        <v>85</v>
      </c>
      <c r="C96" s="109">
        <v>360</v>
      </c>
      <c r="D96" s="109">
        <v>390</v>
      </c>
      <c r="E96" s="109">
        <v>345</v>
      </c>
      <c r="F96" s="109">
        <v>400</v>
      </c>
      <c r="G96" s="58">
        <v>345</v>
      </c>
      <c r="H96" s="58">
        <v>420</v>
      </c>
      <c r="I96" s="144">
        <v>405</v>
      </c>
      <c r="J96" s="144">
        <v>395</v>
      </c>
    </row>
    <row r="97" spans="1:10" x14ac:dyDescent="0.2">
      <c r="A97" s="56" t="s">
        <v>182</v>
      </c>
      <c r="B97" s="56" t="s">
        <v>86</v>
      </c>
      <c r="C97" s="109">
        <v>135</v>
      </c>
      <c r="D97" s="109">
        <v>130</v>
      </c>
      <c r="E97" s="109">
        <v>125</v>
      </c>
      <c r="F97" s="109">
        <v>140</v>
      </c>
      <c r="G97" s="58">
        <v>125</v>
      </c>
      <c r="H97" s="58">
        <v>135</v>
      </c>
      <c r="I97" s="144">
        <v>125</v>
      </c>
      <c r="J97" s="144">
        <v>100</v>
      </c>
    </row>
    <row r="98" spans="1:10" x14ac:dyDescent="0.2">
      <c r="A98" s="56" t="s">
        <v>182</v>
      </c>
      <c r="B98" s="56" t="s">
        <v>87</v>
      </c>
      <c r="C98" s="109">
        <v>50</v>
      </c>
      <c r="D98" s="109">
        <v>60</v>
      </c>
      <c r="E98" s="109">
        <v>55</v>
      </c>
      <c r="F98" s="109">
        <v>45</v>
      </c>
      <c r="G98" s="58">
        <v>55</v>
      </c>
      <c r="H98" s="58">
        <v>40</v>
      </c>
      <c r="I98" s="144">
        <v>65</v>
      </c>
      <c r="J98" s="144">
        <v>55</v>
      </c>
    </row>
    <row r="99" spans="1:10" x14ac:dyDescent="0.2">
      <c r="A99" s="56" t="s">
        <v>182</v>
      </c>
      <c r="B99" s="56" t="s">
        <v>88</v>
      </c>
      <c r="C99" s="109">
        <v>30</v>
      </c>
      <c r="D99" s="109">
        <v>40</v>
      </c>
      <c r="E99" s="109">
        <v>30</v>
      </c>
      <c r="F99" s="109">
        <v>30</v>
      </c>
      <c r="G99" s="58">
        <v>35</v>
      </c>
      <c r="H99" s="58">
        <v>20</v>
      </c>
      <c r="I99" s="144">
        <v>40</v>
      </c>
      <c r="J99" s="144">
        <v>30</v>
      </c>
    </row>
    <row r="100" spans="1:10" x14ac:dyDescent="0.2">
      <c r="A100" s="56" t="s">
        <v>182</v>
      </c>
      <c r="B100" s="56" t="s">
        <v>18</v>
      </c>
      <c r="C100" s="109">
        <v>65</v>
      </c>
      <c r="D100" s="109">
        <v>80</v>
      </c>
      <c r="E100" s="109">
        <v>65</v>
      </c>
      <c r="F100" s="109">
        <v>75</v>
      </c>
      <c r="G100" s="58">
        <v>60</v>
      </c>
      <c r="H100" s="58">
        <v>45</v>
      </c>
      <c r="I100" s="144">
        <v>65</v>
      </c>
      <c r="J100" s="144">
        <v>60</v>
      </c>
    </row>
    <row r="101" spans="1:10" x14ac:dyDescent="0.2">
      <c r="A101" s="56" t="s">
        <v>182</v>
      </c>
      <c r="B101" s="56" t="s">
        <v>89</v>
      </c>
      <c r="C101" s="109">
        <v>150</v>
      </c>
      <c r="D101" s="109">
        <v>170</v>
      </c>
      <c r="E101" s="109">
        <v>145</v>
      </c>
      <c r="F101" s="109">
        <v>155</v>
      </c>
      <c r="G101" s="58">
        <v>115</v>
      </c>
      <c r="H101" s="58">
        <v>115</v>
      </c>
      <c r="I101" s="144">
        <v>155</v>
      </c>
      <c r="J101" s="144">
        <v>140</v>
      </c>
    </row>
    <row r="102" spans="1:10" x14ac:dyDescent="0.2">
      <c r="A102" s="56" t="s">
        <v>182</v>
      </c>
      <c r="B102" s="56" t="s">
        <v>90</v>
      </c>
      <c r="C102" s="109">
        <v>30</v>
      </c>
      <c r="D102" s="109">
        <v>50</v>
      </c>
      <c r="E102" s="109">
        <v>30</v>
      </c>
      <c r="F102" s="109">
        <v>45</v>
      </c>
      <c r="G102" s="58">
        <v>30</v>
      </c>
      <c r="H102" s="58">
        <v>35</v>
      </c>
      <c r="I102" s="144">
        <v>40</v>
      </c>
      <c r="J102" s="144">
        <v>40</v>
      </c>
    </row>
    <row r="103" spans="1:10" x14ac:dyDescent="0.2">
      <c r="A103" s="56" t="s">
        <v>182</v>
      </c>
      <c r="B103" s="56" t="s">
        <v>91</v>
      </c>
      <c r="C103" s="109">
        <v>55</v>
      </c>
      <c r="D103" s="109">
        <v>50</v>
      </c>
      <c r="E103" s="109">
        <v>45</v>
      </c>
      <c r="F103" s="109">
        <v>50</v>
      </c>
      <c r="G103" s="58">
        <v>45</v>
      </c>
      <c r="H103" s="58">
        <v>55</v>
      </c>
      <c r="I103" s="144">
        <v>55</v>
      </c>
      <c r="J103" s="144">
        <v>35</v>
      </c>
    </row>
    <row r="104" spans="1:10" x14ac:dyDescent="0.2">
      <c r="A104" s="56" t="s">
        <v>182</v>
      </c>
      <c r="B104" s="56" t="s">
        <v>92</v>
      </c>
      <c r="C104" s="109">
        <v>75</v>
      </c>
      <c r="D104" s="109">
        <v>90</v>
      </c>
      <c r="E104" s="109">
        <v>60</v>
      </c>
      <c r="F104" s="109">
        <v>90</v>
      </c>
      <c r="G104" s="58">
        <v>80</v>
      </c>
      <c r="H104" s="58">
        <v>70</v>
      </c>
      <c r="I104" s="144">
        <v>90</v>
      </c>
      <c r="J104" s="144">
        <v>80</v>
      </c>
    </row>
    <row r="105" spans="1:10" x14ac:dyDescent="0.2">
      <c r="A105" s="56" t="s">
        <v>182</v>
      </c>
      <c r="B105" s="56" t="s">
        <v>93</v>
      </c>
      <c r="C105" s="109">
        <v>30</v>
      </c>
      <c r="D105" s="109">
        <v>30</v>
      </c>
      <c r="E105" s="109">
        <v>20</v>
      </c>
      <c r="F105" s="109">
        <v>35</v>
      </c>
      <c r="G105" s="58">
        <v>25</v>
      </c>
      <c r="H105" s="58">
        <v>15</v>
      </c>
      <c r="I105" s="144">
        <v>25</v>
      </c>
      <c r="J105" s="144">
        <v>30</v>
      </c>
    </row>
    <row r="106" spans="1:10" x14ac:dyDescent="0.2">
      <c r="A106" s="56" t="s">
        <v>182</v>
      </c>
      <c r="B106" s="56" t="s">
        <v>94</v>
      </c>
      <c r="C106" s="109">
        <v>70</v>
      </c>
      <c r="D106" s="109">
        <v>85</v>
      </c>
      <c r="E106" s="109">
        <v>80</v>
      </c>
      <c r="F106" s="109">
        <v>75</v>
      </c>
      <c r="G106" s="58">
        <v>55</v>
      </c>
      <c r="H106" s="58">
        <v>45</v>
      </c>
      <c r="I106" s="144">
        <v>70</v>
      </c>
      <c r="J106" s="144">
        <v>65</v>
      </c>
    </row>
    <row r="107" spans="1:10" x14ac:dyDescent="0.2">
      <c r="A107" s="56" t="s">
        <v>182</v>
      </c>
      <c r="B107" s="56" t="s">
        <v>95</v>
      </c>
      <c r="C107" s="109">
        <v>45</v>
      </c>
      <c r="D107" s="109">
        <v>50</v>
      </c>
      <c r="E107" s="109">
        <v>35</v>
      </c>
      <c r="F107" s="109">
        <v>45</v>
      </c>
      <c r="G107" s="58">
        <v>30</v>
      </c>
      <c r="H107" s="58">
        <v>40</v>
      </c>
      <c r="I107" s="144">
        <v>50</v>
      </c>
      <c r="J107" s="144">
        <v>40</v>
      </c>
    </row>
    <row r="108" spans="1:10" ht="27" customHeight="1" x14ac:dyDescent="0.2">
      <c r="A108" s="57" t="s">
        <v>183</v>
      </c>
      <c r="B108" s="42" t="s">
        <v>112</v>
      </c>
      <c r="C108" s="109">
        <v>220</v>
      </c>
      <c r="D108" s="109">
        <v>240</v>
      </c>
      <c r="E108" s="109">
        <v>205</v>
      </c>
      <c r="F108" s="109">
        <v>215</v>
      </c>
      <c r="G108" s="58">
        <v>170</v>
      </c>
      <c r="H108" s="58">
        <v>175</v>
      </c>
      <c r="I108" s="144">
        <v>220</v>
      </c>
      <c r="J108" s="144">
        <v>230</v>
      </c>
    </row>
    <row r="109" spans="1:10" x14ac:dyDescent="0.2">
      <c r="A109" s="56" t="s">
        <v>183</v>
      </c>
      <c r="B109" s="42" t="s">
        <v>113</v>
      </c>
      <c r="C109" s="109">
        <v>155</v>
      </c>
      <c r="D109" s="109">
        <v>160</v>
      </c>
      <c r="E109" s="109">
        <v>115</v>
      </c>
      <c r="F109" s="109">
        <v>140</v>
      </c>
      <c r="G109" s="58">
        <v>115</v>
      </c>
      <c r="H109" s="58">
        <v>135</v>
      </c>
      <c r="I109" s="144">
        <v>165</v>
      </c>
      <c r="J109" s="144">
        <v>115</v>
      </c>
    </row>
    <row r="110" spans="1:10" x14ac:dyDescent="0.2">
      <c r="A110" s="56" t="s">
        <v>183</v>
      </c>
      <c r="B110" s="42" t="s">
        <v>114</v>
      </c>
      <c r="C110" s="109">
        <v>610</v>
      </c>
      <c r="D110" s="109">
        <v>570</v>
      </c>
      <c r="E110" s="109">
        <v>510</v>
      </c>
      <c r="F110" s="109">
        <v>545</v>
      </c>
      <c r="G110" s="58">
        <v>495</v>
      </c>
      <c r="H110" s="58">
        <v>555</v>
      </c>
      <c r="I110" s="144">
        <v>585</v>
      </c>
      <c r="J110" s="144">
        <v>515</v>
      </c>
    </row>
    <row r="111" spans="1:10" x14ac:dyDescent="0.2">
      <c r="A111" s="56" t="s">
        <v>183</v>
      </c>
      <c r="B111" s="42" t="s">
        <v>115</v>
      </c>
      <c r="C111" s="109">
        <v>125</v>
      </c>
      <c r="D111" s="109">
        <v>145</v>
      </c>
      <c r="E111" s="109">
        <v>125</v>
      </c>
      <c r="F111" s="109">
        <v>145</v>
      </c>
      <c r="G111" s="58">
        <v>130</v>
      </c>
      <c r="H111" s="58">
        <v>105</v>
      </c>
      <c r="I111" s="144">
        <v>155</v>
      </c>
      <c r="J111" s="144">
        <v>140</v>
      </c>
    </row>
    <row r="112" spans="1:10" x14ac:dyDescent="0.2">
      <c r="A112" s="56" t="s">
        <v>183</v>
      </c>
      <c r="B112" s="42" t="s">
        <v>13</v>
      </c>
      <c r="C112" s="109">
        <v>270</v>
      </c>
      <c r="D112" s="109">
        <v>275</v>
      </c>
      <c r="E112" s="109">
        <v>245</v>
      </c>
      <c r="F112" s="109">
        <v>240</v>
      </c>
      <c r="G112" s="58">
        <v>255</v>
      </c>
      <c r="H112" s="58">
        <v>255</v>
      </c>
      <c r="I112" s="144">
        <v>265</v>
      </c>
      <c r="J112" s="144">
        <v>265</v>
      </c>
    </row>
    <row r="113" spans="1:10" x14ac:dyDescent="0.2">
      <c r="A113" s="56" t="s">
        <v>183</v>
      </c>
      <c r="B113" s="42" t="s">
        <v>116</v>
      </c>
      <c r="C113" s="109">
        <v>60</v>
      </c>
      <c r="D113" s="109">
        <v>55</v>
      </c>
      <c r="E113" s="109">
        <v>45</v>
      </c>
      <c r="F113" s="109">
        <v>65</v>
      </c>
      <c r="G113" s="58">
        <v>65</v>
      </c>
      <c r="H113" s="58">
        <v>50</v>
      </c>
      <c r="I113" s="144">
        <v>40</v>
      </c>
      <c r="J113" s="144">
        <v>45</v>
      </c>
    </row>
    <row r="114" spans="1:10" x14ac:dyDescent="0.2">
      <c r="A114" s="56" t="s">
        <v>183</v>
      </c>
      <c r="B114" s="42" t="s">
        <v>117</v>
      </c>
      <c r="C114" s="109">
        <v>70</v>
      </c>
      <c r="D114" s="109">
        <v>85</v>
      </c>
      <c r="E114" s="109">
        <v>80</v>
      </c>
      <c r="F114" s="109">
        <v>75</v>
      </c>
      <c r="G114" s="58">
        <v>55</v>
      </c>
      <c r="H114" s="58">
        <v>45</v>
      </c>
      <c r="I114" s="144">
        <v>70</v>
      </c>
      <c r="J114" s="144">
        <v>65</v>
      </c>
    </row>
    <row r="115" spans="1:10" x14ac:dyDescent="0.2">
      <c r="A115" s="56" t="s">
        <v>183</v>
      </c>
      <c r="B115" s="42" t="s">
        <v>118</v>
      </c>
      <c r="C115" s="109">
        <v>65</v>
      </c>
      <c r="D115" s="109">
        <v>80</v>
      </c>
      <c r="E115" s="109">
        <v>65</v>
      </c>
      <c r="F115" s="109">
        <v>75</v>
      </c>
      <c r="G115" s="58">
        <v>60</v>
      </c>
      <c r="H115" s="58">
        <v>45</v>
      </c>
      <c r="I115" s="144">
        <v>65</v>
      </c>
      <c r="J115" s="144">
        <v>60</v>
      </c>
    </row>
    <row r="116" spans="1:10" x14ac:dyDescent="0.2">
      <c r="A116" s="56" t="s">
        <v>183</v>
      </c>
      <c r="B116" s="42" t="s">
        <v>184</v>
      </c>
      <c r="C116" s="58">
        <v>1575</v>
      </c>
      <c r="D116" s="58">
        <v>1610</v>
      </c>
      <c r="E116" s="58">
        <v>1390</v>
      </c>
      <c r="F116" s="58">
        <v>1500</v>
      </c>
      <c r="G116" s="58">
        <v>1345</v>
      </c>
      <c r="H116" s="58">
        <v>1365</v>
      </c>
      <c r="I116" s="144">
        <v>1565</v>
      </c>
      <c r="J116" s="144">
        <v>1435</v>
      </c>
    </row>
    <row r="117" spans="1:10" ht="28.5" customHeight="1" x14ac:dyDescent="0.2">
      <c r="A117" s="57" t="s">
        <v>185</v>
      </c>
      <c r="B117" s="57" t="s">
        <v>111</v>
      </c>
      <c r="C117" s="109">
        <v>95</v>
      </c>
      <c r="D117" s="109">
        <v>110</v>
      </c>
      <c r="E117" s="109">
        <v>110</v>
      </c>
      <c r="F117" s="109">
        <v>115</v>
      </c>
      <c r="G117" s="58">
        <v>105</v>
      </c>
      <c r="H117" s="58">
        <v>115</v>
      </c>
      <c r="I117" s="144">
        <v>135</v>
      </c>
      <c r="J117" s="144">
        <v>170</v>
      </c>
    </row>
    <row r="118" spans="1:10" x14ac:dyDescent="0.2">
      <c r="A118" s="57" t="s">
        <v>185</v>
      </c>
      <c r="B118" s="42" t="s">
        <v>186</v>
      </c>
      <c r="C118" s="58">
        <v>1840</v>
      </c>
      <c r="D118" s="58">
        <v>1390</v>
      </c>
      <c r="E118" s="58">
        <v>1310</v>
      </c>
      <c r="F118" s="58">
        <v>1370</v>
      </c>
      <c r="G118" s="58">
        <v>1340</v>
      </c>
      <c r="H118" s="58">
        <v>1300</v>
      </c>
      <c r="I118" s="144">
        <v>1395</v>
      </c>
      <c r="J118" s="144">
        <v>1360</v>
      </c>
    </row>
    <row r="119" spans="1:10" x14ac:dyDescent="0.2">
      <c r="A119" s="57" t="s">
        <v>185</v>
      </c>
      <c r="B119" s="42" t="s">
        <v>151</v>
      </c>
      <c r="C119" s="58">
        <v>3020</v>
      </c>
      <c r="D119" s="58">
        <v>2695</v>
      </c>
      <c r="E119" s="58">
        <v>2685</v>
      </c>
      <c r="F119" s="58">
        <v>2755</v>
      </c>
      <c r="G119" s="58">
        <v>2710</v>
      </c>
      <c r="H119" s="58">
        <v>2890</v>
      </c>
      <c r="I119" s="144">
        <v>3000</v>
      </c>
      <c r="J119" s="144">
        <v>2835</v>
      </c>
    </row>
    <row r="120" spans="1:10" ht="36" customHeight="1" x14ac:dyDescent="0.2">
      <c r="A120" s="106" t="s">
        <v>270</v>
      </c>
      <c r="B120" s="107" t="s">
        <v>271</v>
      </c>
      <c r="C120" s="146">
        <v>30</v>
      </c>
      <c r="D120" s="146">
        <v>25</v>
      </c>
      <c r="E120" s="146">
        <v>25</v>
      </c>
      <c r="F120" s="146">
        <v>35</v>
      </c>
      <c r="G120" s="146">
        <v>30</v>
      </c>
      <c r="H120" s="144">
        <v>25</v>
      </c>
      <c r="I120" s="144">
        <v>20</v>
      </c>
      <c r="J120" s="144">
        <v>40</v>
      </c>
    </row>
    <row r="121" spans="1:10" x14ac:dyDescent="0.2">
      <c r="A121" s="106" t="s">
        <v>270</v>
      </c>
      <c r="B121" s="107" t="s">
        <v>272</v>
      </c>
      <c r="C121" s="146">
        <v>40</v>
      </c>
      <c r="D121" s="146">
        <v>45</v>
      </c>
      <c r="E121" s="146">
        <v>35</v>
      </c>
      <c r="F121" s="146">
        <v>40</v>
      </c>
      <c r="G121" s="146">
        <v>25</v>
      </c>
      <c r="H121" s="144">
        <v>30</v>
      </c>
      <c r="I121" s="144">
        <v>50</v>
      </c>
      <c r="J121" s="144">
        <v>40</v>
      </c>
    </row>
    <row r="122" spans="1:10" x14ac:dyDescent="0.2">
      <c r="A122" s="106" t="s">
        <v>270</v>
      </c>
      <c r="B122" s="107" t="s">
        <v>273</v>
      </c>
      <c r="C122" s="146">
        <v>45</v>
      </c>
      <c r="D122" s="146">
        <v>45</v>
      </c>
      <c r="E122" s="146">
        <v>45</v>
      </c>
      <c r="F122" s="146">
        <v>40</v>
      </c>
      <c r="G122" s="146">
        <v>50</v>
      </c>
      <c r="H122" s="144">
        <v>35</v>
      </c>
      <c r="I122" s="144">
        <v>50</v>
      </c>
      <c r="J122" s="144">
        <v>40</v>
      </c>
    </row>
    <row r="123" spans="1:10" x14ac:dyDescent="0.2">
      <c r="A123" s="106" t="s">
        <v>270</v>
      </c>
      <c r="B123" s="107" t="s">
        <v>274</v>
      </c>
      <c r="C123" s="146">
        <v>55</v>
      </c>
      <c r="D123" s="146">
        <v>70</v>
      </c>
      <c r="E123" s="146">
        <v>65</v>
      </c>
      <c r="F123" s="146">
        <v>55</v>
      </c>
      <c r="G123" s="146">
        <v>50</v>
      </c>
      <c r="H123" s="144">
        <v>40</v>
      </c>
      <c r="I123" s="144">
        <v>60</v>
      </c>
      <c r="J123" s="144">
        <v>55</v>
      </c>
    </row>
    <row r="124" spans="1:10" x14ac:dyDescent="0.2">
      <c r="A124" s="106" t="s">
        <v>270</v>
      </c>
      <c r="B124" s="107" t="s">
        <v>275</v>
      </c>
      <c r="C124" s="146">
        <v>45</v>
      </c>
      <c r="D124" s="146">
        <v>45</v>
      </c>
      <c r="E124" s="146">
        <v>40</v>
      </c>
      <c r="F124" s="146">
        <v>55</v>
      </c>
      <c r="G124" s="146">
        <v>60</v>
      </c>
      <c r="H124" s="144">
        <v>40</v>
      </c>
      <c r="I124" s="144">
        <v>35</v>
      </c>
      <c r="J124" s="144">
        <v>40</v>
      </c>
    </row>
    <row r="125" spans="1:10" x14ac:dyDescent="0.2">
      <c r="A125" s="106" t="s">
        <v>270</v>
      </c>
      <c r="B125" s="107" t="s">
        <v>276</v>
      </c>
      <c r="C125" s="146">
        <v>15</v>
      </c>
      <c r="D125" s="146">
        <v>10</v>
      </c>
      <c r="E125" s="146">
        <v>5</v>
      </c>
      <c r="F125" s="146">
        <v>10</v>
      </c>
      <c r="G125" s="146">
        <v>5</v>
      </c>
      <c r="H125" s="144">
        <v>5</v>
      </c>
      <c r="I125" s="144">
        <v>10</v>
      </c>
      <c r="J125" s="144">
        <v>5</v>
      </c>
    </row>
    <row r="126" spans="1:10" x14ac:dyDescent="0.2">
      <c r="A126" s="106" t="s">
        <v>270</v>
      </c>
      <c r="B126" s="107" t="s">
        <v>277</v>
      </c>
      <c r="C126" s="146">
        <v>55</v>
      </c>
      <c r="D126" s="146">
        <v>75</v>
      </c>
      <c r="E126" s="146">
        <v>65</v>
      </c>
      <c r="F126" s="146">
        <v>70</v>
      </c>
      <c r="G126" s="146">
        <v>60</v>
      </c>
      <c r="H126" s="144">
        <v>40</v>
      </c>
      <c r="I126" s="144">
        <v>60</v>
      </c>
      <c r="J126" s="144">
        <v>55</v>
      </c>
    </row>
    <row r="127" spans="1:10" x14ac:dyDescent="0.2">
      <c r="A127" s="106" t="s">
        <v>270</v>
      </c>
      <c r="B127" s="107" t="s">
        <v>278</v>
      </c>
      <c r="C127" s="146">
        <v>10</v>
      </c>
      <c r="D127" s="146">
        <v>5</v>
      </c>
      <c r="E127" s="146">
        <v>5</v>
      </c>
      <c r="F127" s="146">
        <v>5</v>
      </c>
      <c r="G127" s="146">
        <v>0</v>
      </c>
      <c r="H127" s="144">
        <v>5</v>
      </c>
      <c r="I127" s="144">
        <v>5</v>
      </c>
      <c r="J127" s="144">
        <v>5</v>
      </c>
    </row>
    <row r="128" spans="1:10" x14ac:dyDescent="0.2">
      <c r="A128" s="106" t="s">
        <v>270</v>
      </c>
      <c r="B128" s="107" t="s">
        <v>279</v>
      </c>
      <c r="C128" s="146">
        <v>15</v>
      </c>
      <c r="D128" s="146">
        <v>15</v>
      </c>
      <c r="E128" s="146">
        <v>15</v>
      </c>
      <c r="F128" s="146">
        <v>20</v>
      </c>
      <c r="G128" s="146">
        <v>5</v>
      </c>
      <c r="H128" s="144">
        <v>5</v>
      </c>
      <c r="I128" s="144">
        <v>10</v>
      </c>
      <c r="J128" s="144">
        <v>10</v>
      </c>
    </row>
    <row r="129" spans="1:10" ht="35.1" customHeight="1" x14ac:dyDescent="0.2">
      <c r="A129" s="147" t="s">
        <v>263</v>
      </c>
      <c r="B129" s="148" t="s">
        <v>280</v>
      </c>
      <c r="C129" s="146">
        <v>2445</v>
      </c>
      <c r="D129" s="146">
        <v>2765</v>
      </c>
      <c r="E129" s="146">
        <v>2710</v>
      </c>
      <c r="F129" s="146">
        <v>2725</v>
      </c>
      <c r="G129" s="146">
        <v>2530</v>
      </c>
      <c r="H129" s="144">
        <v>2915</v>
      </c>
      <c r="I129" s="144">
        <v>3215</v>
      </c>
      <c r="J129" s="144">
        <v>2925</v>
      </c>
    </row>
    <row r="130" spans="1:10" x14ac:dyDescent="0.2">
      <c r="A130" s="147" t="s">
        <v>263</v>
      </c>
      <c r="B130" s="148" t="s">
        <v>264</v>
      </c>
      <c r="C130" s="146">
        <v>2985</v>
      </c>
      <c r="D130" s="146">
        <v>3215</v>
      </c>
      <c r="E130" s="146">
        <v>3085</v>
      </c>
      <c r="F130" s="146">
        <v>3195</v>
      </c>
      <c r="G130" s="146">
        <v>3100</v>
      </c>
      <c r="H130" s="144">
        <v>3295</v>
      </c>
      <c r="I130" s="144">
        <v>3500</v>
      </c>
      <c r="J130" s="144">
        <v>3300</v>
      </c>
    </row>
    <row r="131" spans="1:10" x14ac:dyDescent="0.2">
      <c r="A131" s="147" t="s">
        <v>263</v>
      </c>
      <c r="B131" s="148" t="s">
        <v>265</v>
      </c>
      <c r="C131" s="146">
        <v>3640</v>
      </c>
      <c r="D131" s="146">
        <v>3725</v>
      </c>
      <c r="E131" s="146">
        <v>3460</v>
      </c>
      <c r="F131" s="146">
        <v>3665</v>
      </c>
      <c r="G131" s="146">
        <v>3550</v>
      </c>
      <c r="H131" s="144">
        <v>3660</v>
      </c>
      <c r="I131" s="144">
        <v>3940</v>
      </c>
      <c r="J131" s="144">
        <v>3440</v>
      </c>
    </row>
    <row r="132" spans="1:10" x14ac:dyDescent="0.2">
      <c r="A132" s="147" t="s">
        <v>263</v>
      </c>
      <c r="B132" s="148" t="s">
        <v>266</v>
      </c>
      <c r="C132" s="146">
        <v>4625</v>
      </c>
      <c r="D132" s="146">
        <v>4525</v>
      </c>
      <c r="E132" s="146">
        <v>4130</v>
      </c>
      <c r="F132" s="146">
        <v>4515</v>
      </c>
      <c r="G132" s="146">
        <v>4395</v>
      </c>
      <c r="H132" s="144">
        <v>4935</v>
      </c>
      <c r="I132" s="144">
        <v>4650</v>
      </c>
      <c r="J132" s="144">
        <v>3970</v>
      </c>
    </row>
    <row r="133" spans="1:10" x14ac:dyDescent="0.2">
      <c r="A133" s="147" t="s">
        <v>263</v>
      </c>
      <c r="B133" s="148" t="s">
        <v>281</v>
      </c>
      <c r="C133" s="146">
        <v>4210</v>
      </c>
      <c r="D133" s="146">
        <v>4560</v>
      </c>
      <c r="E133" s="146">
        <v>3985</v>
      </c>
      <c r="F133" s="146">
        <v>4210</v>
      </c>
      <c r="G133" s="146">
        <v>4695</v>
      </c>
      <c r="H133" s="144">
        <v>4980</v>
      </c>
      <c r="I133" s="144">
        <v>4570</v>
      </c>
      <c r="J133" s="144">
        <v>3660</v>
      </c>
    </row>
  </sheetData>
  <hyperlinks>
    <hyperlink ref="A10" location="Contents!A1" display="This cell contains a hyperlink to the Table of Contents" xr:uid="{250ABBE2-E6EA-421B-A12E-CA47B8FC8D79}"/>
    <hyperlink ref="A7" r:id="rId1" xr:uid="{A5C1B318-F867-4CF5-BE42-428B60623F9A}"/>
    <hyperlink ref="A8" r:id="rId2" display="Source for areas built up from Data Zones: Small Area Population Estimates - National Records of Scotland. This link opens in a new window." xr:uid="{D5F90659-6125-4B46-9FF6-858776A48503}"/>
  </hyperlinks>
  <pageMargins left="0.7" right="0.7" top="0.75" bottom="0.75" header="0.3" footer="0.3"/>
  <ignoredErrors>
    <ignoredError sqref="C14:J14" formulaRange="1"/>
  </ignoredErrors>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0091C-235E-47B1-9299-668CDE411D37}">
  <dimension ref="A1:J132"/>
  <sheetViews>
    <sheetView zoomScaleNormal="100" workbookViewId="0"/>
  </sheetViews>
  <sheetFormatPr defaultColWidth="9.140625" defaultRowHeight="15" x14ac:dyDescent="0.2"/>
  <cols>
    <col min="1" max="1" width="59" style="40" customWidth="1"/>
    <col min="2" max="2" width="51.140625" style="42" customWidth="1"/>
    <col min="3" max="6" width="12.5703125" style="41" customWidth="1"/>
    <col min="7" max="10" width="12.5703125" style="40" customWidth="1"/>
    <col min="11" max="16384" width="9.140625" style="40"/>
  </cols>
  <sheetData>
    <row r="1" spans="1:10" ht="20.25" x14ac:dyDescent="0.3">
      <c r="A1" s="151" t="s">
        <v>386</v>
      </c>
      <c r="B1" s="151"/>
      <c r="C1" s="151"/>
    </row>
    <row r="2" spans="1:10" x14ac:dyDescent="0.2">
      <c r="A2" s="140" t="s">
        <v>152</v>
      </c>
      <c r="B2" s="40"/>
    </row>
    <row r="3" spans="1:10" x14ac:dyDescent="0.2">
      <c r="A3" s="140" t="s">
        <v>297</v>
      </c>
      <c r="B3" s="40"/>
    </row>
    <row r="4" spans="1:10" x14ac:dyDescent="0.2">
      <c r="A4" s="140" t="s">
        <v>302</v>
      </c>
      <c r="B4" s="40"/>
    </row>
    <row r="5" spans="1:10" x14ac:dyDescent="0.2">
      <c r="A5" s="140" t="s">
        <v>349</v>
      </c>
      <c r="B5" s="40"/>
    </row>
    <row r="6" spans="1:10" ht="15" customHeight="1" x14ac:dyDescent="0.2">
      <c r="A6" s="149" t="s">
        <v>351</v>
      </c>
      <c r="B6" s="40"/>
    </row>
    <row r="7" spans="1:10" ht="15" customHeight="1" x14ac:dyDescent="0.2">
      <c r="A7" s="149" t="s">
        <v>352</v>
      </c>
      <c r="B7" s="40"/>
    </row>
    <row r="8" spans="1:10" s="43" customFormat="1" x14ac:dyDescent="0.2">
      <c r="A8" s="141" t="s">
        <v>350</v>
      </c>
      <c r="C8" s="142"/>
      <c r="D8" s="142"/>
      <c r="E8" s="142"/>
      <c r="F8" s="142"/>
      <c r="G8" s="142"/>
      <c r="H8" s="142"/>
      <c r="I8" s="142"/>
    </row>
    <row r="9" spans="1:10" s="43" customFormat="1" ht="30" customHeight="1" x14ac:dyDescent="0.2">
      <c r="A9" s="45" t="s">
        <v>232</v>
      </c>
      <c r="C9" s="142"/>
      <c r="D9" s="142"/>
      <c r="E9" s="142"/>
      <c r="F9" s="142"/>
      <c r="G9" s="142"/>
      <c r="H9" s="142"/>
      <c r="I9" s="142"/>
    </row>
    <row r="10" spans="1:10" ht="15.75" customHeight="1" x14ac:dyDescent="0.25">
      <c r="A10" s="55" t="s">
        <v>156</v>
      </c>
      <c r="B10" s="55" t="s">
        <v>157</v>
      </c>
      <c r="C10" s="46" t="s">
        <v>176</v>
      </c>
      <c r="D10" s="46" t="s">
        <v>177</v>
      </c>
      <c r="E10" s="46" t="s">
        <v>123</v>
      </c>
      <c r="F10" s="47" t="s">
        <v>150</v>
      </c>
      <c r="G10" s="46" t="s">
        <v>187</v>
      </c>
      <c r="H10" s="143" t="s">
        <v>189</v>
      </c>
      <c r="I10" s="46" t="s">
        <v>257</v>
      </c>
      <c r="J10" s="46" t="s">
        <v>316</v>
      </c>
    </row>
    <row r="11" spans="1:10" x14ac:dyDescent="0.2">
      <c r="A11" s="56" t="s">
        <v>178</v>
      </c>
      <c r="B11" s="57" t="s">
        <v>48</v>
      </c>
      <c r="C11" s="73">
        <v>9.7195576222012664E-2</v>
      </c>
      <c r="D11" s="73">
        <v>0.11651471769480491</v>
      </c>
      <c r="E11" s="73">
        <v>0.104390140882252</v>
      </c>
      <c r="F11" s="73">
        <v>0.10504773953269426</v>
      </c>
      <c r="G11" s="73">
        <v>0.10371524775509429</v>
      </c>
      <c r="H11" s="73">
        <v>0.11174534599913255</v>
      </c>
      <c r="I11" s="73">
        <v>0.1192248054063942</v>
      </c>
      <c r="J11" s="73">
        <v>0.10775547461149464</v>
      </c>
    </row>
    <row r="12" spans="1:10" x14ac:dyDescent="0.2">
      <c r="A12" s="56" t="s">
        <v>178</v>
      </c>
      <c r="B12" s="57" t="s">
        <v>1</v>
      </c>
      <c r="C12" s="73">
        <v>0.10240791580873942</v>
      </c>
      <c r="D12" s="73">
        <v>0.10654343388523475</v>
      </c>
      <c r="E12" s="73">
        <v>9.8455434320532803E-2</v>
      </c>
      <c r="F12" s="73">
        <v>0.10243929730334564</v>
      </c>
      <c r="G12" s="73">
        <v>0.10354207990932275</v>
      </c>
      <c r="H12" s="73">
        <v>0.11219166430394102</v>
      </c>
      <c r="I12" s="73">
        <v>0.11400137662039693</v>
      </c>
      <c r="J12" s="73">
        <v>0.10061374676401291</v>
      </c>
    </row>
    <row r="13" spans="1:10" ht="35.450000000000003" customHeight="1" x14ac:dyDescent="0.2">
      <c r="A13" s="57" t="s">
        <v>179</v>
      </c>
      <c r="B13" s="57" t="s">
        <v>35</v>
      </c>
      <c r="C13" s="73">
        <v>0.11528934924566539</v>
      </c>
      <c r="D13" s="73">
        <v>0.10835419986341907</v>
      </c>
      <c r="E13" s="73">
        <v>9.3314763231197778E-2</v>
      </c>
      <c r="F13" s="73">
        <v>9.784871616932686E-2</v>
      </c>
      <c r="G13" s="73">
        <v>0.10289923954372623</v>
      </c>
      <c r="H13" s="73">
        <v>0.11892551892551892</v>
      </c>
      <c r="I13" s="73">
        <v>0.12636386703882263</v>
      </c>
      <c r="J13" s="73">
        <v>9.819324430479183E-2</v>
      </c>
    </row>
    <row r="14" spans="1:10" x14ac:dyDescent="0.2">
      <c r="A14" s="56" t="s">
        <v>179</v>
      </c>
      <c r="B14" s="57" t="s">
        <v>36</v>
      </c>
      <c r="C14" s="73">
        <v>0.11352474499433321</v>
      </c>
      <c r="D14" s="73">
        <v>0.1141820212171971</v>
      </c>
      <c r="E14" s="73">
        <v>0.111029208513775</v>
      </c>
      <c r="F14" s="73">
        <v>0.11149446159433449</v>
      </c>
      <c r="G14" s="73">
        <v>0.1105325659998173</v>
      </c>
      <c r="H14" s="73">
        <v>0.11847570886761784</v>
      </c>
      <c r="I14" s="73">
        <v>0.12302554382164456</v>
      </c>
      <c r="J14" s="73">
        <v>0.11253313831246001</v>
      </c>
    </row>
    <row r="15" spans="1:10" x14ac:dyDescent="0.2">
      <c r="A15" s="56" t="s">
        <v>179</v>
      </c>
      <c r="B15" s="57" t="s">
        <v>37</v>
      </c>
      <c r="C15" s="73">
        <v>9.6160304488973475E-2</v>
      </c>
      <c r="D15" s="73">
        <v>0.10484668644906034</v>
      </c>
      <c r="E15" s="73">
        <v>9.7489082969432317E-2</v>
      </c>
      <c r="F15" s="73">
        <v>0.10368392952482648</v>
      </c>
      <c r="G15" s="73">
        <v>0.1131133304385584</v>
      </c>
      <c r="H15" s="73">
        <v>0.12312246464203487</v>
      </c>
      <c r="I15" s="73">
        <v>0.11386861313868613</v>
      </c>
      <c r="J15" s="73">
        <v>9.9920246097755502E-2</v>
      </c>
    </row>
    <row r="16" spans="1:10" x14ac:dyDescent="0.2">
      <c r="A16" s="56" t="s">
        <v>179</v>
      </c>
      <c r="B16" s="57" t="s">
        <v>236</v>
      </c>
      <c r="C16" s="73">
        <v>9.6862960924600991E-2</v>
      </c>
      <c r="D16" s="73">
        <v>0.1144578313253012</v>
      </c>
      <c r="E16" s="73">
        <v>0.10087719298245613</v>
      </c>
      <c r="F16" s="73">
        <v>0.10335349092908191</v>
      </c>
      <c r="G16" s="73">
        <v>0.1064891846921797</v>
      </c>
      <c r="H16" s="73">
        <v>0.11590145576707726</v>
      </c>
      <c r="I16" s="73">
        <v>0.10718358038768529</v>
      </c>
      <c r="J16" s="73">
        <v>9.718228867165038E-2</v>
      </c>
    </row>
    <row r="17" spans="1:10" x14ac:dyDescent="0.2">
      <c r="A17" s="56" t="s">
        <v>179</v>
      </c>
      <c r="B17" s="57" t="s">
        <v>38</v>
      </c>
      <c r="C17" s="73">
        <v>9.5477386934673364E-2</v>
      </c>
      <c r="D17" s="73">
        <v>0.10424710424710425</v>
      </c>
      <c r="E17" s="73">
        <v>0.10051657339647008</v>
      </c>
      <c r="F17" s="73">
        <v>0.10885218127911901</v>
      </c>
      <c r="G17" s="73">
        <v>9.8573281452658881E-2</v>
      </c>
      <c r="H17" s="73">
        <v>0.11856003449019185</v>
      </c>
      <c r="I17" s="73">
        <v>0.11262648482182139</v>
      </c>
      <c r="J17" s="73">
        <v>9.8588393457315709E-2</v>
      </c>
    </row>
    <row r="18" spans="1:10" x14ac:dyDescent="0.2">
      <c r="A18" s="56" t="s">
        <v>179</v>
      </c>
      <c r="B18" s="57" t="s">
        <v>121</v>
      </c>
      <c r="C18" s="73">
        <v>8.8099756031444834E-2</v>
      </c>
      <c r="D18" s="73">
        <v>9.0292841648590028E-2</v>
      </c>
      <c r="E18" s="73">
        <v>7.8731547293603057E-2</v>
      </c>
      <c r="F18" s="73">
        <v>8.3672914968758491E-2</v>
      </c>
      <c r="G18" s="73">
        <v>7.6731990063483302E-2</v>
      </c>
      <c r="H18" s="73">
        <v>7.8377637708961362E-2</v>
      </c>
      <c r="I18" s="73">
        <v>8.8548783820716043E-2</v>
      </c>
      <c r="J18" s="73">
        <v>8.0733442802408323E-2</v>
      </c>
    </row>
    <row r="19" spans="1:10" x14ac:dyDescent="0.2">
      <c r="A19" s="56" t="s">
        <v>179</v>
      </c>
      <c r="B19" s="57" t="s">
        <v>39</v>
      </c>
      <c r="C19" s="73">
        <v>9.7180261832829809E-2</v>
      </c>
      <c r="D19" s="73">
        <v>0.11266201395812563</v>
      </c>
      <c r="E19" s="73">
        <v>0.10313447927199192</v>
      </c>
      <c r="F19" s="73">
        <v>0.10824230387288977</v>
      </c>
      <c r="G19" s="73">
        <v>0.10336176618163573</v>
      </c>
      <c r="H19" s="73">
        <v>0.11676646706586827</v>
      </c>
      <c r="I19" s="73">
        <v>0.11767702496179318</v>
      </c>
      <c r="J19" s="73">
        <v>0.10477178423236515</v>
      </c>
    </row>
    <row r="20" spans="1:10" x14ac:dyDescent="0.2">
      <c r="A20" s="56" t="s">
        <v>179</v>
      </c>
      <c r="B20" s="57" t="s">
        <v>40</v>
      </c>
      <c r="C20" s="73">
        <v>7.8932424758659858E-2</v>
      </c>
      <c r="D20" s="73">
        <v>8.4619782732990284E-2</v>
      </c>
      <c r="E20" s="73">
        <v>6.9244085401038658E-2</v>
      </c>
      <c r="F20" s="73">
        <v>8.4378563283922459E-2</v>
      </c>
      <c r="G20" s="73">
        <v>7.5810185185185189E-2</v>
      </c>
      <c r="H20" s="73">
        <v>7.1999999999999995E-2</v>
      </c>
      <c r="I20" s="73">
        <v>8.3947816222348273E-2</v>
      </c>
      <c r="J20" s="73">
        <v>8.0773606370875994E-2</v>
      </c>
    </row>
    <row r="21" spans="1:10" ht="36.6" customHeight="1" x14ac:dyDescent="0.2">
      <c r="A21" s="57" t="s">
        <v>180</v>
      </c>
      <c r="B21" s="57" t="s">
        <v>41</v>
      </c>
      <c r="C21" s="73">
        <v>7.5595727198027943E-2</v>
      </c>
      <c r="D21" s="73">
        <v>8.5245901639344257E-2</v>
      </c>
      <c r="E21" s="73">
        <v>7.3675496688741723E-2</v>
      </c>
      <c r="F21" s="73">
        <v>7.7943615257048099E-2</v>
      </c>
      <c r="G21" s="73">
        <v>6.5656565656565663E-2</v>
      </c>
      <c r="H21" s="73">
        <v>6.2189054726368161E-2</v>
      </c>
      <c r="I21" s="73">
        <v>7.416462917685411E-2</v>
      </c>
      <c r="J21" s="73">
        <v>7.090464547677261E-2</v>
      </c>
    </row>
    <row r="22" spans="1:10" x14ac:dyDescent="0.2">
      <c r="A22" s="56" t="s">
        <v>180</v>
      </c>
      <c r="B22" s="57" t="s">
        <v>42</v>
      </c>
      <c r="C22" s="73">
        <v>9.1036545471539401E-2</v>
      </c>
      <c r="D22" s="73">
        <v>9.6110695587135378E-2</v>
      </c>
      <c r="E22" s="73">
        <v>8.3616459041147603E-2</v>
      </c>
      <c r="F22" s="73">
        <v>9.2621956907004949E-2</v>
      </c>
      <c r="G22" s="73">
        <v>8.9004739336492888E-2</v>
      </c>
      <c r="H22" s="73">
        <v>9.3373779505166371E-2</v>
      </c>
      <c r="I22" s="73">
        <v>0.10204863105494927</v>
      </c>
      <c r="J22" s="73">
        <v>8.8966588966588961E-2</v>
      </c>
    </row>
    <row r="23" spans="1:10" x14ac:dyDescent="0.2">
      <c r="A23" s="56" t="s">
        <v>180</v>
      </c>
      <c r="B23" s="57" t="s">
        <v>43</v>
      </c>
      <c r="C23" s="73">
        <v>0.10142071117680873</v>
      </c>
      <c r="D23" s="73">
        <v>0.11146161934805468</v>
      </c>
      <c r="E23" s="73">
        <v>0.10821917808219178</v>
      </c>
      <c r="F23" s="73">
        <v>0.11102287166454892</v>
      </c>
      <c r="G23" s="73">
        <v>0.11109326050285163</v>
      </c>
      <c r="H23" s="73">
        <v>0.12620269403463757</v>
      </c>
      <c r="I23" s="73">
        <v>0.12102170719764975</v>
      </c>
      <c r="J23" s="73">
        <v>0.10661581827225999</v>
      </c>
    </row>
    <row r="24" spans="1:10" x14ac:dyDescent="0.2">
      <c r="A24" s="56" t="s">
        <v>180</v>
      </c>
      <c r="B24" s="57" t="s">
        <v>44</v>
      </c>
      <c r="C24" s="73">
        <v>0.11770114942528735</v>
      </c>
      <c r="D24" s="73">
        <v>0.11352678977531157</v>
      </c>
      <c r="E24" s="73">
        <v>0.10441694517207117</v>
      </c>
      <c r="F24" s="73">
        <v>0.10481788226912458</v>
      </c>
      <c r="G24" s="73">
        <v>0.11294244798703053</v>
      </c>
      <c r="H24" s="73">
        <v>0.11980440097799511</v>
      </c>
      <c r="I24" s="73">
        <v>0.12201809706608172</v>
      </c>
      <c r="J24" s="73">
        <v>0.10839355197331851</v>
      </c>
    </row>
    <row r="25" spans="1:10" ht="28.5" customHeight="1" x14ac:dyDescent="0.2">
      <c r="A25" s="57" t="s">
        <v>181</v>
      </c>
      <c r="B25" s="57" t="s">
        <v>45</v>
      </c>
      <c r="C25" s="73">
        <v>8.8099756031444834E-2</v>
      </c>
      <c r="D25" s="73">
        <v>9.0292841648590028E-2</v>
      </c>
      <c r="E25" s="73">
        <v>7.8731547293603057E-2</v>
      </c>
      <c r="F25" s="73">
        <v>8.3672914968758491E-2</v>
      </c>
      <c r="G25" s="73">
        <v>7.6731990063483302E-2</v>
      </c>
      <c r="H25" s="73">
        <v>7.8377637708961362E-2</v>
      </c>
      <c r="I25" s="73">
        <v>8.8548783820716043E-2</v>
      </c>
      <c r="J25" s="73">
        <v>8.0733442802408323E-2</v>
      </c>
    </row>
    <row r="26" spans="1:10" x14ac:dyDescent="0.2">
      <c r="A26" s="56" t="s">
        <v>181</v>
      </c>
      <c r="B26" s="57" t="s">
        <v>120</v>
      </c>
      <c r="C26" s="73">
        <v>7.8932424758659858E-2</v>
      </c>
      <c r="D26" s="73">
        <v>8.4619782732990284E-2</v>
      </c>
      <c r="E26" s="73">
        <v>6.9244085401038658E-2</v>
      </c>
      <c r="F26" s="73">
        <v>8.4378563283922459E-2</v>
      </c>
      <c r="G26" s="73">
        <v>7.5810185185185189E-2</v>
      </c>
      <c r="H26" s="73">
        <v>7.1999999999999995E-2</v>
      </c>
      <c r="I26" s="73">
        <v>8.3947816222348273E-2</v>
      </c>
      <c r="J26" s="73">
        <v>8.0773606370875994E-2</v>
      </c>
    </row>
    <row r="27" spans="1:10" x14ac:dyDescent="0.2">
      <c r="A27" s="56" t="s">
        <v>181</v>
      </c>
      <c r="B27" s="57" t="s">
        <v>46</v>
      </c>
      <c r="C27" s="73">
        <v>0.1055965851344942</v>
      </c>
      <c r="D27" s="73">
        <v>0.10983743924920396</v>
      </c>
      <c r="E27" s="73">
        <v>0.10256238710109052</v>
      </c>
      <c r="F27" s="73">
        <v>0.10576320390591495</v>
      </c>
      <c r="G27" s="73">
        <v>0.10838705367580748</v>
      </c>
      <c r="H27" s="73">
        <v>0.11867697767065047</v>
      </c>
      <c r="I27" s="73">
        <v>0.11896352645520614</v>
      </c>
      <c r="J27" s="73">
        <v>0.10432561190320019</v>
      </c>
    </row>
    <row r="28" spans="1:10" ht="30" customHeight="1" x14ac:dyDescent="0.2">
      <c r="A28" s="57" t="s">
        <v>47</v>
      </c>
      <c r="B28" s="57" t="s">
        <v>22</v>
      </c>
      <c r="C28" s="48">
        <v>0.13819095477386933</v>
      </c>
      <c r="D28" s="48">
        <v>0.11872146118721461</v>
      </c>
      <c r="E28" s="48">
        <v>0.10485133020344288</v>
      </c>
      <c r="F28" s="48">
        <v>0.10084033613445378</v>
      </c>
      <c r="G28" s="73">
        <v>0.11129119394921665</v>
      </c>
      <c r="H28" s="73">
        <v>0.1339633129516398</v>
      </c>
      <c r="I28" s="73">
        <v>0.13904982618771727</v>
      </c>
      <c r="J28" s="73">
        <v>0.10861865407319952</v>
      </c>
    </row>
    <row r="29" spans="1:10" x14ac:dyDescent="0.2">
      <c r="A29" s="56" t="s">
        <v>47</v>
      </c>
      <c r="B29" s="57" t="s">
        <v>23</v>
      </c>
      <c r="C29" s="48">
        <v>9.6695226438188495E-2</v>
      </c>
      <c r="D29" s="48">
        <v>9.991742361684558E-2</v>
      </c>
      <c r="E29" s="48">
        <v>8.4065244667503133E-2</v>
      </c>
      <c r="F29" s="48">
        <v>9.5494005787515504E-2</v>
      </c>
      <c r="G29" s="73">
        <v>9.6308867204072973E-2</v>
      </c>
      <c r="H29" s="73">
        <v>0.10714285714285714</v>
      </c>
      <c r="I29" s="73">
        <v>0.11647855530474041</v>
      </c>
      <c r="J29" s="73">
        <v>8.9882352941176469E-2</v>
      </c>
    </row>
    <row r="30" spans="1:10" x14ac:dyDescent="0.2">
      <c r="A30" s="56" t="s">
        <v>47</v>
      </c>
      <c r="B30" s="57" t="s">
        <v>29</v>
      </c>
      <c r="C30" s="48">
        <v>9.8901098901098897E-2</v>
      </c>
      <c r="D30" s="48">
        <v>0.10055096418732783</v>
      </c>
      <c r="E30" s="48">
        <v>9.2926490984743412E-2</v>
      </c>
      <c r="F30" s="48">
        <v>0.10068965517241379</v>
      </c>
      <c r="G30" s="73">
        <v>9.2307692307692313E-2</v>
      </c>
      <c r="H30" s="73">
        <v>9.3969144460028048E-2</v>
      </c>
      <c r="I30" s="73">
        <v>0.1172316384180791</v>
      </c>
      <c r="J30" s="73">
        <v>9.3430656934306563E-2</v>
      </c>
    </row>
    <row r="31" spans="1:10" x14ac:dyDescent="0.2">
      <c r="A31" s="56" t="s">
        <v>47</v>
      </c>
      <c r="B31" s="57" t="s">
        <v>24</v>
      </c>
      <c r="C31" s="48">
        <v>7.9939668174962286E-2</v>
      </c>
      <c r="D31" s="48">
        <v>9.1185410334346503E-2</v>
      </c>
      <c r="E31" s="48">
        <v>7.8341013824884786E-2</v>
      </c>
      <c r="F31" s="48">
        <v>7.7981651376146793E-2</v>
      </c>
      <c r="G31" s="73">
        <v>6.5015479876160992E-2</v>
      </c>
      <c r="H31" s="73">
        <v>7.0783132530120488E-2</v>
      </c>
      <c r="I31" s="73">
        <v>8.3333333333333329E-2</v>
      </c>
      <c r="J31" s="73">
        <v>7.898658718330849E-2</v>
      </c>
    </row>
    <row r="32" spans="1:10" x14ac:dyDescent="0.2">
      <c r="A32" s="56" t="s">
        <v>47</v>
      </c>
      <c r="B32" s="57" t="s">
        <v>25</v>
      </c>
      <c r="C32" s="48">
        <v>9.8980353145983579E-2</v>
      </c>
      <c r="D32" s="48">
        <v>0.10593428151054439</v>
      </c>
      <c r="E32" s="48">
        <v>9.4833858840650015E-2</v>
      </c>
      <c r="F32" s="48">
        <v>9.7416449395591367E-2</v>
      </c>
      <c r="G32" s="73">
        <v>0.12095032397408208</v>
      </c>
      <c r="H32" s="73">
        <v>0.12229862475442044</v>
      </c>
      <c r="I32" s="73">
        <v>0.11348766985405133</v>
      </c>
      <c r="J32" s="73">
        <v>0.10045894951555329</v>
      </c>
    </row>
    <row r="33" spans="1:10" x14ac:dyDescent="0.2">
      <c r="A33" s="56" t="s">
        <v>47</v>
      </c>
      <c r="B33" s="57" t="s">
        <v>2</v>
      </c>
      <c r="C33" s="48">
        <v>0.10699588477366255</v>
      </c>
      <c r="D33" s="48">
        <v>0.11522633744855967</v>
      </c>
      <c r="E33" s="48">
        <v>0.11392405063291139</v>
      </c>
      <c r="F33" s="48">
        <v>0.1148936170212766</v>
      </c>
      <c r="G33" s="73">
        <v>0.10775862068965517</v>
      </c>
      <c r="H33" s="73">
        <v>0.11158798283261803</v>
      </c>
      <c r="I33" s="73">
        <v>0.11538461538461539</v>
      </c>
      <c r="J33" s="73">
        <v>9.9567099567099568E-2</v>
      </c>
    </row>
    <row r="34" spans="1:10" x14ac:dyDescent="0.2">
      <c r="A34" s="56" t="s">
        <v>47</v>
      </c>
      <c r="B34" s="57" t="s">
        <v>3</v>
      </c>
      <c r="C34" s="48">
        <v>7.8833693304535643E-2</v>
      </c>
      <c r="D34" s="48">
        <v>8.1521739130434784E-2</v>
      </c>
      <c r="E34" s="48">
        <v>6.8627450980392163E-2</v>
      </c>
      <c r="F34" s="48">
        <v>8.306364617044229E-2</v>
      </c>
      <c r="G34" s="73">
        <v>7.3707370737073702E-2</v>
      </c>
      <c r="H34" s="73">
        <v>7.2052401746724892E-2</v>
      </c>
      <c r="I34" s="73">
        <v>8.0086580086580081E-2</v>
      </c>
      <c r="J34" s="73">
        <v>7.0652173913043473E-2</v>
      </c>
    </row>
    <row r="35" spans="1:10" x14ac:dyDescent="0.2">
      <c r="A35" s="56" t="s">
        <v>47</v>
      </c>
      <c r="B35" s="57" t="s">
        <v>30</v>
      </c>
      <c r="C35" s="48">
        <v>0.11005434782608696</v>
      </c>
      <c r="D35" s="48">
        <v>0.11796982167352538</v>
      </c>
      <c r="E35" s="48">
        <v>0.11096075778078485</v>
      </c>
      <c r="F35" s="48">
        <v>0.11037234042553191</v>
      </c>
      <c r="G35" s="73">
        <v>9.6179183135704879E-2</v>
      </c>
      <c r="H35" s="73">
        <v>0.10013003901170352</v>
      </c>
      <c r="I35" s="73">
        <v>0.12547528517110265</v>
      </c>
      <c r="J35" s="73">
        <v>0.11125485122897801</v>
      </c>
    </row>
    <row r="36" spans="1:10" x14ac:dyDescent="0.2">
      <c r="A36" s="56" t="s">
        <v>47</v>
      </c>
      <c r="B36" s="57" t="s">
        <v>4</v>
      </c>
      <c r="C36" s="48">
        <v>9.5551894563426693E-2</v>
      </c>
      <c r="D36" s="48">
        <v>0.12179487179487179</v>
      </c>
      <c r="E36" s="48">
        <v>0.10620915032679738</v>
      </c>
      <c r="F36" s="48">
        <v>9.9526066350710901E-2</v>
      </c>
      <c r="G36" s="73">
        <v>0.11251980982567353</v>
      </c>
      <c r="H36" s="73">
        <v>0.11459968602825746</v>
      </c>
      <c r="I36" s="73">
        <v>0.11802232854864433</v>
      </c>
      <c r="J36" s="73">
        <v>0.10929853181076672</v>
      </c>
    </row>
    <row r="37" spans="1:10" x14ac:dyDescent="0.2">
      <c r="A37" s="56" t="s">
        <v>47</v>
      </c>
      <c r="B37" s="57" t="s">
        <v>32</v>
      </c>
      <c r="C37" s="48">
        <v>9.4135802469135804E-2</v>
      </c>
      <c r="D37" s="48">
        <v>0.10823170731707317</v>
      </c>
      <c r="E37" s="48">
        <v>0.10566615620214395</v>
      </c>
      <c r="F37" s="48">
        <v>0.1076923076923077</v>
      </c>
      <c r="G37" s="73">
        <v>0.11388455538221529</v>
      </c>
      <c r="H37" s="73">
        <v>0.11338582677165354</v>
      </c>
      <c r="I37" s="73">
        <v>0.11980830670926518</v>
      </c>
      <c r="J37" s="73">
        <v>0.10743801652892562</v>
      </c>
    </row>
    <row r="38" spans="1:10" x14ac:dyDescent="0.2">
      <c r="A38" s="56" t="s">
        <v>47</v>
      </c>
      <c r="B38" s="57" t="s">
        <v>5</v>
      </c>
      <c r="C38" s="48">
        <v>8.9285714285714288E-2</v>
      </c>
      <c r="D38" s="48">
        <v>9.1772151898734181E-2</v>
      </c>
      <c r="E38" s="48">
        <v>8.9062500000000003E-2</v>
      </c>
      <c r="F38" s="48">
        <v>9.7116843702579669E-2</v>
      </c>
      <c r="G38" s="73">
        <v>0.10403726708074534</v>
      </c>
      <c r="H38" s="73">
        <v>0.104199066874028</v>
      </c>
      <c r="I38" s="73">
        <v>0.11302982731554161</v>
      </c>
      <c r="J38" s="73">
        <v>8.9456869009584661E-2</v>
      </c>
    </row>
    <row r="39" spans="1:10" x14ac:dyDescent="0.2">
      <c r="A39" s="56" t="s">
        <v>47</v>
      </c>
      <c r="B39" s="57" t="s">
        <v>6</v>
      </c>
      <c r="C39" s="48">
        <v>9.4664371772805511E-2</v>
      </c>
      <c r="D39" s="48">
        <v>0.11413969335604771</v>
      </c>
      <c r="E39" s="48">
        <v>0.11073253833049404</v>
      </c>
      <c r="F39" s="48">
        <v>0.10865874363327674</v>
      </c>
      <c r="G39" s="73">
        <v>9.8976109215017066E-2</v>
      </c>
      <c r="H39" s="73">
        <v>0.12289562289562289</v>
      </c>
      <c r="I39" s="73">
        <v>0.12244897959183673</v>
      </c>
      <c r="J39" s="73">
        <v>0.10652920962199312</v>
      </c>
    </row>
    <row r="40" spans="1:10" x14ac:dyDescent="0.2">
      <c r="A40" s="56" t="s">
        <v>47</v>
      </c>
      <c r="B40" s="57" t="s">
        <v>8</v>
      </c>
      <c r="C40" s="48">
        <v>0.10526315789473684</v>
      </c>
      <c r="D40" s="48">
        <v>0.11829268292682926</v>
      </c>
      <c r="E40" s="48">
        <v>0.11193111931119311</v>
      </c>
      <c r="F40" s="48">
        <v>0.11205846528623629</v>
      </c>
      <c r="G40" s="73">
        <v>0.11851851851851852</v>
      </c>
      <c r="H40" s="73">
        <v>0.13642052565707133</v>
      </c>
      <c r="I40" s="73">
        <v>0.11612903225806452</v>
      </c>
      <c r="J40" s="73">
        <v>0.1099476439790576</v>
      </c>
    </row>
    <row r="41" spans="1:10" x14ac:dyDescent="0.2">
      <c r="A41" s="56" t="s">
        <v>47</v>
      </c>
      <c r="B41" s="57" t="s">
        <v>9</v>
      </c>
      <c r="C41" s="48">
        <v>9.8541980894922068E-2</v>
      </c>
      <c r="D41" s="48">
        <v>0.1102514506769826</v>
      </c>
      <c r="E41" s="48">
        <v>0.11262135922330097</v>
      </c>
      <c r="F41" s="48">
        <v>0.12517713745866793</v>
      </c>
      <c r="G41" s="73">
        <v>0.11324470704086657</v>
      </c>
      <c r="H41" s="73">
        <v>0.1529294935451837</v>
      </c>
      <c r="I41" s="73">
        <v>0.12033631108775618</v>
      </c>
      <c r="J41" s="73">
        <v>0.10483870967741936</v>
      </c>
    </row>
    <row r="42" spans="1:10" x14ac:dyDescent="0.2">
      <c r="A42" s="56" t="s">
        <v>47</v>
      </c>
      <c r="B42" s="57" t="s">
        <v>33</v>
      </c>
      <c r="C42" s="48">
        <v>0.12742248062015504</v>
      </c>
      <c r="D42" s="48">
        <v>0.11767497034400949</v>
      </c>
      <c r="E42" s="48">
        <v>0.11230195712954334</v>
      </c>
      <c r="F42" s="48">
        <v>0.11276986678915939</v>
      </c>
      <c r="G42" s="73">
        <v>0.10887656033287101</v>
      </c>
      <c r="H42" s="73">
        <v>0.11514876220758574</v>
      </c>
      <c r="I42" s="73">
        <v>0.12241689128481581</v>
      </c>
      <c r="J42" s="73">
        <v>0.1148694665153235</v>
      </c>
    </row>
    <row r="43" spans="1:10" x14ac:dyDescent="0.2">
      <c r="A43" s="56" t="s">
        <v>47</v>
      </c>
      <c r="B43" s="57" t="s">
        <v>10</v>
      </c>
      <c r="C43" s="48">
        <v>9.3389296956977966E-2</v>
      </c>
      <c r="D43" s="48">
        <v>9.1627172195892573E-2</v>
      </c>
      <c r="E43" s="48">
        <v>7.9872204472843447E-2</v>
      </c>
      <c r="F43" s="48">
        <v>8.7276550998948474E-2</v>
      </c>
      <c r="G43" s="73">
        <v>7.9594017094017089E-2</v>
      </c>
      <c r="H43" s="73">
        <v>8.4350132625994695E-2</v>
      </c>
      <c r="I43" s="73">
        <v>9.5846645367412137E-2</v>
      </c>
      <c r="J43" s="73">
        <v>8.2177161152614725E-2</v>
      </c>
    </row>
    <row r="44" spans="1:10" x14ac:dyDescent="0.2">
      <c r="A44" s="56" t="s">
        <v>47</v>
      </c>
      <c r="B44" s="57" t="s">
        <v>11</v>
      </c>
      <c r="C44" s="48">
        <v>0.1111111111111111</v>
      </c>
      <c r="D44" s="48">
        <v>0.10743801652892562</v>
      </c>
      <c r="E44" s="48">
        <v>0.11602209944751381</v>
      </c>
      <c r="F44" s="48">
        <v>0.10644257703081232</v>
      </c>
      <c r="G44" s="73">
        <v>0.11581920903954802</v>
      </c>
      <c r="H44" s="73">
        <v>0.11078717201166181</v>
      </c>
      <c r="I44" s="73">
        <v>0.12573099415204678</v>
      </c>
      <c r="J44" s="73">
        <v>0.11280487804878049</v>
      </c>
    </row>
    <row r="45" spans="1:10" x14ac:dyDescent="0.2">
      <c r="A45" s="56" t="s">
        <v>47</v>
      </c>
      <c r="B45" s="57" t="s">
        <v>12</v>
      </c>
      <c r="C45" s="48">
        <v>8.8477366255144033E-2</v>
      </c>
      <c r="D45" s="48">
        <v>9.8790322580645157E-2</v>
      </c>
      <c r="E45" s="48">
        <v>9.2337917485265222E-2</v>
      </c>
      <c r="F45" s="48">
        <v>8.6705202312138727E-2</v>
      </c>
      <c r="G45" s="73">
        <v>0.10526315789473684</v>
      </c>
      <c r="H45" s="73">
        <v>0.1050656660412758</v>
      </c>
      <c r="I45" s="73">
        <v>0.1111111111111111</v>
      </c>
      <c r="J45" s="73">
        <v>9.6296296296296297E-2</v>
      </c>
    </row>
    <row r="46" spans="1:10" x14ac:dyDescent="0.2">
      <c r="A46" s="56" t="s">
        <v>47</v>
      </c>
      <c r="B46" s="57" t="s">
        <v>13</v>
      </c>
      <c r="C46" s="48">
        <v>9.7173144876325085E-2</v>
      </c>
      <c r="D46" s="48">
        <v>9.6660808435852369E-2</v>
      </c>
      <c r="E46" s="48">
        <v>8.5664335664335664E-2</v>
      </c>
      <c r="F46" s="48">
        <v>8.3769633507853408E-2</v>
      </c>
      <c r="G46" s="73">
        <v>9.0586145648312605E-2</v>
      </c>
      <c r="H46" s="73">
        <v>9.3189964157706098E-2</v>
      </c>
      <c r="I46" s="73">
        <v>9.5667870036101083E-2</v>
      </c>
      <c r="J46" s="73">
        <v>9.7649186256781192E-2</v>
      </c>
    </row>
    <row r="47" spans="1:10" x14ac:dyDescent="0.2">
      <c r="A47" s="56" t="s">
        <v>47</v>
      </c>
      <c r="B47" s="57" t="s">
        <v>7</v>
      </c>
      <c r="C47" s="48">
        <v>7.3684210526315783E-2</v>
      </c>
      <c r="D47" s="48">
        <v>8.8082901554404139E-2</v>
      </c>
      <c r="E47" s="48">
        <v>8.4210526315789472E-2</v>
      </c>
      <c r="F47" s="48">
        <v>8.0645161290322578E-2</v>
      </c>
      <c r="G47" s="73">
        <v>6.0109289617486336E-2</v>
      </c>
      <c r="H47" s="73">
        <v>4.9450549450549448E-2</v>
      </c>
      <c r="I47" s="73">
        <v>7.4468085106382975E-2</v>
      </c>
      <c r="J47" s="73">
        <v>6.9518716577540107E-2</v>
      </c>
    </row>
    <row r="48" spans="1:10" x14ac:dyDescent="0.2">
      <c r="A48" s="56" t="s">
        <v>47</v>
      </c>
      <c r="B48" s="57" t="s">
        <v>14</v>
      </c>
      <c r="C48" s="48">
        <v>0.10117302052785923</v>
      </c>
      <c r="D48" s="48">
        <v>0.10885341074020319</v>
      </c>
      <c r="E48" s="48">
        <v>0.11029411764705882</v>
      </c>
      <c r="F48" s="48">
        <v>0.10901162790697674</v>
      </c>
      <c r="G48" s="73">
        <v>0.1037037037037037</v>
      </c>
      <c r="H48" s="73">
        <v>0.13313609467455623</v>
      </c>
      <c r="I48" s="73">
        <v>0.1334355828220859</v>
      </c>
      <c r="J48" s="73">
        <v>0.10333863275039745</v>
      </c>
    </row>
    <row r="49" spans="1:10" x14ac:dyDescent="0.2">
      <c r="A49" s="56" t="s">
        <v>47</v>
      </c>
      <c r="B49" s="57" t="s">
        <v>31</v>
      </c>
      <c r="C49" s="48">
        <v>0.10824108241082411</v>
      </c>
      <c r="D49" s="48">
        <v>0.11949305974652988</v>
      </c>
      <c r="E49" s="48">
        <v>0.11545399879735418</v>
      </c>
      <c r="F49" s="48">
        <v>0.11484098939929328</v>
      </c>
      <c r="G49" s="73">
        <v>0.11520190023752969</v>
      </c>
      <c r="H49" s="73">
        <v>0.12340672074159907</v>
      </c>
      <c r="I49" s="73">
        <v>0.13317892298784018</v>
      </c>
      <c r="J49" s="73">
        <v>0.11229314420803782</v>
      </c>
    </row>
    <row r="50" spans="1:10" x14ac:dyDescent="0.2">
      <c r="A50" s="56" t="s">
        <v>47</v>
      </c>
      <c r="B50" s="57" t="s">
        <v>15</v>
      </c>
      <c r="C50" s="48">
        <v>6.8571428571428575E-2</v>
      </c>
      <c r="D50" s="48">
        <v>6.1452513966480445E-2</v>
      </c>
      <c r="E50" s="48">
        <v>0.05</v>
      </c>
      <c r="F50" s="48">
        <v>7.2222222222222215E-2</v>
      </c>
      <c r="G50" s="73">
        <v>7.3863636363636367E-2</v>
      </c>
      <c r="H50" s="73">
        <v>5.7803468208092484E-2</v>
      </c>
      <c r="I50" s="73">
        <v>4.5714285714285714E-2</v>
      </c>
      <c r="J50" s="73">
        <v>5.0561797752808987E-2</v>
      </c>
    </row>
    <row r="51" spans="1:10" x14ac:dyDescent="0.2">
      <c r="A51" s="56" t="s">
        <v>47</v>
      </c>
      <c r="B51" s="57" t="s">
        <v>16</v>
      </c>
      <c r="C51" s="48">
        <v>7.8291814946619215E-2</v>
      </c>
      <c r="D51" s="48">
        <v>8.6918349429323971E-2</v>
      </c>
      <c r="E51" s="48">
        <v>7.6376554174067496E-2</v>
      </c>
      <c r="F51" s="48">
        <v>8.2446808510638292E-2</v>
      </c>
      <c r="G51" s="73">
        <v>7.7609277430865292E-2</v>
      </c>
      <c r="H51" s="73">
        <v>8.5739282589676294E-2</v>
      </c>
      <c r="I51" s="73">
        <v>8.8132635253054106E-2</v>
      </c>
      <c r="J51" s="73">
        <v>8.296943231441048E-2</v>
      </c>
    </row>
    <row r="52" spans="1:10" x14ac:dyDescent="0.2">
      <c r="A52" s="56" t="s">
        <v>47</v>
      </c>
      <c r="B52" s="57" t="s">
        <v>26</v>
      </c>
      <c r="C52" s="48">
        <v>0.10819009100101112</v>
      </c>
      <c r="D52" s="48">
        <v>0.10703666997026759</v>
      </c>
      <c r="E52" s="48">
        <v>0.10177865612648221</v>
      </c>
      <c r="F52" s="48">
        <v>0.11143410852713179</v>
      </c>
      <c r="G52" s="73">
        <v>0.11121951219512195</v>
      </c>
      <c r="H52" s="73">
        <v>0.11196911196911197</v>
      </c>
      <c r="I52" s="73">
        <v>0.11930164888457807</v>
      </c>
      <c r="J52" s="73">
        <v>0.11448140900195694</v>
      </c>
    </row>
    <row r="53" spans="1:10" x14ac:dyDescent="0.2">
      <c r="A53" s="56" t="s">
        <v>47</v>
      </c>
      <c r="B53" s="57" t="s">
        <v>17</v>
      </c>
      <c r="C53" s="48">
        <v>7.9041916167664678E-2</v>
      </c>
      <c r="D53" s="48">
        <v>8.805790108564536E-2</v>
      </c>
      <c r="E53" s="48">
        <v>6.9938650306748465E-2</v>
      </c>
      <c r="F53" s="48">
        <v>8.5852478839177751E-2</v>
      </c>
      <c r="G53" s="73">
        <v>7.8144078144078144E-2</v>
      </c>
      <c r="H53" s="73">
        <v>7.1942446043165464E-2</v>
      </c>
      <c r="I53" s="73">
        <v>8.8200238379022647E-2</v>
      </c>
      <c r="J53" s="73">
        <v>9.1885441527446307E-2</v>
      </c>
    </row>
    <row r="54" spans="1:10" x14ac:dyDescent="0.2">
      <c r="A54" s="56" t="s">
        <v>47</v>
      </c>
      <c r="B54" s="57" t="s">
        <v>18</v>
      </c>
      <c r="C54" s="48">
        <v>6.8783068783068779E-2</v>
      </c>
      <c r="D54" s="48">
        <v>8.4210526315789472E-2</v>
      </c>
      <c r="E54" s="48">
        <v>6.9518716577540107E-2</v>
      </c>
      <c r="F54" s="48">
        <v>8.0645161290322578E-2</v>
      </c>
      <c r="G54" s="73">
        <v>6.5573770491803282E-2</v>
      </c>
      <c r="H54" s="73">
        <v>4.8128342245989303E-2</v>
      </c>
      <c r="I54" s="73">
        <v>6.7708333333333329E-2</v>
      </c>
      <c r="J54" s="73">
        <v>6.2827225130890049E-2</v>
      </c>
    </row>
    <row r="55" spans="1:10" x14ac:dyDescent="0.2">
      <c r="A55" s="56" t="s">
        <v>47</v>
      </c>
      <c r="B55" s="57" t="s">
        <v>19</v>
      </c>
      <c r="C55" s="48">
        <v>9.4691535150645628E-2</v>
      </c>
      <c r="D55" s="48">
        <v>0.10822510822510822</v>
      </c>
      <c r="E55" s="48">
        <v>9.3294460641399415E-2</v>
      </c>
      <c r="F55" s="48">
        <v>0.11544011544011544</v>
      </c>
      <c r="G55" s="73">
        <v>9.4614264919941779E-2</v>
      </c>
      <c r="H55" s="73">
        <v>0.10274963820549927</v>
      </c>
      <c r="I55" s="73">
        <v>0.1023391812865497</v>
      </c>
      <c r="J55" s="73">
        <v>0.10204081632653061</v>
      </c>
    </row>
    <row r="56" spans="1:10" x14ac:dyDescent="0.2">
      <c r="A56" s="56" t="s">
        <v>47</v>
      </c>
      <c r="B56" s="57" t="s">
        <v>20</v>
      </c>
      <c r="C56" s="48">
        <v>0.10292524377031419</v>
      </c>
      <c r="D56" s="48">
        <v>0.10902255639097744</v>
      </c>
      <c r="E56" s="48">
        <v>0.10721868365180467</v>
      </c>
      <c r="F56" s="48">
        <v>0.11041339612768185</v>
      </c>
      <c r="G56" s="73">
        <v>0.10941609679116254</v>
      </c>
      <c r="H56" s="73">
        <v>0.1171875</v>
      </c>
      <c r="I56" s="73">
        <v>0.11906005221932114</v>
      </c>
      <c r="J56" s="73">
        <v>0.1099476439790576</v>
      </c>
    </row>
    <row r="57" spans="1:10" x14ac:dyDescent="0.2">
      <c r="A57" s="56" t="s">
        <v>47</v>
      </c>
      <c r="B57" s="57" t="s">
        <v>21</v>
      </c>
      <c r="C57" s="48">
        <v>8.4544253632760899E-2</v>
      </c>
      <c r="D57" s="48">
        <v>0.11009174311926606</v>
      </c>
      <c r="E57" s="48">
        <v>8.5271317829457363E-2</v>
      </c>
      <c r="F57" s="48">
        <v>9.0432503276539969E-2</v>
      </c>
      <c r="G57" s="73">
        <v>9.329829172141918E-2</v>
      </c>
      <c r="H57" s="73">
        <v>9.5490716180371346E-2</v>
      </c>
      <c r="I57" s="73">
        <v>9.5302013422818799E-2</v>
      </c>
      <c r="J57" s="73">
        <v>8.3333333333333329E-2</v>
      </c>
    </row>
    <row r="58" spans="1:10" x14ac:dyDescent="0.2">
      <c r="A58" s="56" t="s">
        <v>47</v>
      </c>
      <c r="B58" s="57" t="s">
        <v>27</v>
      </c>
      <c r="C58" s="48">
        <v>0.11471321695760599</v>
      </c>
      <c r="D58" s="48">
        <v>0.11335012594458438</v>
      </c>
      <c r="E58" s="48">
        <v>0.125</v>
      </c>
      <c r="F58" s="48">
        <v>0.10401891252955082</v>
      </c>
      <c r="G58" s="73">
        <v>0.1186046511627907</v>
      </c>
      <c r="H58" s="73">
        <v>0.16306954436450841</v>
      </c>
      <c r="I58" s="73">
        <v>0.11809045226130653</v>
      </c>
      <c r="J58" s="73">
        <v>0.11139240506329114</v>
      </c>
    </row>
    <row r="59" spans="1:10" x14ac:dyDescent="0.2">
      <c r="A59" s="56" t="s">
        <v>47</v>
      </c>
      <c r="B59" s="57" t="s">
        <v>28</v>
      </c>
      <c r="C59" s="48">
        <v>0.10243407707910751</v>
      </c>
      <c r="D59" s="48">
        <v>0.1144578313253012</v>
      </c>
      <c r="E59" s="48">
        <v>0.10760118460019744</v>
      </c>
      <c r="F59" s="48">
        <v>0.1123046875</v>
      </c>
      <c r="G59" s="73">
        <v>0.11874386653581943</v>
      </c>
      <c r="H59" s="73">
        <v>0.13073170731707318</v>
      </c>
      <c r="I59" s="73">
        <v>0.12648221343873517</v>
      </c>
      <c r="J59" s="73">
        <v>0.10393541876892028</v>
      </c>
    </row>
    <row r="60" spans="1:10" ht="29.1" customHeight="1" x14ac:dyDescent="0.2">
      <c r="A60" s="57" t="s">
        <v>182</v>
      </c>
      <c r="B60" s="57" t="s">
        <v>54</v>
      </c>
      <c r="C60" s="48">
        <v>0.12121212121212122</v>
      </c>
      <c r="D60" s="48">
        <v>0.11200644641418211</v>
      </c>
      <c r="E60" s="48">
        <v>9.6508111080560899E-2</v>
      </c>
      <c r="F60" s="48">
        <v>9.8711269536605431E-2</v>
      </c>
      <c r="G60" s="73">
        <v>0.10653889515219842</v>
      </c>
      <c r="H60" s="73">
        <v>0.12463683904706566</v>
      </c>
      <c r="I60" s="73">
        <v>0.13238412602241745</v>
      </c>
      <c r="J60" s="73">
        <v>0.10144020037570445</v>
      </c>
    </row>
    <row r="61" spans="1:10" x14ac:dyDescent="0.2">
      <c r="A61" s="56" t="s">
        <v>182</v>
      </c>
      <c r="B61" s="56" t="s">
        <v>55</v>
      </c>
      <c r="C61" s="48">
        <v>0.13186813186813187</v>
      </c>
      <c r="D61" s="48">
        <v>0.11494252873563218</v>
      </c>
      <c r="E61" s="48">
        <v>9.9415204678362568E-2</v>
      </c>
      <c r="F61" s="48">
        <v>0.10674157303370786</v>
      </c>
      <c r="G61" s="73">
        <v>0.10614525139664804</v>
      </c>
      <c r="H61" s="73">
        <v>0.16763005780346821</v>
      </c>
      <c r="I61" s="73">
        <v>0.13245033112582782</v>
      </c>
      <c r="J61" s="73">
        <v>9.45945945945946E-2</v>
      </c>
    </row>
    <row r="62" spans="1:10" x14ac:dyDescent="0.2">
      <c r="A62" s="56" t="s">
        <v>182</v>
      </c>
      <c r="B62" s="56" t="s">
        <v>56</v>
      </c>
      <c r="C62" s="48">
        <v>0.12546125461254612</v>
      </c>
      <c r="D62" s="48">
        <v>9.6153846153846159E-2</v>
      </c>
      <c r="E62" s="48">
        <v>0.10150375939849623</v>
      </c>
      <c r="F62" s="48">
        <v>0.11610486891385768</v>
      </c>
      <c r="G62" s="73">
        <v>0.10188679245283019</v>
      </c>
      <c r="H62" s="73">
        <v>0.11363636363636363</v>
      </c>
      <c r="I62" s="73">
        <v>0.140625</v>
      </c>
      <c r="J62" s="73">
        <v>9.166666666666666E-2</v>
      </c>
    </row>
    <row r="63" spans="1:10" x14ac:dyDescent="0.2">
      <c r="A63" s="56" t="s">
        <v>182</v>
      </c>
      <c r="B63" s="56" t="s">
        <v>57</v>
      </c>
      <c r="C63" s="48">
        <v>7.407407407407407E-2</v>
      </c>
      <c r="D63" s="48">
        <v>9.0909090909090912E-2</v>
      </c>
      <c r="E63" s="48">
        <v>8.3969465648854963E-2</v>
      </c>
      <c r="F63" s="48">
        <v>9.8484848484848481E-2</v>
      </c>
      <c r="G63" s="73">
        <v>7.03125E-2</v>
      </c>
      <c r="H63" s="73">
        <v>5.4263565891472867E-2</v>
      </c>
      <c r="I63" s="73">
        <v>7.4626865671641784E-2</v>
      </c>
      <c r="J63" s="73">
        <v>8.0882352941176475E-2</v>
      </c>
    </row>
    <row r="64" spans="1:10" x14ac:dyDescent="0.2">
      <c r="A64" s="56" t="s">
        <v>182</v>
      </c>
      <c r="B64" s="56" t="s">
        <v>58</v>
      </c>
      <c r="C64" s="48">
        <v>9.7989949748743713E-2</v>
      </c>
      <c r="D64" s="48">
        <v>0.11471321695760599</v>
      </c>
      <c r="E64" s="48">
        <v>9.7099621689785628E-2</v>
      </c>
      <c r="F64" s="48">
        <v>0.11288343558282209</v>
      </c>
      <c r="G64" s="73">
        <v>0.10794044665012408</v>
      </c>
      <c r="H64" s="73">
        <v>0.11221945137157108</v>
      </c>
      <c r="I64" s="73">
        <v>0.10266159695817491</v>
      </c>
      <c r="J64" s="73">
        <v>0.10466582597730138</v>
      </c>
    </row>
    <row r="65" spans="1:10" x14ac:dyDescent="0.2">
      <c r="A65" s="56" t="s">
        <v>182</v>
      </c>
      <c r="B65" s="56" t="s">
        <v>96</v>
      </c>
      <c r="C65" s="48">
        <v>7.857142857142857E-2</v>
      </c>
      <c r="D65" s="48">
        <v>8.6956521739130432E-2</v>
      </c>
      <c r="E65" s="48">
        <v>8.0882352941176475E-2</v>
      </c>
      <c r="F65" s="48">
        <v>0.1037037037037037</v>
      </c>
      <c r="G65" s="73">
        <v>0.1</v>
      </c>
      <c r="H65" s="73">
        <v>7.4626865671641784E-2</v>
      </c>
      <c r="I65" s="73">
        <v>8.2089552238805971E-2</v>
      </c>
      <c r="J65" s="73">
        <v>9.4890510948905105E-2</v>
      </c>
    </row>
    <row r="66" spans="1:10" x14ac:dyDescent="0.2">
      <c r="A66" s="56" t="s">
        <v>182</v>
      </c>
      <c r="B66" s="56" t="s">
        <v>59</v>
      </c>
      <c r="C66" s="48">
        <v>6.9444444444444448E-2</v>
      </c>
      <c r="D66" s="48">
        <v>6.9444444444444448E-2</v>
      </c>
      <c r="E66" s="48">
        <v>9.8591549295774641E-2</v>
      </c>
      <c r="F66" s="48">
        <v>8.4507042253521125E-2</v>
      </c>
      <c r="G66" s="73">
        <v>7.4626865671641784E-2</v>
      </c>
      <c r="H66" s="73">
        <v>8.5714285714285715E-2</v>
      </c>
      <c r="I66" s="73">
        <v>6.9444444444444448E-2</v>
      </c>
      <c r="J66" s="73">
        <v>5.4794520547945202E-2</v>
      </c>
    </row>
    <row r="67" spans="1:10" x14ac:dyDescent="0.2">
      <c r="A67" s="56" t="s">
        <v>182</v>
      </c>
      <c r="B67" s="56" t="s">
        <v>60</v>
      </c>
      <c r="C67" s="48">
        <v>7.8431372549019607E-2</v>
      </c>
      <c r="D67" s="48">
        <v>5.8823529411764705E-2</v>
      </c>
      <c r="E67" s="48">
        <v>0.11764705882352941</v>
      </c>
      <c r="F67" s="48">
        <v>6.1224489795918366E-2</v>
      </c>
      <c r="G67" s="73">
        <v>4.0816326530612242E-2</v>
      </c>
      <c r="H67" s="73">
        <v>5.8823529411764705E-2</v>
      </c>
      <c r="I67" s="73">
        <v>7.8431372549019607E-2</v>
      </c>
      <c r="J67" s="73">
        <v>8.1632653061224483E-2</v>
      </c>
    </row>
    <row r="68" spans="1:10" x14ac:dyDescent="0.2">
      <c r="A68" s="56" t="s">
        <v>182</v>
      </c>
      <c r="B68" s="56" t="s">
        <v>97</v>
      </c>
      <c r="C68" s="48">
        <v>8.3333333333333329E-2</v>
      </c>
      <c r="D68" s="48">
        <v>8.0645161290322578E-2</v>
      </c>
      <c r="E68" s="48">
        <v>6.25E-2</v>
      </c>
      <c r="F68" s="48">
        <v>7.575757575757576E-2</v>
      </c>
      <c r="G68" s="73">
        <v>7.2463768115942032E-2</v>
      </c>
      <c r="H68" s="73">
        <v>8.6956521739130432E-2</v>
      </c>
      <c r="I68" s="73">
        <v>0.10606060606060606</v>
      </c>
      <c r="J68" s="73">
        <v>7.6923076923076927E-2</v>
      </c>
    </row>
    <row r="69" spans="1:10" x14ac:dyDescent="0.2">
      <c r="A69" s="56" t="s">
        <v>182</v>
      </c>
      <c r="B69" s="56" t="s">
        <v>61</v>
      </c>
      <c r="C69" s="48">
        <v>8.0291970802919707E-2</v>
      </c>
      <c r="D69" s="48">
        <v>6.7164179104477612E-2</v>
      </c>
      <c r="E69" s="48">
        <v>5.2238805970149252E-2</v>
      </c>
      <c r="F69" s="48">
        <v>8.1481481481481488E-2</v>
      </c>
      <c r="G69" s="73">
        <v>7.5187969924812026E-2</v>
      </c>
      <c r="H69" s="73">
        <v>8.2706766917293228E-2</v>
      </c>
      <c r="I69" s="73">
        <v>6.1538461538461542E-2</v>
      </c>
      <c r="J69" s="73">
        <v>6.9767441860465115E-2</v>
      </c>
    </row>
    <row r="70" spans="1:10" x14ac:dyDescent="0.2">
      <c r="A70" s="56" t="s">
        <v>182</v>
      </c>
      <c r="B70" s="56" t="s">
        <v>62</v>
      </c>
      <c r="C70" s="48">
        <v>9.7982708933717577E-2</v>
      </c>
      <c r="D70" s="48">
        <v>0.10404624277456648</v>
      </c>
      <c r="E70" s="48">
        <v>9.8265895953757232E-2</v>
      </c>
      <c r="F70" s="48">
        <v>8.6486486486486491E-2</v>
      </c>
      <c r="G70" s="73">
        <v>0.10846560846560846</v>
      </c>
      <c r="H70" s="73">
        <v>0.15489130434782608</v>
      </c>
      <c r="I70" s="73">
        <v>0.11403508771929824</v>
      </c>
      <c r="J70" s="73">
        <v>9.7633136094674555E-2</v>
      </c>
    </row>
    <row r="71" spans="1:10" x14ac:dyDescent="0.2">
      <c r="A71" s="56" t="s">
        <v>182</v>
      </c>
      <c r="B71" s="56" t="s">
        <v>63</v>
      </c>
      <c r="C71" s="48">
        <v>7.9422382671480149E-2</v>
      </c>
      <c r="D71" s="48">
        <v>8.5144927536231887E-2</v>
      </c>
      <c r="E71" s="48">
        <v>7.2727272727272724E-2</v>
      </c>
      <c r="F71" s="48">
        <v>8.4380610412926396E-2</v>
      </c>
      <c r="G71" s="73">
        <v>7.5091575091575088E-2</v>
      </c>
      <c r="H71" s="73">
        <v>6.7395264116575593E-2</v>
      </c>
      <c r="I71" s="73">
        <v>8.0071174377224205E-2</v>
      </c>
      <c r="J71" s="73">
        <v>6.7736185383244205E-2</v>
      </c>
    </row>
    <row r="72" spans="1:10" x14ac:dyDescent="0.2">
      <c r="A72" s="56" t="s">
        <v>182</v>
      </c>
      <c r="B72" s="56" t="s">
        <v>64</v>
      </c>
      <c r="C72" s="48">
        <v>9.7993827160493832E-2</v>
      </c>
      <c r="D72" s="48">
        <v>0.1117964533538936</v>
      </c>
      <c r="E72" s="48">
        <v>0.10038610038610038</v>
      </c>
      <c r="F72" s="48">
        <v>0.10289634146341463</v>
      </c>
      <c r="G72" s="73">
        <v>9.1673032849503441E-2</v>
      </c>
      <c r="H72" s="73">
        <v>9.5776772247360489E-2</v>
      </c>
      <c r="I72" s="73">
        <v>0.11646884272997032</v>
      </c>
      <c r="J72" s="73">
        <v>0.10347432024169184</v>
      </c>
    </row>
    <row r="73" spans="1:10" x14ac:dyDescent="0.2">
      <c r="A73" s="56" t="s">
        <v>182</v>
      </c>
      <c r="B73" s="56" t="s">
        <v>65</v>
      </c>
      <c r="C73" s="48">
        <v>0.10185778347213324</v>
      </c>
      <c r="D73" s="48">
        <v>0.11300121506682867</v>
      </c>
      <c r="E73" s="48">
        <v>0.11829268292682926</v>
      </c>
      <c r="F73" s="48">
        <v>0.13092417061611375</v>
      </c>
      <c r="G73" s="73">
        <v>0.12438118811881188</v>
      </c>
      <c r="H73" s="73">
        <v>0.17295597484276728</v>
      </c>
      <c r="I73" s="73">
        <v>0.12771739130434784</v>
      </c>
      <c r="J73" s="73">
        <v>0.11064718162839249</v>
      </c>
    </row>
    <row r="74" spans="1:10" x14ac:dyDescent="0.2">
      <c r="A74" s="56" t="s">
        <v>182</v>
      </c>
      <c r="B74" s="56" t="s">
        <v>66</v>
      </c>
      <c r="C74" s="48">
        <v>9.5890410958904104E-2</v>
      </c>
      <c r="D74" s="48">
        <v>0.11347517730496454</v>
      </c>
      <c r="E74" s="48">
        <v>8.8888888888888892E-2</v>
      </c>
      <c r="F74" s="48">
        <v>8.2089552238805971E-2</v>
      </c>
      <c r="G74" s="73">
        <v>7.575757575757576E-2</v>
      </c>
      <c r="H74" s="73">
        <v>7.4626865671641784E-2</v>
      </c>
      <c r="I74" s="73">
        <v>6.569343065693431E-2</v>
      </c>
      <c r="J74" s="73">
        <v>8.5714285714285715E-2</v>
      </c>
    </row>
    <row r="75" spans="1:10" x14ac:dyDescent="0.2">
      <c r="A75" s="56" t="s">
        <v>182</v>
      </c>
      <c r="B75" s="56" t="s">
        <v>67</v>
      </c>
      <c r="C75" s="48">
        <v>9.7079868497389282E-2</v>
      </c>
      <c r="D75" s="48">
        <v>0.10340887450009521</v>
      </c>
      <c r="E75" s="48">
        <v>9.3867569601203918E-2</v>
      </c>
      <c r="F75" s="48">
        <v>9.6288129364204333E-2</v>
      </c>
      <c r="G75" s="73">
        <v>0.11734125510582993</v>
      </c>
      <c r="H75" s="73">
        <v>0.11850311850311851</v>
      </c>
      <c r="I75" s="73">
        <v>0.11310211946050096</v>
      </c>
      <c r="J75" s="73">
        <v>9.896544993168066E-2</v>
      </c>
    </row>
    <row r="76" spans="1:10" x14ac:dyDescent="0.2">
      <c r="A76" s="56" t="s">
        <v>182</v>
      </c>
      <c r="B76" s="56" t="s">
        <v>68</v>
      </c>
      <c r="C76" s="48">
        <v>9.5623987034035657E-2</v>
      </c>
      <c r="D76" s="48">
        <v>9.5315024232633286E-2</v>
      </c>
      <c r="E76" s="48">
        <v>8.5483870967741932E-2</v>
      </c>
      <c r="F76" s="48">
        <v>8.3735909822866342E-2</v>
      </c>
      <c r="G76" s="73">
        <v>8.8235294117647065E-2</v>
      </c>
      <c r="H76" s="73">
        <v>9.2409240924092403E-2</v>
      </c>
      <c r="I76" s="73">
        <v>9.634551495016612E-2</v>
      </c>
      <c r="J76" s="73">
        <v>9.515859766277128E-2</v>
      </c>
    </row>
    <row r="77" spans="1:10" x14ac:dyDescent="0.2">
      <c r="A77" s="56" t="s">
        <v>182</v>
      </c>
      <c r="B77" s="56" t="s">
        <v>69</v>
      </c>
      <c r="C77" s="48">
        <v>9.6587622903412371E-2</v>
      </c>
      <c r="D77" s="48">
        <v>0.11494252873563218</v>
      </c>
      <c r="E77" s="48">
        <v>0.10178263369752731</v>
      </c>
      <c r="F77" s="48">
        <v>0.10712217718587146</v>
      </c>
      <c r="G77" s="73">
        <v>0.10563380281690141</v>
      </c>
      <c r="H77" s="73">
        <v>0.11472501478415138</v>
      </c>
      <c r="I77" s="73">
        <v>0.11070998796630566</v>
      </c>
      <c r="J77" s="73">
        <v>9.6892138939670927E-2</v>
      </c>
    </row>
    <row r="78" spans="1:10" x14ac:dyDescent="0.2">
      <c r="A78" s="56" t="s">
        <v>182</v>
      </c>
      <c r="B78" s="56" t="s">
        <v>70</v>
      </c>
      <c r="C78" s="48">
        <v>5.7471264367816091E-2</v>
      </c>
      <c r="D78" s="48">
        <v>7.7777777777777779E-2</v>
      </c>
      <c r="E78" s="48">
        <v>5.5248618784530384E-2</v>
      </c>
      <c r="F78" s="48">
        <v>6.5573770491803282E-2</v>
      </c>
      <c r="G78" s="73">
        <v>6.5573770491803282E-2</v>
      </c>
      <c r="H78" s="73">
        <v>5.2910052910052907E-2</v>
      </c>
      <c r="I78" s="73">
        <v>7.575757575757576E-2</v>
      </c>
      <c r="J78" s="73">
        <v>7.9601990049751242E-2</v>
      </c>
    </row>
    <row r="79" spans="1:10" x14ac:dyDescent="0.2">
      <c r="A79" s="56" t="s">
        <v>182</v>
      </c>
      <c r="B79" s="56" t="s">
        <v>71</v>
      </c>
      <c r="C79" s="48">
        <v>7.3825503355704702E-2</v>
      </c>
      <c r="D79" s="48">
        <v>8.0536912751677847E-2</v>
      </c>
      <c r="E79" s="48">
        <v>7.2847682119205295E-2</v>
      </c>
      <c r="F79" s="48">
        <v>9.2105263157894732E-2</v>
      </c>
      <c r="G79" s="73">
        <v>7.3825503355704702E-2</v>
      </c>
      <c r="H79" s="73">
        <v>8.2191780821917804E-2</v>
      </c>
      <c r="I79" s="73">
        <v>0.10344827586206896</v>
      </c>
      <c r="J79" s="73">
        <v>9.0909090909090912E-2</v>
      </c>
    </row>
    <row r="80" spans="1:10" x14ac:dyDescent="0.2">
      <c r="A80" s="56" t="s">
        <v>182</v>
      </c>
      <c r="B80" s="56" t="s">
        <v>72</v>
      </c>
      <c r="C80" s="48">
        <v>7.7102803738317752E-2</v>
      </c>
      <c r="D80" s="48">
        <v>9.0909090909090912E-2</v>
      </c>
      <c r="E80" s="48">
        <v>6.8720379146919433E-2</v>
      </c>
      <c r="F80" s="48">
        <v>8.3526682134570762E-2</v>
      </c>
      <c r="G80" s="73">
        <v>7.6923076923076927E-2</v>
      </c>
      <c r="H80" s="73">
        <v>7.1428571428571425E-2</v>
      </c>
      <c r="I80" s="73">
        <v>8.924485125858124E-2</v>
      </c>
      <c r="J80" s="73">
        <v>8.755760368663594E-2</v>
      </c>
    </row>
    <row r="81" spans="1:10" x14ac:dyDescent="0.2">
      <c r="A81" s="56" t="s">
        <v>182</v>
      </c>
      <c r="B81" s="56" t="s">
        <v>73</v>
      </c>
      <c r="C81" s="48">
        <v>9.8360655737704916E-2</v>
      </c>
      <c r="D81" s="48">
        <v>6.8965517241379309E-2</v>
      </c>
      <c r="E81" s="48">
        <v>5.3571428571428568E-2</v>
      </c>
      <c r="F81" s="48">
        <v>8.9285714285714288E-2</v>
      </c>
      <c r="G81" s="73">
        <v>5.4545454545454543E-2</v>
      </c>
      <c r="H81" s="73">
        <v>8.771929824561403E-2</v>
      </c>
      <c r="I81" s="73">
        <v>8.9285714285714288E-2</v>
      </c>
      <c r="J81" s="73">
        <v>9.0909090909090912E-2</v>
      </c>
    </row>
    <row r="82" spans="1:10" x14ac:dyDescent="0.2">
      <c r="A82" s="56" t="s">
        <v>182</v>
      </c>
      <c r="B82" s="56" t="s">
        <v>53</v>
      </c>
      <c r="C82" s="48">
        <v>0.11552668449878996</v>
      </c>
      <c r="D82" s="48">
        <v>0.11435005629926186</v>
      </c>
      <c r="E82" s="48">
        <v>0.11119366022783556</v>
      </c>
      <c r="F82" s="48">
        <v>0.112605452989363</v>
      </c>
      <c r="G82" s="73">
        <v>0.10916923076923077</v>
      </c>
      <c r="H82" s="73">
        <v>0.11680427391937834</v>
      </c>
      <c r="I82" s="73">
        <v>0.12235009085402786</v>
      </c>
      <c r="J82" s="73">
        <v>0.11297635093738513</v>
      </c>
    </row>
    <row r="83" spans="1:10" x14ac:dyDescent="0.2">
      <c r="A83" s="56" t="s">
        <v>182</v>
      </c>
      <c r="B83" s="56" t="s">
        <v>74</v>
      </c>
      <c r="C83" s="48">
        <v>8.5106382978723402E-2</v>
      </c>
      <c r="D83" s="48">
        <v>9.4736842105263161E-2</v>
      </c>
      <c r="E83" s="48">
        <v>7.6923076923076927E-2</v>
      </c>
      <c r="F83" s="48">
        <v>7.5268817204301078E-2</v>
      </c>
      <c r="G83" s="73">
        <v>7.6086956521739135E-2</v>
      </c>
      <c r="H83" s="73">
        <v>7.8651685393258425E-2</v>
      </c>
      <c r="I83" s="73">
        <v>0.10989010989010989</v>
      </c>
      <c r="J83" s="73">
        <v>5.8139534883720929E-2</v>
      </c>
    </row>
    <row r="84" spans="1:10" x14ac:dyDescent="0.2">
      <c r="A84" s="56" t="s">
        <v>182</v>
      </c>
      <c r="B84" s="56" t="s">
        <v>75</v>
      </c>
      <c r="C84" s="48">
        <v>0.11139896373056994</v>
      </c>
      <c r="D84" s="48">
        <v>0.10789473684210527</v>
      </c>
      <c r="E84" s="48">
        <v>0.11968085106382979</v>
      </c>
      <c r="F84" s="48">
        <v>0.10215053763440861</v>
      </c>
      <c r="G84" s="73">
        <v>0.11413043478260869</v>
      </c>
      <c r="H84" s="73">
        <v>0.11173184357541899</v>
      </c>
      <c r="I84" s="73">
        <v>0.12605042016806722</v>
      </c>
      <c r="J84" s="73">
        <v>0.11176470588235295</v>
      </c>
    </row>
    <row r="85" spans="1:10" x14ac:dyDescent="0.2">
      <c r="A85" s="56" t="s">
        <v>182</v>
      </c>
      <c r="B85" s="56" t="s">
        <v>76</v>
      </c>
      <c r="C85" s="48">
        <v>7.4561403508771926E-2</v>
      </c>
      <c r="D85" s="48">
        <v>0.08</v>
      </c>
      <c r="E85" s="48">
        <v>5.8558558558558557E-2</v>
      </c>
      <c r="F85" s="48">
        <v>8.4821428571428575E-2</v>
      </c>
      <c r="G85" s="73">
        <v>6.1946902654867256E-2</v>
      </c>
      <c r="H85" s="73">
        <v>6.4377682403433473E-2</v>
      </c>
      <c r="I85" s="73">
        <v>7.9831932773109238E-2</v>
      </c>
      <c r="J85" s="73">
        <v>8.7866108786610872E-2</v>
      </c>
    </row>
    <row r="86" spans="1:10" x14ac:dyDescent="0.2">
      <c r="A86" s="56" t="s">
        <v>182</v>
      </c>
      <c r="B86" s="56" t="s">
        <v>77</v>
      </c>
      <c r="C86" s="48">
        <v>0.10196987253765932</v>
      </c>
      <c r="D86" s="48">
        <v>9.375E-2</v>
      </c>
      <c r="E86" s="48">
        <v>8.3916083916083919E-2</v>
      </c>
      <c r="F86" s="48">
        <v>8.8064889918887598E-2</v>
      </c>
      <c r="G86" s="73">
        <v>8.1775700934579434E-2</v>
      </c>
      <c r="H86" s="73">
        <v>8.5253456221198162E-2</v>
      </c>
      <c r="I86" s="73">
        <v>9.7926267281105997E-2</v>
      </c>
      <c r="J86" s="73">
        <v>8.8404133180252586E-2</v>
      </c>
    </row>
    <row r="87" spans="1:10" x14ac:dyDescent="0.2">
      <c r="A87" s="56" t="s">
        <v>182</v>
      </c>
      <c r="B87" s="56" t="s">
        <v>78</v>
      </c>
      <c r="C87" s="48">
        <v>9.7514340344168254E-2</v>
      </c>
      <c r="D87" s="48">
        <v>0.11509433962264151</v>
      </c>
      <c r="E87" s="48">
        <v>0.10803059273422562</v>
      </c>
      <c r="F87" s="48">
        <v>0.10650329877474081</v>
      </c>
      <c r="G87" s="73">
        <v>0.10351377018043685</v>
      </c>
      <c r="H87" s="73">
        <v>0.1224105461393597</v>
      </c>
      <c r="I87" s="73">
        <v>0.13127413127413126</v>
      </c>
      <c r="J87" s="73">
        <v>0.105</v>
      </c>
    </row>
    <row r="88" spans="1:10" x14ac:dyDescent="0.2">
      <c r="A88" s="56" t="s">
        <v>182</v>
      </c>
      <c r="B88" s="56" t="s">
        <v>79</v>
      </c>
      <c r="C88" s="48">
        <v>0.10204081632653061</v>
      </c>
      <c r="D88" s="48">
        <v>0.11336405529953918</v>
      </c>
      <c r="E88" s="48">
        <v>0.10879419764279238</v>
      </c>
      <c r="F88" s="48">
        <v>0.10931899641577061</v>
      </c>
      <c r="G88" s="73">
        <v>0.11902614968440037</v>
      </c>
      <c r="H88" s="73">
        <v>0.13004484304932734</v>
      </c>
      <c r="I88" s="73">
        <v>0.12477231329690346</v>
      </c>
      <c r="J88" s="73">
        <v>0.10379981464318813</v>
      </c>
    </row>
    <row r="89" spans="1:10" x14ac:dyDescent="0.2">
      <c r="A89" s="56" t="s">
        <v>182</v>
      </c>
      <c r="B89" s="56" t="s">
        <v>80</v>
      </c>
      <c r="C89" s="48">
        <v>7.4999999999999997E-2</v>
      </c>
      <c r="D89" s="48">
        <v>8.8607594936708861E-2</v>
      </c>
      <c r="E89" s="48">
        <v>6.4935064935064929E-2</v>
      </c>
      <c r="F89" s="48">
        <v>8.9743589743589744E-2</v>
      </c>
      <c r="G89" s="73">
        <v>5.2631578947368418E-2</v>
      </c>
      <c r="H89" s="73">
        <v>5.1948051948051951E-2</v>
      </c>
      <c r="I89" s="73">
        <v>8.7499999999999994E-2</v>
      </c>
      <c r="J89" s="73">
        <v>7.4999999999999997E-2</v>
      </c>
    </row>
    <row r="90" spans="1:10" x14ac:dyDescent="0.2">
      <c r="A90" s="56" t="s">
        <v>182</v>
      </c>
      <c r="B90" s="56" t="s">
        <v>81</v>
      </c>
      <c r="C90" s="48">
        <v>0.10659000442282177</v>
      </c>
      <c r="D90" s="48">
        <v>0.11484716157205241</v>
      </c>
      <c r="E90" s="48">
        <v>0.11067877215737137</v>
      </c>
      <c r="F90" s="48">
        <v>0.11007224819379516</v>
      </c>
      <c r="G90" s="73">
        <v>0.11210954214805306</v>
      </c>
      <c r="H90" s="73">
        <v>0.11868686868686869</v>
      </c>
      <c r="I90" s="73">
        <v>0.12447611064543168</v>
      </c>
      <c r="J90" s="73">
        <v>0.11186440677966102</v>
      </c>
    </row>
    <row r="91" spans="1:10" x14ac:dyDescent="0.2">
      <c r="A91" s="56" t="s">
        <v>182</v>
      </c>
      <c r="B91" s="56" t="s">
        <v>82</v>
      </c>
      <c r="C91" s="48">
        <v>7.1428571428571425E-2</v>
      </c>
      <c r="D91" s="48">
        <v>4.8192771084337352E-2</v>
      </c>
      <c r="E91" s="48">
        <v>5.7471264367816091E-2</v>
      </c>
      <c r="F91" s="48">
        <v>6.741573033707865E-2</v>
      </c>
      <c r="G91" s="73">
        <v>6.9767441860465115E-2</v>
      </c>
      <c r="H91" s="73">
        <v>4.4444444444444446E-2</v>
      </c>
      <c r="I91" s="73">
        <v>4.3478260869565216E-2</v>
      </c>
      <c r="J91" s="73">
        <v>7.2164948453608241E-2</v>
      </c>
    </row>
    <row r="92" spans="1:10" x14ac:dyDescent="0.2">
      <c r="A92" s="56" t="s">
        <v>182</v>
      </c>
      <c r="B92" s="56" t="s">
        <v>83</v>
      </c>
      <c r="C92" s="48">
        <v>9.1954022988505746E-2</v>
      </c>
      <c r="D92" s="48">
        <v>7.2289156626506021E-2</v>
      </c>
      <c r="E92" s="48">
        <v>5.8823529411764705E-2</v>
      </c>
      <c r="F92" s="48">
        <v>7.1428571428571425E-2</v>
      </c>
      <c r="G92" s="73">
        <v>7.407407407407407E-2</v>
      </c>
      <c r="H92" s="73">
        <v>6.097560975609756E-2</v>
      </c>
      <c r="I92" s="73">
        <v>5.8823529411764705E-2</v>
      </c>
      <c r="J92" s="73">
        <v>5.8823529411764705E-2</v>
      </c>
    </row>
    <row r="93" spans="1:10" x14ac:dyDescent="0.2">
      <c r="A93" s="56" t="s">
        <v>182</v>
      </c>
      <c r="B93" s="56" t="s">
        <v>84</v>
      </c>
      <c r="C93" s="48">
        <v>6.6666666666666666E-2</v>
      </c>
      <c r="D93" s="48">
        <v>8.5526315789473686E-2</v>
      </c>
      <c r="E93" s="48">
        <v>6.0402684563758392E-2</v>
      </c>
      <c r="F93" s="48">
        <v>6.5789473684210523E-2</v>
      </c>
      <c r="G93" s="73">
        <v>5.8823529411764705E-2</v>
      </c>
      <c r="H93" s="73">
        <v>6.2893081761006289E-2</v>
      </c>
      <c r="I93" s="73">
        <v>9.202453987730061E-2</v>
      </c>
      <c r="J93" s="73">
        <v>6.9182389937106917E-2</v>
      </c>
    </row>
    <row r="94" spans="1:10" x14ac:dyDescent="0.2">
      <c r="A94" s="56" t="s">
        <v>182</v>
      </c>
      <c r="B94" s="56" t="s">
        <v>15</v>
      </c>
      <c r="C94" s="48">
        <v>6.8571428571428575E-2</v>
      </c>
      <c r="D94" s="48">
        <v>6.1452513966480445E-2</v>
      </c>
      <c r="E94" s="48">
        <v>0.05</v>
      </c>
      <c r="F94" s="48">
        <v>7.2222222222222215E-2</v>
      </c>
      <c r="G94" s="73">
        <v>7.3863636363636367E-2</v>
      </c>
      <c r="H94" s="73">
        <v>5.7471264367816091E-2</v>
      </c>
      <c r="I94" s="73">
        <v>4.5714285714285714E-2</v>
      </c>
      <c r="J94" s="73">
        <v>5.0561797752808987E-2</v>
      </c>
    </row>
    <row r="95" spans="1:10" x14ac:dyDescent="0.2">
      <c r="A95" s="56" t="s">
        <v>182</v>
      </c>
      <c r="B95" s="56" t="s">
        <v>85</v>
      </c>
      <c r="C95" s="48">
        <v>7.9646017699115043E-2</v>
      </c>
      <c r="D95" s="48">
        <v>8.5339168490153175E-2</v>
      </c>
      <c r="E95" s="48">
        <v>7.5991189427312769E-2</v>
      </c>
      <c r="F95" s="48">
        <v>8.7527352297592995E-2</v>
      </c>
      <c r="G95" s="73">
        <v>7.6411960132890366E-2</v>
      </c>
      <c r="H95" s="73">
        <v>9.0909090909090912E-2</v>
      </c>
      <c r="I95" s="73">
        <v>8.7852494577006501E-2</v>
      </c>
      <c r="J95" s="73">
        <v>8.5963003264417845E-2</v>
      </c>
    </row>
    <row r="96" spans="1:10" x14ac:dyDescent="0.2">
      <c r="A96" s="56" t="s">
        <v>182</v>
      </c>
      <c r="B96" s="56" t="s">
        <v>86</v>
      </c>
      <c r="C96" s="48">
        <v>9.3103448275862075E-2</v>
      </c>
      <c r="D96" s="48">
        <v>9.154929577464789E-2</v>
      </c>
      <c r="E96" s="48">
        <v>8.8652482269503549E-2</v>
      </c>
      <c r="F96" s="48">
        <v>9.9290780141843976E-2</v>
      </c>
      <c r="G96" s="73">
        <v>9.1240875912408759E-2</v>
      </c>
      <c r="H96" s="73">
        <v>0.10037174721189591</v>
      </c>
      <c r="I96" s="73">
        <v>9.6899224806201556E-2</v>
      </c>
      <c r="J96" s="73">
        <v>8.0321285140562249E-2</v>
      </c>
    </row>
    <row r="97" spans="1:10" x14ac:dyDescent="0.2">
      <c r="A97" s="56" t="s">
        <v>182</v>
      </c>
      <c r="B97" s="56" t="s">
        <v>87</v>
      </c>
      <c r="C97" s="48">
        <v>6.8965517241379309E-2</v>
      </c>
      <c r="D97" s="48">
        <v>8.1632653061224483E-2</v>
      </c>
      <c r="E97" s="48">
        <v>7.586206896551724E-2</v>
      </c>
      <c r="F97" s="48">
        <v>6.25E-2</v>
      </c>
      <c r="G97" s="73">
        <v>7.4324324324324328E-2</v>
      </c>
      <c r="H97" s="73">
        <v>5.4054054054054057E-2</v>
      </c>
      <c r="I97" s="73">
        <v>8.4415584415584416E-2</v>
      </c>
      <c r="J97" s="73">
        <v>6.9620253164556958E-2</v>
      </c>
    </row>
    <row r="98" spans="1:10" x14ac:dyDescent="0.2">
      <c r="A98" s="56" t="s">
        <v>182</v>
      </c>
      <c r="B98" s="56" t="s">
        <v>88</v>
      </c>
      <c r="C98" s="48">
        <v>6.9767441860465115E-2</v>
      </c>
      <c r="D98" s="48">
        <v>9.3023255813953487E-2</v>
      </c>
      <c r="E98" s="48">
        <v>7.1428571428571425E-2</v>
      </c>
      <c r="F98" s="48">
        <v>6.741573033707865E-2</v>
      </c>
      <c r="G98" s="73">
        <v>7.9545454545454544E-2</v>
      </c>
      <c r="H98" s="73">
        <v>4.5977011494252873E-2</v>
      </c>
      <c r="I98" s="73">
        <v>8.7912087912087919E-2</v>
      </c>
      <c r="J98" s="73">
        <v>6.3829787234042548E-2</v>
      </c>
    </row>
    <row r="99" spans="1:10" x14ac:dyDescent="0.2">
      <c r="A99" s="56" t="s">
        <v>182</v>
      </c>
      <c r="B99" s="56" t="s">
        <v>18</v>
      </c>
      <c r="C99" s="48">
        <v>6.8783068783068779E-2</v>
      </c>
      <c r="D99" s="48">
        <v>8.4210526315789472E-2</v>
      </c>
      <c r="E99" s="48">
        <v>6.9518716577540107E-2</v>
      </c>
      <c r="F99" s="48">
        <v>8.0645161290322578E-2</v>
      </c>
      <c r="G99" s="73">
        <v>6.5573770491803282E-2</v>
      </c>
      <c r="H99" s="73">
        <v>4.8128342245989303E-2</v>
      </c>
      <c r="I99" s="73">
        <v>6.7708333333333329E-2</v>
      </c>
      <c r="J99" s="73">
        <v>6.2827225130890049E-2</v>
      </c>
    </row>
    <row r="100" spans="1:10" x14ac:dyDescent="0.2">
      <c r="A100" s="56" t="s">
        <v>182</v>
      </c>
      <c r="B100" s="56" t="s">
        <v>89</v>
      </c>
      <c r="C100" s="48">
        <v>8.6956521739130432E-2</v>
      </c>
      <c r="D100" s="48">
        <v>9.9415204678362568E-2</v>
      </c>
      <c r="E100" s="48">
        <v>8.6053412462908013E-2</v>
      </c>
      <c r="F100" s="48">
        <v>8.9855072463768115E-2</v>
      </c>
      <c r="G100" s="73">
        <v>6.8656716417910449E-2</v>
      </c>
      <c r="H100" s="73">
        <v>6.8047337278106509E-2</v>
      </c>
      <c r="I100" s="73">
        <v>9.0379008746355682E-2</v>
      </c>
      <c r="J100" s="73">
        <v>8.2595870206489674E-2</v>
      </c>
    </row>
    <row r="101" spans="1:10" x14ac:dyDescent="0.2">
      <c r="A101" s="56" t="s">
        <v>182</v>
      </c>
      <c r="B101" s="56" t="s">
        <v>90</v>
      </c>
      <c r="C101" s="48">
        <v>6.3157894736842107E-2</v>
      </c>
      <c r="D101" s="48">
        <v>0.10416666666666667</v>
      </c>
      <c r="E101" s="48">
        <v>6.5217391304347824E-2</v>
      </c>
      <c r="F101" s="48">
        <v>9.7826086956521743E-2</v>
      </c>
      <c r="G101" s="73">
        <v>6.8965517241379309E-2</v>
      </c>
      <c r="H101" s="73">
        <v>7.9545454545454544E-2</v>
      </c>
      <c r="I101" s="73">
        <v>9.1954022988505746E-2</v>
      </c>
      <c r="J101" s="73">
        <v>9.4117647058823528E-2</v>
      </c>
    </row>
    <row r="102" spans="1:10" x14ac:dyDescent="0.2">
      <c r="A102" s="56" t="s">
        <v>182</v>
      </c>
      <c r="B102" s="56" t="s">
        <v>91</v>
      </c>
      <c r="C102" s="48">
        <v>9.4827586206896547E-2</v>
      </c>
      <c r="D102" s="48">
        <v>8.6956521739130432E-2</v>
      </c>
      <c r="E102" s="48">
        <v>7.9646017699115043E-2</v>
      </c>
      <c r="F102" s="48">
        <v>8.8495575221238937E-2</v>
      </c>
      <c r="G102" s="73">
        <v>8.2568807339449546E-2</v>
      </c>
      <c r="H102" s="73">
        <v>0.10476190476190476</v>
      </c>
      <c r="I102" s="73">
        <v>0.1111111111111111</v>
      </c>
      <c r="J102" s="73">
        <v>7.5268817204301078E-2</v>
      </c>
    </row>
    <row r="103" spans="1:10" x14ac:dyDescent="0.2">
      <c r="A103" s="56" t="s">
        <v>182</v>
      </c>
      <c r="B103" s="56" t="s">
        <v>92</v>
      </c>
      <c r="C103" s="48">
        <v>7.4626865671641784E-2</v>
      </c>
      <c r="D103" s="48">
        <v>0.09</v>
      </c>
      <c r="E103" s="48">
        <v>5.9701492537313432E-2</v>
      </c>
      <c r="F103" s="48">
        <v>8.8235294117647065E-2</v>
      </c>
      <c r="G103" s="73">
        <v>8.0808080808080815E-2</v>
      </c>
      <c r="H103" s="73">
        <v>6.965174129353234E-2</v>
      </c>
      <c r="I103" s="73">
        <v>8.9552238805970144E-2</v>
      </c>
      <c r="J103" s="73">
        <v>8.1218274111675121E-2</v>
      </c>
    </row>
    <row r="104" spans="1:10" x14ac:dyDescent="0.2">
      <c r="A104" s="56" t="s">
        <v>182</v>
      </c>
      <c r="B104" s="56" t="s">
        <v>93</v>
      </c>
      <c r="C104" s="48">
        <v>6.9767441860465115E-2</v>
      </c>
      <c r="D104" s="48">
        <v>7.0588235294117646E-2</v>
      </c>
      <c r="E104" s="48">
        <v>4.7619047619047616E-2</v>
      </c>
      <c r="F104" s="48">
        <v>8.1395348837209308E-2</v>
      </c>
      <c r="G104" s="73">
        <v>6.097560975609756E-2</v>
      </c>
      <c r="H104" s="73">
        <v>3.614457831325301E-2</v>
      </c>
      <c r="I104" s="73">
        <v>5.9523809523809521E-2</v>
      </c>
      <c r="J104" s="73">
        <v>6.8965517241379309E-2</v>
      </c>
    </row>
    <row r="105" spans="1:10" x14ac:dyDescent="0.2">
      <c r="A105" s="56" t="s">
        <v>182</v>
      </c>
      <c r="B105" s="56" t="s">
        <v>94</v>
      </c>
      <c r="C105" s="48">
        <v>7.3684210526315783E-2</v>
      </c>
      <c r="D105" s="48">
        <v>8.8082901554404139E-2</v>
      </c>
      <c r="E105" s="48">
        <v>8.4210526315789472E-2</v>
      </c>
      <c r="F105" s="48">
        <v>8.0645161290322578E-2</v>
      </c>
      <c r="G105" s="73">
        <v>6.0109289617486336E-2</v>
      </c>
      <c r="H105" s="73">
        <v>4.9450549450549448E-2</v>
      </c>
      <c r="I105" s="73">
        <v>7.4468085106382975E-2</v>
      </c>
      <c r="J105" s="73">
        <v>6.9518716577540107E-2</v>
      </c>
    </row>
    <row r="106" spans="1:10" x14ac:dyDescent="0.2">
      <c r="A106" s="56" t="s">
        <v>182</v>
      </c>
      <c r="B106" s="56" t="s">
        <v>95</v>
      </c>
      <c r="C106" s="48">
        <v>9.0909090909090912E-2</v>
      </c>
      <c r="D106" s="48">
        <v>0.10416666666666667</v>
      </c>
      <c r="E106" s="48">
        <v>7.4468085106382975E-2</v>
      </c>
      <c r="F106" s="48">
        <v>9.4736842105263161E-2</v>
      </c>
      <c r="G106" s="73">
        <v>6.741573033707865E-2</v>
      </c>
      <c r="H106" s="73">
        <v>8.7912087912087919E-2</v>
      </c>
      <c r="I106" s="73">
        <v>0.1111111111111111</v>
      </c>
      <c r="J106" s="73">
        <v>9.4117647058823528E-2</v>
      </c>
    </row>
    <row r="107" spans="1:10" ht="27" customHeight="1" x14ac:dyDescent="0.2">
      <c r="A107" s="57" t="s">
        <v>183</v>
      </c>
      <c r="B107" s="42" t="s">
        <v>112</v>
      </c>
      <c r="C107" s="48">
        <v>7.7738515901060068E-2</v>
      </c>
      <c r="D107" s="48">
        <v>8.5409252669039148E-2</v>
      </c>
      <c r="E107" s="48">
        <v>7.4007220216606495E-2</v>
      </c>
      <c r="F107" s="48">
        <v>7.719928186714542E-2</v>
      </c>
      <c r="G107" s="73">
        <v>6.1930783242258654E-2</v>
      </c>
      <c r="H107" s="73">
        <v>6.1511423550087874E-2</v>
      </c>
      <c r="I107" s="73">
        <v>7.5471698113207544E-2</v>
      </c>
      <c r="J107" s="73">
        <v>7.8632478632478631E-2</v>
      </c>
    </row>
    <row r="108" spans="1:10" x14ac:dyDescent="0.2">
      <c r="A108" s="56" t="s">
        <v>183</v>
      </c>
      <c r="B108" s="42" t="s">
        <v>113</v>
      </c>
      <c r="C108" s="48">
        <v>9.2814371257485026E-2</v>
      </c>
      <c r="D108" s="48">
        <v>9.696969696969697E-2</v>
      </c>
      <c r="E108" s="48">
        <v>7.1651090342679122E-2</v>
      </c>
      <c r="F108" s="48">
        <v>8.615384615384615E-2</v>
      </c>
      <c r="G108" s="73">
        <v>7.3482428115015971E-2</v>
      </c>
      <c r="H108" s="73">
        <v>8.7662337662337664E-2</v>
      </c>
      <c r="I108" s="73">
        <v>0.10891089108910891</v>
      </c>
      <c r="J108" s="73">
        <v>7.9584775086505188E-2</v>
      </c>
    </row>
    <row r="109" spans="1:10" x14ac:dyDescent="0.2">
      <c r="A109" s="56" t="s">
        <v>183</v>
      </c>
      <c r="B109" s="42" t="s">
        <v>114</v>
      </c>
      <c r="C109" s="48">
        <v>0.10243492863140219</v>
      </c>
      <c r="D109" s="48">
        <v>9.6446700507614211E-2</v>
      </c>
      <c r="E109" s="48">
        <v>8.6956521739130432E-2</v>
      </c>
      <c r="F109" s="48">
        <v>9.1983122362869194E-2</v>
      </c>
      <c r="G109" s="73">
        <v>8.4183673469387751E-2</v>
      </c>
      <c r="H109" s="73">
        <v>9.375E-2</v>
      </c>
      <c r="I109" s="73">
        <v>0.10034305317324185</v>
      </c>
      <c r="J109" s="73">
        <v>8.8184931506849321E-2</v>
      </c>
    </row>
    <row r="110" spans="1:10" x14ac:dyDescent="0.2">
      <c r="A110" s="56" t="s">
        <v>183</v>
      </c>
      <c r="B110" s="42" t="s">
        <v>115</v>
      </c>
      <c r="C110" s="48">
        <v>6.5616797900262466E-2</v>
      </c>
      <c r="D110" s="48">
        <v>7.4742268041237112E-2</v>
      </c>
      <c r="E110" s="48">
        <v>6.4935064935064929E-2</v>
      </c>
      <c r="F110" s="48">
        <v>7.3979591836734693E-2</v>
      </c>
      <c r="G110" s="73">
        <v>6.7708333333333329E-2</v>
      </c>
      <c r="H110" s="73">
        <v>5.3435114503816793E-2</v>
      </c>
      <c r="I110" s="73">
        <v>7.5794621026894868E-2</v>
      </c>
      <c r="J110" s="73">
        <v>6.7146282973621102E-2</v>
      </c>
    </row>
    <row r="111" spans="1:10" x14ac:dyDescent="0.2">
      <c r="A111" s="56" t="s">
        <v>183</v>
      </c>
      <c r="B111" s="42" t="s">
        <v>13</v>
      </c>
      <c r="C111" s="48">
        <v>9.5406360424028266E-2</v>
      </c>
      <c r="D111" s="48">
        <v>9.6660808435852369E-2</v>
      </c>
      <c r="E111" s="48">
        <v>8.5664335664335664E-2</v>
      </c>
      <c r="F111" s="48">
        <v>8.3769633507853408E-2</v>
      </c>
      <c r="G111" s="73">
        <v>9.0586145648312605E-2</v>
      </c>
      <c r="H111" s="73">
        <v>9.1397849462365593E-2</v>
      </c>
      <c r="I111" s="73">
        <v>9.5667870036101083E-2</v>
      </c>
      <c r="J111" s="73">
        <v>9.5840867992766726E-2</v>
      </c>
    </row>
    <row r="112" spans="1:10" x14ac:dyDescent="0.2">
      <c r="A112" s="56" t="s">
        <v>183</v>
      </c>
      <c r="B112" s="42" t="s">
        <v>116</v>
      </c>
      <c r="C112" s="48">
        <v>6.8571428571428575E-2</v>
      </c>
      <c r="D112" s="48">
        <v>6.1797752808988762E-2</v>
      </c>
      <c r="E112" s="48">
        <v>0.05</v>
      </c>
      <c r="F112" s="48">
        <v>7.2222222222222215E-2</v>
      </c>
      <c r="G112" s="73">
        <v>7.3863636363636367E-2</v>
      </c>
      <c r="H112" s="73">
        <v>5.7471264367816091E-2</v>
      </c>
      <c r="I112" s="73">
        <v>4.5714285714285714E-2</v>
      </c>
      <c r="J112" s="73">
        <v>5.0561797752808987E-2</v>
      </c>
    </row>
    <row r="113" spans="1:10" x14ac:dyDescent="0.2">
      <c r="A113" s="56" t="s">
        <v>183</v>
      </c>
      <c r="B113" s="42" t="s">
        <v>117</v>
      </c>
      <c r="C113" s="48">
        <v>7.3684210526315783E-2</v>
      </c>
      <c r="D113" s="48">
        <v>8.8082901554404139E-2</v>
      </c>
      <c r="E113" s="48">
        <v>8.4210526315789472E-2</v>
      </c>
      <c r="F113" s="48">
        <v>8.0645161290322578E-2</v>
      </c>
      <c r="G113" s="73">
        <v>6.0109289617486336E-2</v>
      </c>
      <c r="H113" s="73">
        <v>4.9450549450549448E-2</v>
      </c>
      <c r="I113" s="73">
        <v>7.4468085106382975E-2</v>
      </c>
      <c r="J113" s="73">
        <v>6.9518716577540107E-2</v>
      </c>
    </row>
    <row r="114" spans="1:10" x14ac:dyDescent="0.2">
      <c r="A114" s="56" t="s">
        <v>183</v>
      </c>
      <c r="B114" s="42" t="s">
        <v>118</v>
      </c>
      <c r="C114" s="48">
        <v>6.8783068783068779E-2</v>
      </c>
      <c r="D114" s="48">
        <v>8.4210526315789472E-2</v>
      </c>
      <c r="E114" s="48">
        <v>6.9518716577540107E-2</v>
      </c>
      <c r="F114" s="48">
        <v>8.0645161290322578E-2</v>
      </c>
      <c r="G114" s="73">
        <v>6.5573770491803282E-2</v>
      </c>
      <c r="H114" s="73">
        <v>4.8128342245989303E-2</v>
      </c>
      <c r="I114" s="73">
        <v>6.8062827225130892E-2</v>
      </c>
      <c r="J114" s="73">
        <v>6.2827225130890049E-2</v>
      </c>
    </row>
    <row r="115" spans="1:10" x14ac:dyDescent="0.2">
      <c r="A115" s="56" t="s">
        <v>183</v>
      </c>
      <c r="B115" s="42" t="s">
        <v>184</v>
      </c>
      <c r="C115" s="73">
        <v>8.7694877505567925E-2</v>
      </c>
      <c r="D115" s="73">
        <v>8.964365256124722E-2</v>
      </c>
      <c r="E115" s="73">
        <v>7.8046041549691178E-2</v>
      </c>
      <c r="F115" s="73">
        <v>8.3705357142857137E-2</v>
      </c>
      <c r="G115" s="73">
        <v>7.6268783668840379E-2</v>
      </c>
      <c r="H115" s="73">
        <v>7.6793248945147677E-2</v>
      </c>
      <c r="I115" s="73">
        <v>8.7699635752311572E-2</v>
      </c>
      <c r="J115" s="73">
        <v>8.04372197309417E-2</v>
      </c>
    </row>
    <row r="116" spans="1:10" ht="28.5" customHeight="1" x14ac:dyDescent="0.2">
      <c r="A116" s="57" t="s">
        <v>185</v>
      </c>
      <c r="B116" s="57" t="s">
        <v>111</v>
      </c>
      <c r="C116" s="48">
        <v>0.10270270270270271</v>
      </c>
      <c r="D116" s="48">
        <v>0.1134020618556701</v>
      </c>
      <c r="E116" s="48">
        <v>0.11282051282051282</v>
      </c>
      <c r="F116" s="48">
        <v>0.11386138613861387</v>
      </c>
      <c r="G116" s="73">
        <v>0.10194174757281553</v>
      </c>
      <c r="H116" s="73">
        <v>0.10043668122270742</v>
      </c>
      <c r="I116" s="73">
        <v>0.11203319502074689</v>
      </c>
      <c r="J116" s="73">
        <v>0.13709677419354838</v>
      </c>
    </row>
    <row r="117" spans="1:10" x14ac:dyDescent="0.2">
      <c r="A117" s="57" t="s">
        <v>185</v>
      </c>
      <c r="B117" s="42" t="s">
        <v>186</v>
      </c>
      <c r="C117" s="73">
        <v>0.13736468831653603</v>
      </c>
      <c r="D117" s="73">
        <v>0.1033457249070632</v>
      </c>
      <c r="E117" s="73">
        <v>9.5690284879474063E-2</v>
      </c>
      <c r="F117" s="73">
        <v>0.10185873605947955</v>
      </c>
      <c r="G117" s="73">
        <v>0.1004121393780442</v>
      </c>
      <c r="H117" s="73">
        <v>9.6546602302265139E-2</v>
      </c>
      <c r="I117" s="73">
        <v>0.10344827586206896</v>
      </c>
      <c r="J117" s="73">
        <v>0.10070344316919659</v>
      </c>
    </row>
    <row r="118" spans="1:10" x14ac:dyDescent="0.2">
      <c r="A118" s="57" t="s">
        <v>185</v>
      </c>
      <c r="B118" s="42" t="s">
        <v>151</v>
      </c>
      <c r="C118" s="73">
        <v>0.12476760999793431</v>
      </c>
      <c r="D118" s="73">
        <v>0.10997755560089778</v>
      </c>
      <c r="E118" s="73">
        <v>0.10755057079911877</v>
      </c>
      <c r="F118" s="73">
        <v>0.1085671500630517</v>
      </c>
      <c r="G118" s="73">
        <v>0.10722057368941643</v>
      </c>
      <c r="H118" s="73">
        <v>0.11295681063122924</v>
      </c>
      <c r="I118" s="73">
        <v>0.11661807580174927</v>
      </c>
      <c r="J118" s="73">
        <v>0.11069894572432644</v>
      </c>
    </row>
    <row r="119" spans="1:10" ht="36" customHeight="1" x14ac:dyDescent="0.2">
      <c r="A119" s="106" t="s">
        <v>270</v>
      </c>
      <c r="B119" s="107" t="s">
        <v>271</v>
      </c>
      <c r="C119" s="150">
        <v>6.5217391304347824E-2</v>
      </c>
      <c r="D119" s="150">
        <v>5.4945054945054944E-2</v>
      </c>
      <c r="E119" s="150">
        <v>5.3191489361702128E-2</v>
      </c>
      <c r="F119" s="150">
        <v>7.2916666666666671E-2</v>
      </c>
      <c r="G119" s="150">
        <v>6.4516129032258063E-2</v>
      </c>
      <c r="H119" s="73">
        <v>5.0505050505050504E-2</v>
      </c>
      <c r="I119" s="73">
        <v>0.04</v>
      </c>
      <c r="J119" s="73">
        <v>7.5471698113207544E-2</v>
      </c>
    </row>
    <row r="120" spans="1:10" x14ac:dyDescent="0.2">
      <c r="A120" s="106" t="s">
        <v>270</v>
      </c>
      <c r="B120" s="107" t="s">
        <v>272</v>
      </c>
      <c r="C120" s="150">
        <v>8.247422680412371E-2</v>
      </c>
      <c r="D120" s="150">
        <v>9.375E-2</v>
      </c>
      <c r="E120" s="150">
        <v>7.6086956521739135E-2</v>
      </c>
      <c r="F120" s="150">
        <v>8.6021505376344093E-2</v>
      </c>
      <c r="G120" s="150">
        <v>5.4945054945054944E-2</v>
      </c>
      <c r="H120" s="73">
        <v>6.1855670103092786E-2</v>
      </c>
      <c r="I120" s="73">
        <v>9.9009900990099015E-2</v>
      </c>
      <c r="J120" s="73">
        <v>7.9207920792079209E-2</v>
      </c>
    </row>
    <row r="121" spans="1:10" x14ac:dyDescent="0.2">
      <c r="A121" s="106" t="s">
        <v>270</v>
      </c>
      <c r="B121" s="107" t="s">
        <v>273</v>
      </c>
      <c r="C121" s="150">
        <v>7.8260869565217397E-2</v>
      </c>
      <c r="D121" s="150">
        <v>7.8260869565217397E-2</v>
      </c>
      <c r="E121" s="150">
        <v>7.8947368421052627E-2</v>
      </c>
      <c r="F121" s="150">
        <v>6.7796610169491525E-2</v>
      </c>
      <c r="G121" s="150">
        <v>8.6956521739130432E-2</v>
      </c>
      <c r="H121" s="73">
        <v>6.0344827586206899E-2</v>
      </c>
      <c r="I121" s="73">
        <v>8.1967213114754092E-2</v>
      </c>
      <c r="J121" s="73">
        <v>6.4000000000000001E-2</v>
      </c>
    </row>
    <row r="122" spans="1:10" x14ac:dyDescent="0.2">
      <c r="A122" s="106" t="s">
        <v>270</v>
      </c>
      <c r="B122" s="107" t="s">
        <v>274</v>
      </c>
      <c r="C122" s="150">
        <v>7.3825503355704702E-2</v>
      </c>
      <c r="D122" s="150">
        <v>9.2105263157894732E-2</v>
      </c>
      <c r="E122" s="150">
        <v>8.7248322147651006E-2</v>
      </c>
      <c r="F122" s="150">
        <v>7.4829931972789115E-2</v>
      </c>
      <c r="G122" s="150">
        <v>6.8965517241379309E-2</v>
      </c>
      <c r="H122" s="73">
        <v>5.6338028169014086E-2</v>
      </c>
      <c r="I122" s="73">
        <v>8.2191780821917804E-2</v>
      </c>
      <c r="J122" s="73">
        <v>7.5342465753424653E-2</v>
      </c>
    </row>
    <row r="123" spans="1:10" x14ac:dyDescent="0.2">
      <c r="A123" s="106" t="s">
        <v>270</v>
      </c>
      <c r="B123" s="107" t="s">
        <v>275</v>
      </c>
      <c r="C123" s="150">
        <v>0.06</v>
      </c>
      <c r="D123" s="150">
        <v>5.844155844155844E-2</v>
      </c>
      <c r="E123" s="150">
        <v>5.128205128205128E-2</v>
      </c>
      <c r="F123" s="150">
        <v>7.0063694267515922E-2</v>
      </c>
      <c r="G123" s="150">
        <v>7.792207792207792E-2</v>
      </c>
      <c r="H123" s="73">
        <v>5.3333333333333337E-2</v>
      </c>
      <c r="I123" s="73">
        <v>4.6357615894039736E-2</v>
      </c>
      <c r="J123" s="73">
        <v>5.1948051948051951E-2</v>
      </c>
    </row>
    <row r="124" spans="1:10" x14ac:dyDescent="0.2">
      <c r="A124" s="106" t="s">
        <v>270</v>
      </c>
      <c r="B124" s="107" t="s">
        <v>276</v>
      </c>
      <c r="C124" s="150">
        <v>0.12</v>
      </c>
      <c r="D124" s="150">
        <v>0.08</v>
      </c>
      <c r="E124" s="150">
        <v>4.1666666666666664E-2</v>
      </c>
      <c r="F124" s="150">
        <v>8.3333333333333329E-2</v>
      </c>
      <c r="G124" s="150">
        <v>4.5454545454545456E-2</v>
      </c>
      <c r="H124" s="73">
        <v>4.1666666666666664E-2</v>
      </c>
      <c r="I124" s="73">
        <v>8.3333333333333329E-2</v>
      </c>
      <c r="J124" s="73">
        <v>4.1666666666666664E-2</v>
      </c>
    </row>
    <row r="125" spans="1:10" x14ac:dyDescent="0.2">
      <c r="A125" s="106" t="s">
        <v>270</v>
      </c>
      <c r="B125" s="107" t="s">
        <v>277</v>
      </c>
      <c r="C125" s="150">
        <v>6.4327485380116955E-2</v>
      </c>
      <c r="D125" s="150">
        <v>8.6705202312138727E-2</v>
      </c>
      <c r="E125" s="150">
        <v>7.6023391812865493E-2</v>
      </c>
      <c r="F125" s="150">
        <v>8.2840236686390539E-2</v>
      </c>
      <c r="G125" s="150">
        <v>7.1856287425149698E-2</v>
      </c>
      <c r="H125" s="73">
        <v>4.7058823529411764E-2</v>
      </c>
      <c r="I125" s="73">
        <v>6.8571428571428575E-2</v>
      </c>
      <c r="J125" s="73">
        <v>6.3218390804597707E-2</v>
      </c>
    </row>
    <row r="126" spans="1:10" x14ac:dyDescent="0.2">
      <c r="A126" s="106" t="s">
        <v>270</v>
      </c>
      <c r="B126" s="107" t="s">
        <v>278</v>
      </c>
      <c r="C126" s="150">
        <v>0.11764705882352941</v>
      </c>
      <c r="D126" s="150">
        <v>5.8823529411764705E-2</v>
      </c>
      <c r="E126" s="150">
        <v>5.8823529411764705E-2</v>
      </c>
      <c r="F126" s="150">
        <v>5.8823529411764705E-2</v>
      </c>
      <c r="G126" s="150">
        <v>0</v>
      </c>
      <c r="H126" s="73">
        <v>5.8823529411764705E-2</v>
      </c>
      <c r="I126" s="73">
        <v>5.8823529411764705E-2</v>
      </c>
      <c r="J126" s="73">
        <v>6.25E-2</v>
      </c>
    </row>
    <row r="127" spans="1:10" x14ac:dyDescent="0.2">
      <c r="A127" s="106" t="s">
        <v>270</v>
      </c>
      <c r="B127" s="107" t="s">
        <v>279</v>
      </c>
      <c r="C127" s="150">
        <v>7.3170731707317069E-2</v>
      </c>
      <c r="D127" s="150">
        <v>7.3170731707317069E-2</v>
      </c>
      <c r="E127" s="150">
        <v>7.3170731707317069E-2</v>
      </c>
      <c r="F127" s="150">
        <v>0.10256410256410256</v>
      </c>
      <c r="G127" s="150">
        <v>2.6315789473684209E-2</v>
      </c>
      <c r="H127" s="73">
        <v>2.564102564102564E-2</v>
      </c>
      <c r="I127" s="73">
        <v>4.878048780487805E-2</v>
      </c>
      <c r="J127" s="73">
        <v>4.878048780487805E-2</v>
      </c>
    </row>
    <row r="128" spans="1:10" ht="35.1" customHeight="1" x14ac:dyDescent="0.2">
      <c r="A128" s="147" t="s">
        <v>263</v>
      </c>
      <c r="B128" s="148" t="s">
        <v>280</v>
      </c>
      <c r="C128" s="150">
        <v>0.10809018567639257</v>
      </c>
      <c r="D128" s="150">
        <v>0.12024353120243531</v>
      </c>
      <c r="E128" s="150">
        <v>0.11703735694234507</v>
      </c>
      <c r="F128" s="150">
        <v>0.11490617752477335</v>
      </c>
      <c r="G128" s="150">
        <v>0.10672853828306264</v>
      </c>
      <c r="H128" s="73">
        <v>0.11968794908642989</v>
      </c>
      <c r="I128" s="73">
        <v>0.13127807268272765</v>
      </c>
      <c r="J128" s="73">
        <v>0.12159634171689877</v>
      </c>
    </row>
    <row r="129" spans="1:10" x14ac:dyDescent="0.2">
      <c r="A129" s="147" t="s">
        <v>263</v>
      </c>
      <c r="B129" s="148" t="s">
        <v>264</v>
      </c>
      <c r="C129" s="150">
        <v>0.10389836407935955</v>
      </c>
      <c r="D129" s="150">
        <v>0.11067125645438898</v>
      </c>
      <c r="E129" s="150">
        <v>0.10521828103683492</v>
      </c>
      <c r="F129" s="150">
        <v>0.1066066066066066</v>
      </c>
      <c r="G129" s="150">
        <v>0.10421919650361405</v>
      </c>
      <c r="H129" s="73">
        <v>0.10988827747206936</v>
      </c>
      <c r="I129" s="73">
        <v>0.11699816145746281</v>
      </c>
      <c r="J129" s="73">
        <v>0.11131725417439703</v>
      </c>
    </row>
    <row r="130" spans="1:10" x14ac:dyDescent="0.2">
      <c r="A130" s="147" t="s">
        <v>263</v>
      </c>
      <c r="B130" s="148" t="s">
        <v>265</v>
      </c>
      <c r="C130" s="150">
        <v>9.808676906494207E-2</v>
      </c>
      <c r="D130" s="150">
        <v>9.9705567451820132E-2</v>
      </c>
      <c r="E130" s="150">
        <v>9.2860976918947929E-2</v>
      </c>
      <c r="F130" s="150">
        <v>9.7060381355932202E-2</v>
      </c>
      <c r="G130" s="150">
        <v>9.5327604726100967E-2</v>
      </c>
      <c r="H130" s="73">
        <v>9.7874047332531092E-2</v>
      </c>
      <c r="I130" s="73">
        <v>0.10460639851320855</v>
      </c>
      <c r="J130" s="73">
        <v>9.183128670581954E-2</v>
      </c>
    </row>
    <row r="131" spans="1:10" x14ac:dyDescent="0.2">
      <c r="A131" s="147" t="s">
        <v>263</v>
      </c>
      <c r="B131" s="148" t="s">
        <v>266</v>
      </c>
      <c r="C131" s="150">
        <v>0.10206333443672073</v>
      </c>
      <c r="D131" s="150">
        <v>9.8777559484828636E-2</v>
      </c>
      <c r="E131" s="150">
        <v>9.0204215354373701E-2</v>
      </c>
      <c r="F131" s="150">
        <v>9.7971140284257352E-2</v>
      </c>
      <c r="G131" s="150">
        <v>9.6827495042961009E-2</v>
      </c>
      <c r="H131" s="73">
        <v>0.10910899845235464</v>
      </c>
      <c r="I131" s="73">
        <v>0.10433026699573704</v>
      </c>
      <c r="J131" s="73">
        <v>8.958591898905563E-2</v>
      </c>
    </row>
    <row r="132" spans="1:10" x14ac:dyDescent="0.2">
      <c r="A132" s="147" t="s">
        <v>263</v>
      </c>
      <c r="B132" s="148" t="s">
        <v>281</v>
      </c>
      <c r="C132" s="150">
        <v>0.10252039449652989</v>
      </c>
      <c r="D132" s="150">
        <v>0.11082756106452789</v>
      </c>
      <c r="E132" s="150">
        <v>9.7420853196430748E-2</v>
      </c>
      <c r="F132" s="150">
        <v>0.10215966998301383</v>
      </c>
      <c r="G132" s="150">
        <v>0.11629923210304682</v>
      </c>
      <c r="H132" s="73">
        <v>0.12644407769455376</v>
      </c>
      <c r="I132" s="73">
        <v>0.12122015915119363</v>
      </c>
      <c r="J132" s="73">
        <v>0.10049423393739704</v>
      </c>
    </row>
  </sheetData>
  <hyperlinks>
    <hyperlink ref="A9" location="Contents!A1" display="This cell contains a hyperlink to the Table of Contents" xr:uid="{355FC772-2687-4F7A-8449-229111DFCC87}"/>
    <hyperlink ref="A6" r:id="rId1" xr:uid="{29C7A53D-3BBC-4294-9EBD-4D652E2435B5}"/>
    <hyperlink ref="A7" r:id="rId2" display="Source for areas built up from Data Zones: Small Area Population Estimates - National Records of Scotland. This link opens in a new window." xr:uid="{76A887BD-1578-4367-8FF6-F5D311971C8F}"/>
  </hyperlink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A53907225</value>
    </field>
    <field name="Objective-Title">
      <value order="0">SSESD - Database - August 2025 update - Population APS business demography GVA - August 2025</value>
    </field>
    <field name="Objective-Description">
      <value order="0"/>
    </field>
    <field name="Objective-CreationStamp">
      <value order="0">2025-08-26T13:55:59Z</value>
    </field>
    <field name="Objective-IsApproved">
      <value order="0">false</value>
    </field>
    <field name="Objective-IsPublished">
      <value order="0">true</value>
    </field>
    <field name="Objective-DatePublished">
      <value order="0">2025-08-27T16:37:28Z</value>
    </field>
    <field name="Objective-ModificationStamp">
      <value order="0">2025-08-27T16:37:29Z</value>
    </field>
    <field name="Objective-Owner">
      <value order="0">Curran, Marina M (u206091)</value>
    </field>
    <field name="Objective-Path">
      <value order="0">Objective Global Folder:SG File Plan:Business and industry:Business sectors:General:Research and analysis: Business sectors - general:OCEAEDA: Business Statistics: Sub-Scotland Economic Statistics Group (SSESG): Restricted working papers: Research and analysis: 2024-2029</value>
    </field>
    <field name="Objective-Parent">
      <value order="0">OCEAEDA: Business Statistics: Sub-Scotland Economic Statistics Group (SSESG): Restricted working papers: Research and analysis: 2024-2029</value>
    </field>
    <field name="Objective-State">
      <value order="0">Published</value>
    </field>
    <field name="Objective-VersionId">
      <value order="0">vA81525153</value>
    </field>
    <field name="Objective-Version">
      <value order="0">2.0</value>
    </field>
    <field name="Objective-VersionNumber">
      <value order="0">5</value>
    </field>
    <field name="Objective-VersionComment">
      <value order="0">Updating note on tables 21 and 24 to say 'rounded'.</value>
    </field>
    <field name="Objective-FileNumber">
      <value order="0">STAT/690</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Cover Sheet</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Sub Scotland Economic Statistics Database</dc:title>
  <dc:creator>Scottish Government</dc:creator>
  <cp:lastModifiedBy>Marina Curran</cp:lastModifiedBy>
  <cp:lastPrinted>2024-12-18T12:13:46Z</cp:lastPrinted>
  <dcterms:created xsi:type="dcterms:W3CDTF">2019-04-25T14:42:43Z</dcterms:created>
  <dcterms:modified xsi:type="dcterms:W3CDTF">2025-12-17T13:47:13Z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A53907225</vt:lpwstr>
  </property>
  <property fmtid="{D5CDD505-2E9C-101B-9397-08002B2CF9AE}" pid="4" name="Objective-Title">
    <vt:lpwstr>SSESD - Database - August 2025 update - Population APS business demography GVA - August 2025</vt:lpwstr>
  </property>
  <property fmtid="{D5CDD505-2E9C-101B-9397-08002B2CF9AE}" pid="5" name="Objective-Description">
    <vt:lpwstr/>
  </property>
  <property fmtid="{D5CDD505-2E9C-101B-9397-08002B2CF9AE}" pid="6" name="Objective-CreationStamp">
    <vt:filetime>2025-08-26T13:55:59Z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2025-08-27T16:37:28Z</vt:filetime>
  </property>
  <property fmtid="{D5CDD505-2E9C-101B-9397-08002B2CF9AE}" pid="10" name="Objective-ModificationStamp">
    <vt:filetime>2025-08-27T16:37:29Z</vt:filetime>
  </property>
  <property fmtid="{D5CDD505-2E9C-101B-9397-08002B2CF9AE}" pid="11" name="Objective-Owner">
    <vt:lpwstr>Curran, Marina M (u206091)</vt:lpwstr>
  </property>
  <property fmtid="{D5CDD505-2E9C-101B-9397-08002B2CF9AE}" pid="12" name="Objective-Path">
    <vt:lpwstr>Objective Global Folder:SG File Plan:Business and industry:Business sectors:General:Research and analysis: Business sectors - general:OCEAEDA: Business Statistics: Sub-Scotland Economic Statistics Group (SSESG): Restricted working papers: Research and analysis: 2024-2029</vt:lpwstr>
  </property>
  <property fmtid="{D5CDD505-2E9C-101B-9397-08002B2CF9AE}" pid="13" name="Objective-Parent">
    <vt:lpwstr>OCEAEDA: Business Statistics: Sub-Scotland Economic Statistics Group (SSESG): Restricted working papers: Research and analysis: 2024-2029</vt:lpwstr>
  </property>
  <property fmtid="{D5CDD505-2E9C-101B-9397-08002B2CF9AE}" pid="14" name="Objective-State">
    <vt:lpwstr>Published</vt:lpwstr>
  </property>
  <property fmtid="{D5CDD505-2E9C-101B-9397-08002B2CF9AE}" pid="15" name="Objective-VersionId">
    <vt:lpwstr>vA81525153</vt:lpwstr>
  </property>
  <property fmtid="{D5CDD505-2E9C-101B-9397-08002B2CF9AE}" pid="16" name="Objective-Version">
    <vt:lpwstr>2.0</vt:lpwstr>
  </property>
  <property fmtid="{D5CDD505-2E9C-101B-9397-08002B2CF9AE}" pid="17" name="Objective-VersionNumber">
    <vt:r8>5</vt:r8>
  </property>
  <property fmtid="{D5CDD505-2E9C-101B-9397-08002B2CF9AE}" pid="18" name="Objective-VersionComment">
    <vt:lpwstr>Updating note on tables 21 and 24 to say 'rounded'.</vt:lpwstr>
  </property>
  <property fmtid="{D5CDD505-2E9C-101B-9397-08002B2CF9AE}" pid="19" name="Objective-FileNumber">
    <vt:lpwstr>STAT/690</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Comment">
    <vt:lpwstr/>
  </property>
  <property fmtid="{D5CDD505-2E9C-101B-9397-08002B2CF9AE}" pid="28" name="Objective-Date of Original [system]">
    <vt:lpwstr/>
  </property>
  <property fmtid="{D5CDD505-2E9C-101B-9397-08002B2CF9AE}" pid="29" name="Objective-Date Received [system]">
    <vt:lpwstr/>
  </property>
  <property fmtid="{D5CDD505-2E9C-101B-9397-08002B2CF9AE}" pid="30" name="Objective-SG Web Publication - Category [system]">
    <vt:lpwstr/>
  </property>
  <property fmtid="{D5CDD505-2E9C-101B-9397-08002B2CF9AE}" pid="31" name="Objective-SG Web Publication - Category 2 Classification [system]">
    <vt:lpwstr/>
  </property>
  <property fmtid="{D5CDD505-2E9C-101B-9397-08002B2CF9AE}" pid="32" name="Objective-Connect Creator [system]">
    <vt:lpwstr/>
  </property>
  <property fmtid="{D5CDD505-2E9C-101B-9397-08002B2CF9AE}" pid="33" name="Objective-Required Redaction">
    <vt:lpwstr/>
  </property>
  <property fmtid="{D5CDD505-2E9C-101B-9397-08002B2CF9AE}" pid="34" name="Objective-Shared By">
    <vt:lpwstr/>
  </property>
  <property fmtid="{D5CDD505-2E9C-101B-9397-08002B2CF9AE}" pid="35" name="Objective-Access Conditions">
    <vt:lpwstr/>
  </property>
  <property fmtid="{D5CDD505-2E9C-101B-9397-08002B2CF9AE}" pid="36" name="Objective-Access Status">
    <vt:lpwstr/>
  </property>
  <property fmtid="{D5CDD505-2E9C-101B-9397-08002B2CF9AE}" pid="37" name="Objective-Date Open From">
    <vt:lpwstr/>
  </property>
</Properties>
</file>